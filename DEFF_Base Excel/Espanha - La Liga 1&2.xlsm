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B6CF4D80-E3F3-4C48-91BA-E1C84F743802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Top Scores" sheetId="31" state="hidden" r:id="rId9"/>
    <sheet name="OGSHome" sheetId="25" state="hidden" r:id="rId10"/>
    <sheet name="OGSAway" sheetId="26" state="hidden" r:id="rId11"/>
    <sheet name="OGCHome" sheetId="27" state="hidden" r:id="rId12"/>
    <sheet name="OGCAway" sheetId="28" state="hidden" r:id="rId13"/>
    <sheet name="HTHome" sheetId="32" state="hidden" r:id="rId14"/>
    <sheet name="HTAway" sheetId="33" state="hidden" r:id="rId15"/>
  </sheets>
  <definedNames>
    <definedName name="_xlnm._FilterDatabase" localSheetId="3" hidden="1">'HT(Away) %'!$A$1:$N$1</definedName>
    <definedName name="_xlnm._FilterDatabase" localSheetId="2" hidden="1">'HT(Home) %'!$A$1:$N$41</definedName>
    <definedName name="DadosExternos_1" localSheetId="7" hidden="1">GOLS!$A$1:$N$43</definedName>
    <definedName name="DadosExternos_1" localSheetId="6" hidden="1">Matches!$A$1:$AA$43</definedName>
    <definedName name="DadosExternos_1" localSheetId="5" hidden="1">ODDS!$C$1:$K$366</definedName>
    <definedName name="DadosExternos_1" localSheetId="12" hidden="1">OGCAway!$A$1:$O$43</definedName>
    <definedName name="DadosExternos_1" localSheetId="11" hidden="1">OGCHome!$A$1:$O$43</definedName>
    <definedName name="DadosExternos_1" localSheetId="10" hidden="1">OGSAway!$A$1:$O$43</definedName>
    <definedName name="DadosExternos_1" localSheetId="9" hidden="1">OGSHome!$A$1:$O$43</definedName>
    <definedName name="DadosExternos_2" localSheetId="6" hidden="1">Matches!#REF!</definedName>
    <definedName name="DadosExternos_2" localSheetId="8" hidden="1">'Top Scores'!$A$1:$O$61</definedName>
    <definedName name="ExternalData_1" localSheetId="14" hidden="1">HTAway!$A$1:$I$43</definedName>
    <definedName name="ExternalData_1" localSheetId="13" hidden="1">HTHome!$A$1:$I$43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0" i="24" l="1"/>
  <c r="AB33" i="24"/>
  <c r="AB8" i="24"/>
  <c r="AB18" i="24"/>
  <c r="AB35" i="24"/>
  <c r="AB7" i="24"/>
  <c r="AB32" i="24"/>
  <c r="AB23" i="24"/>
  <c r="AB19" i="24"/>
  <c r="AB40" i="24"/>
  <c r="AB31" i="24"/>
  <c r="AB2" i="24"/>
  <c r="AB42" i="24"/>
  <c r="AB28" i="24"/>
  <c r="AB26" i="24"/>
  <c r="AB37" i="24"/>
  <c r="AB10" i="24"/>
  <c r="AB12" i="24"/>
  <c r="AB21" i="24"/>
  <c r="AB5" i="24"/>
  <c r="AB24" i="24"/>
  <c r="AB41" i="24"/>
  <c r="AB38" i="24"/>
  <c r="AB16" i="24"/>
  <c r="AB13" i="24"/>
  <c r="AB30" i="24"/>
  <c r="AB29" i="24"/>
  <c r="AB14" i="24"/>
  <c r="AB25" i="24"/>
  <c r="AB39" i="24"/>
  <c r="AB34" i="24"/>
  <c r="AB36" i="24"/>
  <c r="AB9" i="24"/>
  <c r="AB27" i="24"/>
  <c r="AB3" i="24"/>
  <c r="AB15" i="24"/>
  <c r="AB17" i="24"/>
  <c r="AB43" i="24"/>
  <c r="AB22" i="24"/>
  <c r="AB11" i="24"/>
  <c r="AB6" i="24"/>
  <c r="AB4" i="24"/>
  <c r="AC20" i="24"/>
  <c r="AC33" i="24"/>
  <c r="AC8" i="24"/>
  <c r="AC18" i="24"/>
  <c r="AC35" i="24"/>
  <c r="AC7" i="24"/>
  <c r="AC32" i="24"/>
  <c r="AC23" i="24"/>
  <c r="AC19" i="24"/>
  <c r="AC40" i="24"/>
  <c r="AC31" i="24"/>
  <c r="AC2" i="24"/>
  <c r="AC42" i="24"/>
  <c r="AC28" i="24"/>
  <c r="AC26" i="24"/>
  <c r="AC37" i="24"/>
  <c r="AC10" i="24"/>
  <c r="AC12" i="24"/>
  <c r="AC21" i="24"/>
  <c r="AC5" i="24"/>
  <c r="AC24" i="24"/>
  <c r="AC41" i="24"/>
  <c r="AC38" i="24"/>
  <c r="AC16" i="24"/>
  <c r="AC13" i="24"/>
  <c r="AC30" i="24"/>
  <c r="AC29" i="24"/>
  <c r="AC14" i="24"/>
  <c r="AC25" i="24"/>
  <c r="AC39" i="24"/>
  <c r="AC34" i="24"/>
  <c r="AC36" i="24"/>
  <c r="AC9" i="24"/>
  <c r="AC27" i="24"/>
  <c r="AC3" i="24"/>
  <c r="AC15" i="24"/>
  <c r="AC17" i="24"/>
  <c r="AC43" i="24"/>
  <c r="AC22" i="24"/>
  <c r="AC11" i="24"/>
  <c r="AC6" i="24"/>
  <c r="AC4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C15" i="30"/>
  <c r="B15" i="30"/>
  <c r="C12" i="30"/>
  <c r="B12" i="30"/>
  <c r="C11" i="30"/>
  <c r="B11" i="30"/>
  <c r="C10" i="30"/>
  <c r="B10" i="30"/>
  <c r="C8" i="30"/>
  <c r="B8" i="30"/>
  <c r="C7" i="30"/>
  <c r="B7" i="30"/>
  <c r="C6" i="30"/>
  <c r="B6" i="30"/>
  <c r="C3" i="30"/>
  <c r="B3" i="30"/>
  <c r="C4" i="30" l="1"/>
  <c r="C14" i="30" s="1"/>
  <c r="B5" i="30"/>
  <c r="C5" i="30"/>
  <c r="B4" i="30"/>
  <c r="C13" i="30" l="1"/>
  <c r="B13" i="30"/>
  <c r="B14" i="30"/>
  <c r="Q3" i="39" l="1"/>
  <c r="R3" i="39"/>
  <c r="Q4" i="39"/>
  <c r="R4" i="39"/>
  <c r="Q5" i="39"/>
  <c r="R5" i="39"/>
  <c r="Q6" i="39"/>
  <c r="R6" i="39"/>
  <c r="Q7" i="39"/>
  <c r="R7" i="39"/>
  <c r="Q8" i="39"/>
  <c r="R8" i="39"/>
  <c r="Q9" i="39"/>
  <c r="R9" i="39"/>
  <c r="Q10" i="39"/>
  <c r="R10" i="39"/>
  <c r="Q11" i="39"/>
  <c r="R11" i="39"/>
  <c r="Q12" i="39"/>
  <c r="R12" i="39"/>
  <c r="Q13" i="39"/>
  <c r="R13" i="39"/>
  <c r="Q14" i="39"/>
  <c r="R14" i="39"/>
  <c r="Q15" i="39"/>
  <c r="R15" i="39"/>
  <c r="Q16" i="39"/>
  <c r="R16" i="39"/>
  <c r="Q17" i="39"/>
  <c r="R17" i="39"/>
  <c r="Q18" i="39"/>
  <c r="R18" i="39"/>
  <c r="Q19" i="39"/>
  <c r="R19" i="39"/>
  <c r="Q20" i="39"/>
  <c r="R20" i="39"/>
  <c r="Q21" i="39"/>
  <c r="R21" i="39"/>
  <c r="Q22" i="39"/>
  <c r="R22" i="39"/>
  <c r="Q23" i="39"/>
  <c r="R23" i="39"/>
  <c r="Q24" i="39"/>
  <c r="R24" i="39"/>
  <c r="Q25" i="39"/>
  <c r="R25" i="39"/>
  <c r="Q26" i="39"/>
  <c r="R26" i="39"/>
  <c r="Q27" i="39"/>
  <c r="R27" i="39"/>
  <c r="Q28" i="39"/>
  <c r="R28" i="39"/>
  <c r="Q29" i="39"/>
  <c r="R29" i="39"/>
  <c r="Q30" i="39"/>
  <c r="R30" i="39"/>
  <c r="Q31" i="39"/>
  <c r="R31" i="39"/>
  <c r="Q32" i="39"/>
  <c r="R32" i="39"/>
  <c r="Q33" i="39"/>
  <c r="R33" i="39"/>
  <c r="Q34" i="39"/>
  <c r="R34" i="39"/>
  <c r="Q35" i="39"/>
  <c r="R35" i="39"/>
  <c r="Q36" i="39"/>
  <c r="R36" i="39"/>
  <c r="Q37" i="39"/>
  <c r="R37" i="39"/>
  <c r="Q38" i="39"/>
  <c r="R38" i="39"/>
  <c r="Q39" i="39"/>
  <c r="R39" i="39"/>
  <c r="Q40" i="39"/>
  <c r="R40" i="39"/>
  <c r="Q41" i="39"/>
  <c r="R41" i="39"/>
  <c r="Q42" i="39"/>
  <c r="R42" i="39"/>
  <c r="Q43" i="39"/>
  <c r="R43" i="39"/>
  <c r="O3" i="39"/>
  <c r="P3" i="39"/>
  <c r="O4" i="39"/>
  <c r="P4" i="39"/>
  <c r="O5" i="39"/>
  <c r="P5" i="39"/>
  <c r="O6" i="39"/>
  <c r="P6" i="39"/>
  <c r="O7" i="39"/>
  <c r="P7" i="39"/>
  <c r="O8" i="39"/>
  <c r="P8" i="39"/>
  <c r="O9" i="39"/>
  <c r="P9" i="39"/>
  <c r="O10" i="39"/>
  <c r="P10" i="39"/>
  <c r="O11" i="39"/>
  <c r="P11" i="39"/>
  <c r="O12" i="39"/>
  <c r="P12" i="39"/>
  <c r="O13" i="39"/>
  <c r="P13" i="39"/>
  <c r="O14" i="39"/>
  <c r="P14" i="39"/>
  <c r="O15" i="39"/>
  <c r="P15" i="39"/>
  <c r="O16" i="39"/>
  <c r="P16" i="39"/>
  <c r="O17" i="39"/>
  <c r="P17" i="39"/>
  <c r="O18" i="39"/>
  <c r="P18" i="39"/>
  <c r="O19" i="39"/>
  <c r="P19" i="39"/>
  <c r="O20" i="39"/>
  <c r="P20" i="39"/>
  <c r="O21" i="39"/>
  <c r="P21" i="39"/>
  <c r="O22" i="39"/>
  <c r="P22" i="39"/>
  <c r="O23" i="39"/>
  <c r="P23" i="39"/>
  <c r="O24" i="39"/>
  <c r="P24" i="39"/>
  <c r="O25" i="39"/>
  <c r="P25" i="39"/>
  <c r="O26" i="39"/>
  <c r="P26" i="39"/>
  <c r="O27" i="39"/>
  <c r="P27" i="39"/>
  <c r="O28" i="39"/>
  <c r="P28" i="39"/>
  <c r="O29" i="39"/>
  <c r="P29" i="39"/>
  <c r="O30" i="39"/>
  <c r="P30" i="39"/>
  <c r="O31" i="39"/>
  <c r="P31" i="39"/>
  <c r="O32" i="39"/>
  <c r="P32" i="39"/>
  <c r="O33" i="39"/>
  <c r="P33" i="39"/>
  <c r="O34" i="39"/>
  <c r="P34" i="39"/>
  <c r="O35" i="39"/>
  <c r="P35" i="39"/>
  <c r="O36" i="39"/>
  <c r="P36" i="39"/>
  <c r="O37" i="39"/>
  <c r="P37" i="39"/>
  <c r="O38" i="39"/>
  <c r="P38" i="39"/>
  <c r="O39" i="39"/>
  <c r="P39" i="39"/>
  <c r="O40" i="39"/>
  <c r="P40" i="39"/>
  <c r="O41" i="39"/>
  <c r="P41" i="39"/>
  <c r="O42" i="39"/>
  <c r="P42" i="39"/>
  <c r="O43" i="39"/>
  <c r="P43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B42" i="42"/>
  <c r="C42" i="42"/>
  <c r="D42" i="42"/>
  <c r="E42" i="42"/>
  <c r="F42" i="42"/>
  <c r="G42" i="42"/>
  <c r="H42" i="42"/>
  <c r="B43" i="42"/>
  <c r="C43" i="42"/>
  <c r="D43" i="42"/>
  <c r="E43" i="42"/>
  <c r="F43" i="42"/>
  <c r="G43" i="42"/>
  <c r="H43" i="42"/>
  <c r="B42" i="41"/>
  <c r="C42" i="41"/>
  <c r="D42" i="41"/>
  <c r="E42" i="41"/>
  <c r="F42" i="41"/>
  <c r="G42" i="41"/>
  <c r="H42" i="41"/>
  <c r="B43" i="41"/>
  <c r="C43" i="41"/>
  <c r="D43" i="41"/>
  <c r="E43" i="41"/>
  <c r="F43" i="41"/>
  <c r="G43" i="41"/>
  <c r="H43" i="41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I42" i="41" l="1"/>
  <c r="K42" i="41" s="1"/>
  <c r="L42" i="42" s="1"/>
  <c r="I42" i="42"/>
  <c r="K42" i="42" s="1"/>
  <c r="L42" i="41" s="1"/>
  <c r="I43" i="42"/>
  <c r="K43" i="42" s="1"/>
  <c r="L43" i="41" s="1"/>
  <c r="I43" i="41"/>
  <c r="K43" i="41" s="1"/>
  <c r="L43" i="42" s="1"/>
  <c r="H20" i="41" l="1"/>
  <c r="G20" i="41"/>
  <c r="F20" i="41"/>
  <c r="E20" i="41"/>
  <c r="D20" i="41"/>
  <c r="C20" i="41"/>
  <c r="B20" i="41"/>
  <c r="H19" i="41"/>
  <c r="G19" i="41"/>
  <c r="F19" i="41"/>
  <c r="E19" i="41"/>
  <c r="D19" i="41"/>
  <c r="C19" i="41"/>
  <c r="B19" i="41"/>
  <c r="H34" i="41"/>
  <c r="G34" i="41"/>
  <c r="F34" i="41"/>
  <c r="E34" i="41"/>
  <c r="D34" i="41"/>
  <c r="C34" i="41"/>
  <c r="B34" i="41"/>
  <c r="H37" i="41"/>
  <c r="G37" i="41"/>
  <c r="F37" i="41"/>
  <c r="E37" i="41"/>
  <c r="D37" i="41"/>
  <c r="C37" i="41"/>
  <c r="B37" i="41"/>
  <c r="H4" i="41"/>
  <c r="G4" i="41"/>
  <c r="F4" i="41"/>
  <c r="E4" i="41"/>
  <c r="D4" i="41"/>
  <c r="C4" i="41"/>
  <c r="B4" i="41"/>
  <c r="H23" i="41"/>
  <c r="G23" i="41"/>
  <c r="F23" i="41"/>
  <c r="E23" i="41"/>
  <c r="D23" i="41"/>
  <c r="C23" i="41"/>
  <c r="B23" i="41"/>
  <c r="H28" i="41"/>
  <c r="G28" i="41"/>
  <c r="F28" i="41"/>
  <c r="E28" i="41"/>
  <c r="D28" i="41"/>
  <c r="C28" i="41"/>
  <c r="B28" i="41"/>
  <c r="H30" i="41"/>
  <c r="G30" i="41"/>
  <c r="F30" i="41"/>
  <c r="E30" i="41"/>
  <c r="D30" i="41"/>
  <c r="C30" i="41"/>
  <c r="B30" i="41"/>
  <c r="H26" i="41"/>
  <c r="G26" i="41"/>
  <c r="F26" i="41"/>
  <c r="E26" i="41"/>
  <c r="D26" i="41"/>
  <c r="C26" i="41"/>
  <c r="B26" i="41"/>
  <c r="H5" i="41"/>
  <c r="G5" i="41"/>
  <c r="F5" i="41"/>
  <c r="E5" i="41"/>
  <c r="D5" i="41"/>
  <c r="C5" i="41"/>
  <c r="B5" i="41"/>
  <c r="H9" i="41"/>
  <c r="G9" i="41"/>
  <c r="F9" i="41"/>
  <c r="E9" i="41"/>
  <c r="D9" i="41"/>
  <c r="C9" i="41"/>
  <c r="B9" i="41"/>
  <c r="H36" i="41"/>
  <c r="G36" i="41"/>
  <c r="F36" i="41"/>
  <c r="E36" i="41"/>
  <c r="D36" i="41"/>
  <c r="C36" i="41"/>
  <c r="B36" i="41"/>
  <c r="H13" i="41"/>
  <c r="G13" i="41"/>
  <c r="F13" i="41"/>
  <c r="E13" i="41"/>
  <c r="D13" i="41"/>
  <c r="C13" i="41"/>
  <c r="B13" i="41"/>
  <c r="H25" i="41"/>
  <c r="G25" i="41"/>
  <c r="F25" i="41"/>
  <c r="E25" i="41"/>
  <c r="D25" i="41"/>
  <c r="C25" i="41"/>
  <c r="B25" i="41"/>
  <c r="H17" i="41"/>
  <c r="G17" i="41"/>
  <c r="F17" i="41"/>
  <c r="E17" i="41"/>
  <c r="D17" i="41"/>
  <c r="C17" i="41"/>
  <c r="B17" i="41"/>
  <c r="H32" i="41"/>
  <c r="G32" i="41"/>
  <c r="F32" i="41"/>
  <c r="E32" i="41"/>
  <c r="D32" i="41"/>
  <c r="C32" i="41"/>
  <c r="B32" i="41"/>
  <c r="H3" i="41"/>
  <c r="G3" i="41"/>
  <c r="F3" i="41"/>
  <c r="E3" i="41"/>
  <c r="D3" i="41"/>
  <c r="C3" i="41"/>
  <c r="B3" i="41"/>
  <c r="H7" i="41"/>
  <c r="G7" i="41"/>
  <c r="F7" i="41"/>
  <c r="E7" i="41"/>
  <c r="D7" i="41"/>
  <c r="C7" i="41"/>
  <c r="B7" i="41"/>
  <c r="H40" i="41"/>
  <c r="G40" i="41"/>
  <c r="F40" i="41"/>
  <c r="E40" i="41"/>
  <c r="D40" i="41"/>
  <c r="C40" i="41"/>
  <c r="B40" i="41"/>
  <c r="H35" i="41"/>
  <c r="G35" i="41"/>
  <c r="F35" i="41"/>
  <c r="E35" i="41"/>
  <c r="D35" i="41"/>
  <c r="C35" i="41"/>
  <c r="B35" i="41"/>
  <c r="H16" i="41"/>
  <c r="G16" i="41"/>
  <c r="F16" i="41"/>
  <c r="E16" i="41"/>
  <c r="D16" i="41"/>
  <c r="C16" i="41"/>
  <c r="B16" i="41"/>
  <c r="H18" i="41"/>
  <c r="G18" i="41"/>
  <c r="F18" i="41"/>
  <c r="E18" i="41"/>
  <c r="D18" i="41"/>
  <c r="C18" i="41"/>
  <c r="B18" i="41"/>
  <c r="H33" i="41"/>
  <c r="G33" i="41"/>
  <c r="F33" i="41"/>
  <c r="E33" i="41"/>
  <c r="D33" i="41"/>
  <c r="C33" i="41"/>
  <c r="B33" i="41"/>
  <c r="H29" i="41"/>
  <c r="G29" i="41"/>
  <c r="F29" i="41"/>
  <c r="E29" i="41"/>
  <c r="D29" i="41"/>
  <c r="C29" i="41"/>
  <c r="B29" i="41"/>
  <c r="H14" i="41"/>
  <c r="G14" i="41"/>
  <c r="F14" i="41"/>
  <c r="E14" i="41"/>
  <c r="D14" i="41"/>
  <c r="C14" i="41"/>
  <c r="B14" i="41"/>
  <c r="H10" i="41"/>
  <c r="G10" i="41"/>
  <c r="F10" i="41"/>
  <c r="E10" i="41"/>
  <c r="D10" i="41"/>
  <c r="C10" i="41"/>
  <c r="B10" i="41"/>
  <c r="H11" i="41"/>
  <c r="G11" i="41"/>
  <c r="F11" i="41"/>
  <c r="E11" i="41"/>
  <c r="D11" i="41"/>
  <c r="C11" i="41"/>
  <c r="B11" i="41"/>
  <c r="H38" i="41"/>
  <c r="G38" i="41"/>
  <c r="F38" i="41"/>
  <c r="E38" i="41"/>
  <c r="D38" i="41"/>
  <c r="C38" i="41"/>
  <c r="B38" i="41"/>
  <c r="H41" i="41"/>
  <c r="G41" i="41"/>
  <c r="F41" i="41"/>
  <c r="E41" i="41"/>
  <c r="D41" i="41"/>
  <c r="C41" i="41"/>
  <c r="B41" i="41"/>
  <c r="H15" i="41"/>
  <c r="G15" i="41"/>
  <c r="F15" i="41"/>
  <c r="E15" i="41"/>
  <c r="D15" i="41"/>
  <c r="C15" i="41"/>
  <c r="B15" i="41"/>
  <c r="H22" i="41"/>
  <c r="G22" i="41"/>
  <c r="F22" i="41"/>
  <c r="E22" i="41"/>
  <c r="D22" i="41"/>
  <c r="C22" i="41"/>
  <c r="B22" i="41"/>
  <c r="H31" i="41"/>
  <c r="G31" i="41"/>
  <c r="F31" i="41"/>
  <c r="E31" i="41"/>
  <c r="D31" i="41"/>
  <c r="C31" i="41"/>
  <c r="B31" i="41"/>
  <c r="H6" i="41"/>
  <c r="G6" i="41"/>
  <c r="F6" i="41"/>
  <c r="E6" i="41"/>
  <c r="D6" i="41"/>
  <c r="C6" i="41"/>
  <c r="B6" i="41"/>
  <c r="H8" i="41"/>
  <c r="G8" i="41"/>
  <c r="F8" i="41"/>
  <c r="E8" i="41"/>
  <c r="D8" i="41"/>
  <c r="C8" i="41"/>
  <c r="B8" i="41"/>
  <c r="H27" i="41"/>
  <c r="G27" i="41"/>
  <c r="F27" i="41"/>
  <c r="E27" i="41"/>
  <c r="D27" i="41"/>
  <c r="C27" i="41"/>
  <c r="B27" i="41"/>
  <c r="H2" i="41"/>
  <c r="G2" i="41"/>
  <c r="F2" i="41"/>
  <c r="E2" i="41"/>
  <c r="D2" i="41"/>
  <c r="C2" i="41"/>
  <c r="B2" i="41"/>
  <c r="H21" i="41"/>
  <c r="G21" i="41"/>
  <c r="F21" i="41"/>
  <c r="E21" i="41"/>
  <c r="D21" i="41"/>
  <c r="C21" i="41"/>
  <c r="B21" i="41"/>
  <c r="H12" i="41"/>
  <c r="G12" i="41"/>
  <c r="F12" i="41"/>
  <c r="E12" i="41"/>
  <c r="D12" i="41"/>
  <c r="C12" i="41"/>
  <c r="B12" i="41"/>
  <c r="H24" i="41"/>
  <c r="G24" i="41"/>
  <c r="F24" i="41"/>
  <c r="E24" i="41"/>
  <c r="D24" i="41"/>
  <c r="C24" i="41"/>
  <c r="B24" i="41"/>
  <c r="H39" i="41"/>
  <c r="G39" i="41"/>
  <c r="F39" i="41"/>
  <c r="E39" i="41"/>
  <c r="D39" i="41"/>
  <c r="C39" i="41"/>
  <c r="B39" i="41"/>
  <c r="H14" i="42"/>
  <c r="G14" i="42"/>
  <c r="F14" i="42"/>
  <c r="E14" i="42"/>
  <c r="D14" i="42"/>
  <c r="C14" i="42"/>
  <c r="B14" i="42"/>
  <c r="H16" i="42"/>
  <c r="G16" i="42"/>
  <c r="F16" i="42"/>
  <c r="E16" i="42"/>
  <c r="D16" i="42"/>
  <c r="C16" i="42"/>
  <c r="B16" i="42"/>
  <c r="H24" i="42"/>
  <c r="G24" i="42"/>
  <c r="F24" i="42"/>
  <c r="E24" i="42"/>
  <c r="D24" i="42"/>
  <c r="C24" i="42"/>
  <c r="B24" i="42"/>
  <c r="H33" i="42"/>
  <c r="G33" i="42"/>
  <c r="F33" i="42"/>
  <c r="E33" i="42"/>
  <c r="D33" i="42"/>
  <c r="C33" i="42"/>
  <c r="B33" i="42"/>
  <c r="H32" i="42"/>
  <c r="G32" i="42"/>
  <c r="F32" i="42"/>
  <c r="E32" i="42"/>
  <c r="D32" i="42"/>
  <c r="C32" i="42"/>
  <c r="B32" i="42"/>
  <c r="H20" i="42"/>
  <c r="G20" i="42"/>
  <c r="F20" i="42"/>
  <c r="E20" i="42"/>
  <c r="D20" i="42"/>
  <c r="C20" i="42"/>
  <c r="B20" i="42"/>
  <c r="H40" i="42"/>
  <c r="G40" i="42"/>
  <c r="F40" i="42"/>
  <c r="E40" i="42"/>
  <c r="D40" i="42"/>
  <c r="C40" i="42"/>
  <c r="B40" i="42"/>
  <c r="H18" i="42"/>
  <c r="G18" i="42"/>
  <c r="F18" i="42"/>
  <c r="E18" i="42"/>
  <c r="D18" i="42"/>
  <c r="C18" i="42"/>
  <c r="B18" i="42"/>
  <c r="H28" i="42"/>
  <c r="G28" i="42"/>
  <c r="F28" i="42"/>
  <c r="E28" i="42"/>
  <c r="D28" i="42"/>
  <c r="C28" i="42"/>
  <c r="B28" i="42"/>
  <c r="H5" i="42"/>
  <c r="G5" i="42"/>
  <c r="F5" i="42"/>
  <c r="E5" i="42"/>
  <c r="D5" i="42"/>
  <c r="C5" i="42"/>
  <c r="B5" i="42"/>
  <c r="H26" i="42"/>
  <c r="G26" i="42"/>
  <c r="F26" i="42"/>
  <c r="E26" i="42"/>
  <c r="D26" i="42"/>
  <c r="C26" i="42"/>
  <c r="B26" i="42"/>
  <c r="H31" i="42"/>
  <c r="G31" i="42"/>
  <c r="F31" i="42"/>
  <c r="E31" i="42"/>
  <c r="D31" i="42"/>
  <c r="C31" i="42"/>
  <c r="B31" i="42"/>
  <c r="H41" i="42"/>
  <c r="G41" i="42"/>
  <c r="F41" i="42"/>
  <c r="E41" i="42"/>
  <c r="D41" i="42"/>
  <c r="C41" i="42"/>
  <c r="B41" i="42"/>
  <c r="H15" i="42"/>
  <c r="G15" i="42"/>
  <c r="F15" i="42"/>
  <c r="E15" i="42"/>
  <c r="D15" i="42"/>
  <c r="C15" i="42"/>
  <c r="B15" i="42"/>
  <c r="H38" i="42"/>
  <c r="G38" i="42"/>
  <c r="F38" i="42"/>
  <c r="E38" i="42"/>
  <c r="D38" i="42"/>
  <c r="C38" i="42"/>
  <c r="B38" i="42"/>
  <c r="H37" i="42"/>
  <c r="G37" i="42"/>
  <c r="F37" i="42"/>
  <c r="E37" i="42"/>
  <c r="D37" i="42"/>
  <c r="C37" i="42"/>
  <c r="B37" i="42"/>
  <c r="H11" i="42"/>
  <c r="G11" i="42"/>
  <c r="F11" i="42"/>
  <c r="E11" i="42"/>
  <c r="D11" i="42"/>
  <c r="C11" i="42"/>
  <c r="B11" i="42"/>
  <c r="H13" i="42"/>
  <c r="G13" i="42"/>
  <c r="F13" i="42"/>
  <c r="E13" i="42"/>
  <c r="D13" i="42"/>
  <c r="C13" i="42"/>
  <c r="B13" i="42"/>
  <c r="H23" i="42"/>
  <c r="G23" i="42"/>
  <c r="F23" i="42"/>
  <c r="E23" i="42"/>
  <c r="D23" i="42"/>
  <c r="C23" i="42"/>
  <c r="B23" i="42"/>
  <c r="H39" i="42"/>
  <c r="G39" i="42"/>
  <c r="F39" i="42"/>
  <c r="E39" i="42"/>
  <c r="D39" i="42"/>
  <c r="C39" i="42"/>
  <c r="B39" i="42"/>
  <c r="H19" i="42"/>
  <c r="G19" i="42"/>
  <c r="F19" i="42"/>
  <c r="E19" i="42"/>
  <c r="D19" i="42"/>
  <c r="C19" i="42"/>
  <c r="B19" i="42"/>
  <c r="H7" i="42"/>
  <c r="G7" i="42"/>
  <c r="F7" i="42"/>
  <c r="E7" i="42"/>
  <c r="D7" i="42"/>
  <c r="C7" i="42"/>
  <c r="B7" i="42"/>
  <c r="H36" i="42"/>
  <c r="G36" i="42"/>
  <c r="F36" i="42"/>
  <c r="E36" i="42"/>
  <c r="D36" i="42"/>
  <c r="C36" i="42"/>
  <c r="B36" i="42"/>
  <c r="H3" i="42"/>
  <c r="G3" i="42"/>
  <c r="F3" i="42"/>
  <c r="E3" i="42"/>
  <c r="D3" i="42"/>
  <c r="C3" i="42"/>
  <c r="B3" i="42"/>
  <c r="H2" i="42"/>
  <c r="G2" i="42"/>
  <c r="F2" i="42"/>
  <c r="E2" i="42"/>
  <c r="D2" i="42"/>
  <c r="C2" i="42"/>
  <c r="B2" i="42"/>
  <c r="H27" i="42"/>
  <c r="G27" i="42"/>
  <c r="F27" i="42"/>
  <c r="E27" i="42"/>
  <c r="D27" i="42"/>
  <c r="C27" i="42"/>
  <c r="B27" i="42"/>
  <c r="H25" i="42"/>
  <c r="G25" i="42"/>
  <c r="F25" i="42"/>
  <c r="E25" i="42"/>
  <c r="D25" i="42"/>
  <c r="C25" i="42"/>
  <c r="B25" i="42"/>
  <c r="H12" i="42"/>
  <c r="G12" i="42"/>
  <c r="F12" i="42"/>
  <c r="E12" i="42"/>
  <c r="D12" i="42"/>
  <c r="C12" i="42"/>
  <c r="B12" i="42"/>
  <c r="H34" i="42"/>
  <c r="G34" i="42"/>
  <c r="F34" i="42"/>
  <c r="E34" i="42"/>
  <c r="D34" i="42"/>
  <c r="C34" i="42"/>
  <c r="B34" i="42"/>
  <c r="H4" i="42"/>
  <c r="G4" i="42"/>
  <c r="F4" i="42"/>
  <c r="E4" i="42"/>
  <c r="D4" i="42"/>
  <c r="C4" i="42"/>
  <c r="B4" i="42"/>
  <c r="H22" i="42"/>
  <c r="G22" i="42"/>
  <c r="F22" i="42"/>
  <c r="E22" i="42"/>
  <c r="D22" i="42"/>
  <c r="C22" i="42"/>
  <c r="B22" i="42"/>
  <c r="H35" i="42"/>
  <c r="G35" i="42"/>
  <c r="F35" i="42"/>
  <c r="E35" i="42"/>
  <c r="D35" i="42"/>
  <c r="C35" i="42"/>
  <c r="B35" i="42"/>
  <c r="H8" i="42"/>
  <c r="G8" i="42"/>
  <c r="F8" i="42"/>
  <c r="E8" i="42"/>
  <c r="D8" i="42"/>
  <c r="C8" i="42"/>
  <c r="B8" i="42"/>
  <c r="H21" i="42"/>
  <c r="G21" i="42"/>
  <c r="F21" i="42"/>
  <c r="E21" i="42"/>
  <c r="D21" i="42"/>
  <c r="C21" i="42"/>
  <c r="B21" i="42"/>
  <c r="H30" i="42"/>
  <c r="G30" i="42"/>
  <c r="F30" i="42"/>
  <c r="E30" i="42"/>
  <c r="D30" i="42"/>
  <c r="C30" i="42"/>
  <c r="B30" i="42"/>
  <c r="H6" i="42"/>
  <c r="G6" i="42"/>
  <c r="F6" i="42"/>
  <c r="E6" i="42"/>
  <c r="D6" i="42"/>
  <c r="C6" i="42"/>
  <c r="B6" i="42"/>
  <c r="H17" i="42"/>
  <c r="G17" i="42"/>
  <c r="F17" i="42"/>
  <c r="E17" i="42"/>
  <c r="D17" i="42"/>
  <c r="C17" i="42"/>
  <c r="B17" i="42"/>
  <c r="H9" i="42"/>
  <c r="G9" i="42"/>
  <c r="F9" i="42"/>
  <c r="E9" i="42"/>
  <c r="D9" i="42"/>
  <c r="C9" i="42"/>
  <c r="B9" i="42"/>
  <c r="H10" i="42"/>
  <c r="G10" i="42"/>
  <c r="F10" i="42"/>
  <c r="E10" i="42"/>
  <c r="D10" i="42"/>
  <c r="C10" i="42"/>
  <c r="B10" i="42"/>
  <c r="H29" i="42"/>
  <c r="G29" i="42"/>
  <c r="F29" i="42"/>
  <c r="E29" i="42"/>
  <c r="D29" i="42"/>
  <c r="C29" i="42"/>
  <c r="B29" i="42"/>
  <c r="I23" i="41" l="1"/>
  <c r="I34" i="41"/>
  <c r="I4" i="42"/>
  <c r="K4" i="42" s="1"/>
  <c r="I5" i="42"/>
  <c r="K5" i="42" s="1"/>
  <c r="I8" i="41"/>
  <c r="K8" i="41" s="1"/>
  <c r="I11" i="41"/>
  <c r="K11" i="41" s="1"/>
  <c r="I33" i="41"/>
  <c r="K33" i="41" s="1"/>
  <c r="I7" i="41"/>
  <c r="K7" i="41" s="1"/>
  <c r="I30" i="41"/>
  <c r="K30" i="41" s="1"/>
  <c r="I33" i="42"/>
  <c r="K33" i="42" s="1"/>
  <c r="I32" i="41"/>
  <c r="K32" i="41" s="1"/>
  <c r="I26" i="41"/>
  <c r="K26" i="41" s="1"/>
  <c r="I29" i="42"/>
  <c r="K29" i="42" s="1"/>
  <c r="I17" i="42"/>
  <c r="K17" i="42" s="1"/>
  <c r="I6" i="42"/>
  <c r="K6" i="42" s="1"/>
  <c r="I8" i="42"/>
  <c r="K8" i="42" s="1"/>
  <c r="I35" i="42"/>
  <c r="K35" i="42" s="1"/>
  <c r="I34" i="42"/>
  <c r="K34" i="42" s="1"/>
  <c r="I31" i="42"/>
  <c r="K31" i="42" s="1"/>
  <c r="I28" i="42"/>
  <c r="K28" i="42" s="1"/>
  <c r="I18" i="42"/>
  <c r="K18" i="42" s="1"/>
  <c r="I32" i="42"/>
  <c r="K32" i="42" s="1"/>
  <c r="I14" i="42"/>
  <c r="K14" i="42" s="1"/>
  <c r="I15" i="41"/>
  <c r="K15" i="41" s="1"/>
  <c r="I36" i="41"/>
  <c r="K36" i="41" s="1"/>
  <c r="I12" i="41"/>
  <c r="K12" i="41" s="1"/>
  <c r="I13" i="41"/>
  <c r="K13" i="41" s="1"/>
  <c r="I4" i="41"/>
  <c r="K4" i="41" s="1"/>
  <c r="I40" i="41"/>
  <c r="K40" i="41" s="1"/>
  <c r="I39" i="41"/>
  <c r="K39" i="41" s="1"/>
  <c r="I24" i="41"/>
  <c r="K24" i="41" s="1"/>
  <c r="I2" i="41"/>
  <c r="I27" i="41"/>
  <c r="I31" i="41"/>
  <c r="K31" i="41" s="1"/>
  <c r="I22" i="41"/>
  <c r="K22" i="41" s="1"/>
  <c r="I38" i="41"/>
  <c r="K38" i="41" s="1"/>
  <c r="I14" i="41"/>
  <c r="I29" i="41"/>
  <c r="K29" i="41" s="1"/>
  <c r="I18" i="41"/>
  <c r="K18" i="41" s="1"/>
  <c r="I16" i="41"/>
  <c r="I17" i="41"/>
  <c r="K17" i="41" s="1"/>
  <c r="I5" i="41"/>
  <c r="K5" i="41" s="1"/>
  <c r="I37" i="41"/>
  <c r="K37" i="41" s="1"/>
  <c r="I19" i="41"/>
  <c r="K19" i="41" s="1"/>
  <c r="I20" i="41"/>
  <c r="I25" i="41"/>
  <c r="K25" i="41" s="1"/>
  <c r="I21" i="41"/>
  <c r="K21" i="41" s="1"/>
  <c r="I6" i="41"/>
  <c r="K6" i="41" s="1"/>
  <c r="I41" i="41"/>
  <c r="I35" i="41"/>
  <c r="K35" i="41" s="1"/>
  <c r="I3" i="41"/>
  <c r="I9" i="41"/>
  <c r="I28" i="41"/>
  <c r="K28" i="41" s="1"/>
  <c r="I25" i="42"/>
  <c r="K25" i="42" s="1"/>
  <c r="I36" i="42"/>
  <c r="K36" i="42" s="1"/>
  <c r="I23" i="42"/>
  <c r="K23" i="42" s="1"/>
  <c r="I38" i="42"/>
  <c r="K38" i="42" s="1"/>
  <c r="I9" i="42"/>
  <c r="K9" i="42" s="1"/>
  <c r="I12" i="42"/>
  <c r="I27" i="42"/>
  <c r="K27" i="42" s="1"/>
  <c r="I2" i="42"/>
  <c r="I26" i="42"/>
  <c r="K26" i="42" s="1"/>
  <c r="I10" i="42"/>
  <c r="K10" i="42" s="1"/>
  <c r="I30" i="42"/>
  <c r="K30" i="42" s="1"/>
  <c r="I22" i="42"/>
  <c r="K22" i="42" s="1"/>
  <c r="I3" i="42"/>
  <c r="I19" i="42"/>
  <c r="I39" i="42"/>
  <c r="K39" i="42" s="1"/>
  <c r="I11" i="42"/>
  <c r="I37" i="42"/>
  <c r="K37" i="42" s="1"/>
  <c r="I15" i="42"/>
  <c r="I41" i="42"/>
  <c r="I40" i="42"/>
  <c r="K40" i="42" s="1"/>
  <c r="I24" i="42"/>
  <c r="K24" i="42" s="1"/>
  <c r="K34" i="41"/>
  <c r="I7" i="42"/>
  <c r="I20" i="42"/>
  <c r="K23" i="41"/>
  <c r="I10" i="41"/>
  <c r="I21" i="42"/>
  <c r="I13" i="42"/>
  <c r="I16" i="42"/>
  <c r="L32" i="42" l="1"/>
  <c r="L24" i="41"/>
  <c r="L32" i="41"/>
  <c r="L37" i="41"/>
  <c r="L33" i="41"/>
  <c r="L21" i="42"/>
  <c r="L10" i="41"/>
  <c r="K14" i="41"/>
  <c r="L35" i="41"/>
  <c r="L8" i="42"/>
  <c r="L4" i="41"/>
  <c r="K2" i="41"/>
  <c r="L6" i="42" s="1"/>
  <c r="L29" i="42"/>
  <c r="L39" i="41"/>
  <c r="L31" i="41"/>
  <c r="L5" i="41"/>
  <c r="L34" i="41"/>
  <c r="L36" i="41"/>
  <c r="L26" i="41"/>
  <c r="L22" i="41"/>
  <c r="L30" i="41"/>
  <c r="L9" i="41"/>
  <c r="L27" i="41"/>
  <c r="L13" i="42"/>
  <c r="L22" i="42"/>
  <c r="L7" i="42"/>
  <c r="K41" i="41"/>
  <c r="L40" i="42"/>
  <c r="L35" i="42"/>
  <c r="K9" i="41"/>
  <c r="L38" i="42" s="1"/>
  <c r="K27" i="41"/>
  <c r="L36" i="42"/>
  <c r="L4" i="42"/>
  <c r="L37" i="42"/>
  <c r="L24" i="42"/>
  <c r="L31" i="42"/>
  <c r="L23" i="42"/>
  <c r="L18" i="42"/>
  <c r="K3" i="41"/>
  <c r="L11" i="42" s="1"/>
  <c r="L28" i="42"/>
  <c r="L25" i="42"/>
  <c r="L12" i="42"/>
  <c r="L15" i="42"/>
  <c r="K16" i="41"/>
  <c r="L33" i="42"/>
  <c r="K20" i="41"/>
  <c r="L39" i="42" s="1"/>
  <c r="L5" i="42"/>
  <c r="K15" i="42"/>
  <c r="L15" i="41" s="1"/>
  <c r="K12" i="42"/>
  <c r="L12" i="41" s="1"/>
  <c r="K3" i="42"/>
  <c r="L6" i="41" s="1"/>
  <c r="K19" i="42"/>
  <c r="L28" i="41" s="1"/>
  <c r="K2" i="42"/>
  <c r="L2" i="41" s="1"/>
  <c r="K11" i="42"/>
  <c r="L11" i="41" s="1"/>
  <c r="K41" i="42"/>
  <c r="K16" i="42"/>
  <c r="L40" i="41" s="1"/>
  <c r="K13" i="42"/>
  <c r="L17" i="41" s="1"/>
  <c r="K21" i="42"/>
  <c r="L38" i="41" s="1"/>
  <c r="K20" i="42"/>
  <c r="L23" i="41" s="1"/>
  <c r="K7" i="42"/>
  <c r="K10" i="41"/>
  <c r="L17" i="42" s="1"/>
  <c r="L10" i="42" l="1"/>
  <c r="L20" i="41"/>
  <c r="L21" i="41"/>
  <c r="L41" i="42"/>
  <c r="L9" i="42"/>
  <c r="L2" i="42"/>
  <c r="L3" i="42"/>
  <c r="L16" i="42"/>
  <c r="L20" i="42"/>
  <c r="L34" i="42"/>
  <c r="L16" i="41"/>
  <c r="L14" i="41"/>
  <c r="L30" i="42"/>
  <c r="L13" i="41"/>
  <c r="L19" i="41"/>
  <c r="L29" i="41"/>
  <c r="L8" i="41"/>
  <c r="L41" i="41"/>
  <c r="L25" i="41"/>
  <c r="L7" i="41"/>
  <c r="L18" i="41"/>
  <c r="L3" i="41"/>
  <c r="L26" i="42"/>
  <c r="L14" i="42"/>
  <c r="L19" i="42"/>
  <c r="L27" i="42"/>
  <c r="B2" i="39" l="1"/>
  <c r="A2" i="39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9" i="33"/>
  <c r="J30" i="33"/>
  <c r="J31" i="33"/>
  <c r="J32" i="33"/>
  <c r="J33" i="33"/>
  <c r="J34" i="33"/>
  <c r="J35" i="33"/>
  <c r="J36" i="33"/>
  <c r="J37" i="33"/>
  <c r="J38" i="33"/>
  <c r="J39" i="33"/>
  <c r="J40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J34" i="32"/>
  <c r="J35" i="32"/>
  <c r="J36" i="32"/>
  <c r="J37" i="32"/>
  <c r="J38" i="32"/>
  <c r="J39" i="32"/>
  <c r="J40" i="32"/>
  <c r="J43" i="32"/>
  <c r="R2" i="39" l="1"/>
  <c r="Q2" i="39"/>
  <c r="P2" i="39" l="1"/>
  <c r="O2" i="39"/>
  <c r="I2" i="37"/>
  <c r="I1" i="37" s="1"/>
  <c r="K2" i="37"/>
  <c r="K1" i="37" s="1"/>
  <c r="K3" i="37" l="1"/>
  <c r="J6" i="36" s="1"/>
  <c r="Q10" i="37"/>
  <c r="P10" i="37"/>
  <c r="L10" i="37"/>
  <c r="N10" i="37"/>
  <c r="M10" i="37"/>
  <c r="Q12" i="37"/>
  <c r="M21" i="37"/>
  <c r="Q21" i="37"/>
  <c r="R21" i="37" s="1"/>
  <c r="P20" i="37"/>
  <c r="N15" i="37"/>
  <c r="L17" i="37"/>
  <c r="Q16" i="37"/>
  <c r="L18" i="37"/>
  <c r="P17" i="37"/>
  <c r="N12" i="37"/>
  <c r="L12" i="37"/>
  <c r="N22" i="37"/>
  <c r="M20" i="37"/>
  <c r="N13" i="37"/>
  <c r="L11" i="37"/>
  <c r="P14" i="37"/>
  <c r="M17" i="37"/>
  <c r="Q17" i="37"/>
  <c r="N19" i="37"/>
  <c r="M14" i="37"/>
  <c r="L13" i="37"/>
  <c r="N18" i="37"/>
  <c r="P21" i="37"/>
  <c r="N16" i="37"/>
  <c r="M11" i="37"/>
  <c r="Q23" i="37"/>
  <c r="R23" i="37" s="1"/>
  <c r="P19" i="37"/>
  <c r="P18" i="37"/>
  <c r="M12" i="37"/>
  <c r="Q22" i="37"/>
  <c r="R22" i="37" s="1"/>
  <c r="P15" i="37"/>
  <c r="M13" i="37"/>
  <c r="Q13" i="37"/>
  <c r="M18" i="37"/>
  <c r="P12" i="37"/>
  <c r="Q24" i="37"/>
  <c r="R24" i="37" s="1"/>
  <c r="N14" i="37"/>
  <c r="N20" i="37"/>
  <c r="M15" i="37"/>
  <c r="L20" i="37"/>
  <c r="Q19" i="37"/>
  <c r="R19" i="37" s="1"/>
  <c r="P22" i="37"/>
  <c r="N17" i="37"/>
  <c r="L19" i="37"/>
  <c r="Q18" i="37"/>
  <c r="Q11" i="37"/>
  <c r="L14" i="37"/>
  <c r="M22" i="37"/>
  <c r="P16" i="37"/>
  <c r="N11" i="37"/>
  <c r="Q20" i="37"/>
  <c r="R20" i="37" s="1"/>
  <c r="P11" i="37"/>
  <c r="M19" i="37"/>
  <c r="P13" i="37"/>
  <c r="L16" i="37"/>
  <c r="Q15" i="37"/>
  <c r="N21" i="37"/>
  <c r="M16" i="37"/>
  <c r="L15" i="37"/>
  <c r="Q14" i="37"/>
  <c r="L21" i="37"/>
  <c r="M23" i="37"/>
  <c r="L24" i="37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L22" i="37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B14" i="37"/>
  <c r="G14" i="37"/>
  <c r="D15" i="37"/>
  <c r="B16" i="37"/>
  <c r="G16" i="37"/>
  <c r="D17" i="37"/>
  <c r="B18" i="37"/>
  <c r="G18" i="37"/>
  <c r="D19" i="37"/>
  <c r="B20" i="37"/>
  <c r="G20" i="37"/>
  <c r="D21" i="37"/>
  <c r="B22" i="37"/>
  <c r="G22" i="37"/>
  <c r="D23" i="37"/>
  <c r="B24" i="37"/>
  <c r="G24" i="37"/>
  <c r="D25" i="37"/>
  <c r="B26" i="37"/>
  <c r="G26" i="37"/>
  <c r="D27" i="37"/>
  <c r="B28" i="37"/>
  <c r="G28" i="37"/>
  <c r="D29" i="37"/>
  <c r="B30" i="37"/>
  <c r="G30" i="37"/>
  <c r="D31" i="37"/>
  <c r="B32" i="37"/>
  <c r="G32" i="37"/>
  <c r="D33" i="37"/>
  <c r="B34" i="37"/>
  <c r="G34" i="37"/>
  <c r="D35" i="37"/>
  <c r="B36" i="37"/>
  <c r="G36" i="37"/>
  <c r="D37" i="37"/>
  <c r="B38" i="37"/>
  <c r="G38" i="37"/>
  <c r="D39" i="37"/>
  <c r="B40" i="37"/>
  <c r="G40" i="37"/>
  <c r="D41" i="37"/>
  <c r="B42" i="37"/>
  <c r="G42" i="37"/>
  <c r="D43" i="37"/>
  <c r="B44" i="37"/>
  <c r="G44" i="37"/>
  <c r="D45" i="37"/>
  <c r="B46" i="37"/>
  <c r="G46" i="37"/>
  <c r="D47" i="37"/>
  <c r="B48" i="37"/>
  <c r="G48" i="37"/>
  <c r="D49" i="37"/>
  <c r="B50" i="37"/>
  <c r="G50" i="37"/>
  <c r="D51" i="37"/>
  <c r="B52" i="37"/>
  <c r="G52" i="37"/>
  <c r="D53" i="37"/>
  <c r="B54" i="37"/>
  <c r="G54" i="37"/>
  <c r="D55" i="37"/>
  <c r="B56" i="37"/>
  <c r="G56" i="37"/>
  <c r="D57" i="37"/>
  <c r="B58" i="37"/>
  <c r="G58" i="37"/>
  <c r="D59" i="37"/>
  <c r="B60" i="37"/>
  <c r="G60" i="37"/>
  <c r="D61" i="37"/>
  <c r="B62" i="37"/>
  <c r="G62" i="37"/>
  <c r="D63" i="37"/>
  <c r="B64" i="37"/>
  <c r="G64" i="37"/>
  <c r="D65" i="37"/>
  <c r="B66" i="37"/>
  <c r="G66" i="37"/>
  <c r="D67" i="37"/>
  <c r="B68" i="37"/>
  <c r="G68" i="37"/>
  <c r="D69" i="37"/>
  <c r="F13" i="37"/>
  <c r="C14" i="37"/>
  <c r="F15" i="37"/>
  <c r="C16" i="37"/>
  <c r="F17" i="37"/>
  <c r="C18" i="37"/>
  <c r="F19" i="37"/>
  <c r="C20" i="37"/>
  <c r="H20" i="37" s="1"/>
  <c r="F21" i="37"/>
  <c r="C22" i="37"/>
  <c r="H22" i="37" s="1"/>
  <c r="F23" i="37"/>
  <c r="C24" i="37"/>
  <c r="H24" i="37" s="1"/>
  <c r="F25" i="37"/>
  <c r="C26" i="37"/>
  <c r="H26" i="37" s="1"/>
  <c r="F27" i="37"/>
  <c r="C28" i="37"/>
  <c r="H28" i="37" s="1"/>
  <c r="F29" i="37"/>
  <c r="C30" i="37"/>
  <c r="H30" i="37" s="1"/>
  <c r="F31" i="37"/>
  <c r="C32" i="37"/>
  <c r="H32" i="37" s="1"/>
  <c r="F33" i="37"/>
  <c r="C34" i="37"/>
  <c r="H34" i="37" s="1"/>
  <c r="F35" i="37"/>
  <c r="C36" i="37"/>
  <c r="H36" i="37" s="1"/>
  <c r="F37" i="37"/>
  <c r="C38" i="37"/>
  <c r="H38" i="37" s="1"/>
  <c r="F39" i="37"/>
  <c r="C40" i="37"/>
  <c r="H40" i="37" s="1"/>
  <c r="F41" i="37"/>
  <c r="C42" i="37"/>
  <c r="H42" i="37" s="1"/>
  <c r="F43" i="37"/>
  <c r="C44" i="37"/>
  <c r="H44" i="37" s="1"/>
  <c r="F45" i="37"/>
  <c r="C46" i="37"/>
  <c r="H46" i="37" s="1"/>
  <c r="F47" i="37"/>
  <c r="C48" i="37"/>
  <c r="H48" i="37" s="1"/>
  <c r="F49" i="37"/>
  <c r="C50" i="37"/>
  <c r="H50" i="37" s="1"/>
  <c r="F51" i="37"/>
  <c r="C52" i="37"/>
  <c r="H52" i="37" s="1"/>
  <c r="F53" i="37"/>
  <c r="C54" i="37"/>
  <c r="H54" i="37" s="1"/>
  <c r="F55" i="37"/>
  <c r="C56" i="37"/>
  <c r="H56" i="37" s="1"/>
  <c r="F57" i="37"/>
  <c r="C58" i="37"/>
  <c r="H58" i="37" s="1"/>
  <c r="F59" i="37"/>
  <c r="C60" i="37"/>
  <c r="H60" i="37" s="1"/>
  <c r="B13" i="37"/>
  <c r="F14" i="37"/>
  <c r="C17" i="37"/>
  <c r="F18" i="37"/>
  <c r="C21" i="37"/>
  <c r="H21" i="37" s="1"/>
  <c r="F22" i="37"/>
  <c r="C25" i="37"/>
  <c r="H25" i="37" s="1"/>
  <c r="F26" i="37"/>
  <c r="C29" i="37"/>
  <c r="H29" i="37" s="1"/>
  <c r="F30" i="37"/>
  <c r="C33" i="37"/>
  <c r="H33" i="37" s="1"/>
  <c r="F34" i="37"/>
  <c r="C37" i="37"/>
  <c r="H37" i="37" s="1"/>
  <c r="F38" i="37"/>
  <c r="C41" i="37"/>
  <c r="H41" i="37" s="1"/>
  <c r="F42" i="37"/>
  <c r="C45" i="37"/>
  <c r="H45" i="37" s="1"/>
  <c r="F46" i="37"/>
  <c r="C49" i="37"/>
  <c r="H49" i="37" s="1"/>
  <c r="F50" i="37"/>
  <c r="C53" i="37"/>
  <c r="H53" i="37" s="1"/>
  <c r="F54" i="37"/>
  <c r="C57" i="37"/>
  <c r="H57" i="37" s="1"/>
  <c r="F58" i="37"/>
  <c r="B61" i="37"/>
  <c r="G63" i="37"/>
  <c r="F64" i="37"/>
  <c r="F65" i="37"/>
  <c r="D66" i="37"/>
  <c r="C67" i="37"/>
  <c r="H67" i="37" s="1"/>
  <c r="C68" i="37"/>
  <c r="H68" i="37" s="1"/>
  <c r="B69" i="37"/>
  <c r="F70" i="37"/>
  <c r="C71" i="37"/>
  <c r="H71" i="37" s="1"/>
  <c r="F72" i="37"/>
  <c r="C73" i="37"/>
  <c r="H73" i="37" s="1"/>
  <c r="F74" i="37"/>
  <c r="C75" i="37"/>
  <c r="H75" i="37" s="1"/>
  <c r="F76" i="37"/>
  <c r="C77" i="37"/>
  <c r="H77" i="37" s="1"/>
  <c r="F78" i="37"/>
  <c r="C79" i="37"/>
  <c r="H79" i="37" s="1"/>
  <c r="F80" i="37"/>
  <c r="C81" i="37"/>
  <c r="H81" i="37" s="1"/>
  <c r="F82" i="37"/>
  <c r="C83" i="37"/>
  <c r="H83" i="37" s="1"/>
  <c r="F84" i="37"/>
  <c r="C85" i="37"/>
  <c r="H85" i="37" s="1"/>
  <c r="F86" i="37"/>
  <c r="C87" i="37"/>
  <c r="H87" i="37" s="1"/>
  <c r="F88" i="37"/>
  <c r="C89" i="37"/>
  <c r="H89" i="37" s="1"/>
  <c r="F90" i="37"/>
  <c r="C91" i="37"/>
  <c r="H91" i="37" s="1"/>
  <c r="F92" i="37"/>
  <c r="C93" i="37"/>
  <c r="H93" i="37" s="1"/>
  <c r="F94" i="37"/>
  <c r="C95" i="37"/>
  <c r="H95" i="37" s="1"/>
  <c r="G13" i="37"/>
  <c r="B15" i="37"/>
  <c r="D16" i="37"/>
  <c r="G17" i="37"/>
  <c r="B19" i="37"/>
  <c r="D20" i="37"/>
  <c r="G21" i="37"/>
  <c r="B23" i="37"/>
  <c r="D24" i="37"/>
  <c r="G25" i="37"/>
  <c r="B27" i="37"/>
  <c r="D28" i="37"/>
  <c r="G29" i="37"/>
  <c r="B31" i="37"/>
  <c r="D32" i="37"/>
  <c r="G33" i="37"/>
  <c r="B35" i="37"/>
  <c r="D36" i="37"/>
  <c r="G37" i="37"/>
  <c r="B39" i="37"/>
  <c r="D40" i="37"/>
  <c r="G41" i="37"/>
  <c r="B43" i="37"/>
  <c r="D44" i="37"/>
  <c r="G45" i="37"/>
  <c r="B47" i="37"/>
  <c r="D48" i="37"/>
  <c r="G49" i="37"/>
  <c r="B51" i="37"/>
  <c r="D52" i="37"/>
  <c r="G53" i="37"/>
  <c r="B55" i="37"/>
  <c r="D56" i="37"/>
  <c r="G57" i="37"/>
  <c r="B59" i="37"/>
  <c r="D60" i="37"/>
  <c r="C61" i="37"/>
  <c r="H61" i="37" s="1"/>
  <c r="C62" i="37"/>
  <c r="H62" i="37" s="1"/>
  <c r="B63" i="37"/>
  <c r="G65" i="37"/>
  <c r="F66" i="37"/>
  <c r="F67" i="37"/>
  <c r="D68" i="37"/>
  <c r="C69" i="37"/>
  <c r="H69" i="37" s="1"/>
  <c r="B70" i="37"/>
  <c r="G70" i="37"/>
  <c r="D71" i="37"/>
  <c r="B72" i="37"/>
  <c r="G72" i="37"/>
  <c r="D73" i="37"/>
  <c r="B74" i="37"/>
  <c r="G74" i="37"/>
  <c r="D75" i="37"/>
  <c r="B76" i="37"/>
  <c r="G76" i="37"/>
  <c r="D77" i="37"/>
  <c r="B78" i="37"/>
  <c r="G78" i="37"/>
  <c r="D79" i="37"/>
  <c r="B80" i="37"/>
  <c r="G80" i="37"/>
  <c r="D81" i="37"/>
  <c r="B82" i="37"/>
  <c r="G82" i="37"/>
  <c r="D83" i="37"/>
  <c r="B84" i="37"/>
  <c r="G84" i="37"/>
  <c r="D85" i="37"/>
  <c r="B86" i="37"/>
  <c r="G86" i="37"/>
  <c r="D87" i="37"/>
  <c r="B88" i="37"/>
  <c r="G88" i="37"/>
  <c r="D89" i="37"/>
  <c r="B90" i="37"/>
  <c r="C15" i="37"/>
  <c r="F16" i="37"/>
  <c r="C19" i="37"/>
  <c r="H19" i="37" s="1"/>
  <c r="F20" i="37"/>
  <c r="C23" i="37"/>
  <c r="H23" i="37" s="1"/>
  <c r="F24" i="37"/>
  <c r="C27" i="37"/>
  <c r="H27" i="37" s="1"/>
  <c r="F28" i="37"/>
  <c r="C31" i="37"/>
  <c r="H31" i="37" s="1"/>
  <c r="F32" i="37"/>
  <c r="C35" i="37"/>
  <c r="H35" i="37" s="1"/>
  <c r="F36" i="37"/>
  <c r="C39" i="37"/>
  <c r="H39" i="37" s="1"/>
  <c r="F40" i="37"/>
  <c r="C43" i="37"/>
  <c r="H43" i="37" s="1"/>
  <c r="F44" i="37"/>
  <c r="C47" i="37"/>
  <c r="H47" i="37" s="1"/>
  <c r="F48" i="37"/>
  <c r="C51" i="37"/>
  <c r="H51" i="37" s="1"/>
  <c r="F52" i="37"/>
  <c r="C55" i="37"/>
  <c r="H55" i="37" s="1"/>
  <c r="F56" i="37"/>
  <c r="C59" i="37"/>
  <c r="H59" i="37" s="1"/>
  <c r="F60" i="37"/>
  <c r="F61" i="37"/>
  <c r="D62" i="37"/>
  <c r="C63" i="37"/>
  <c r="H63" i="37" s="1"/>
  <c r="C64" i="37"/>
  <c r="H64" i="37" s="1"/>
  <c r="B65" i="37"/>
  <c r="G67" i="37"/>
  <c r="F68" i="37"/>
  <c r="F69" i="37"/>
  <c r="C70" i="37"/>
  <c r="H70" i="37" s="1"/>
  <c r="F71" i="37"/>
  <c r="C72" i="37"/>
  <c r="H72" i="37" s="1"/>
  <c r="F73" i="37"/>
  <c r="C74" i="37"/>
  <c r="H74" i="37" s="1"/>
  <c r="F75" i="37"/>
  <c r="C76" i="37"/>
  <c r="H76" i="37" s="1"/>
  <c r="F77" i="37"/>
  <c r="C78" i="37"/>
  <c r="H78" i="37" s="1"/>
  <c r="F79" i="37"/>
  <c r="C80" i="37"/>
  <c r="H80" i="37" s="1"/>
  <c r="F81" i="37"/>
  <c r="C82" i="37"/>
  <c r="H82" i="37" s="1"/>
  <c r="F83" i="37"/>
  <c r="D14" i="37"/>
  <c r="G15" i="37"/>
  <c r="B17" i="37"/>
  <c r="D18" i="37"/>
  <c r="G19" i="37"/>
  <c r="B21" i="37"/>
  <c r="D22" i="37"/>
  <c r="G23" i="37"/>
  <c r="B25" i="37"/>
  <c r="D26" i="37"/>
  <c r="G27" i="37"/>
  <c r="B29" i="37"/>
  <c r="D30" i="37"/>
  <c r="G31" i="37"/>
  <c r="B33" i="37"/>
  <c r="D34" i="37"/>
  <c r="G35" i="37"/>
  <c r="B37" i="37"/>
  <c r="D38" i="37"/>
  <c r="G39" i="37"/>
  <c r="B41" i="37"/>
  <c r="D42" i="37"/>
  <c r="G43" i="37"/>
  <c r="B45" i="37"/>
  <c r="D46" i="37"/>
  <c r="G47" i="37"/>
  <c r="B49" i="37"/>
  <c r="D50" i="37"/>
  <c r="G51" i="37"/>
  <c r="B53" i="37"/>
  <c r="D54" i="37"/>
  <c r="G55" i="37"/>
  <c r="B57" i="37"/>
  <c r="D58" i="37"/>
  <c r="G59" i="37"/>
  <c r="G61" i="37"/>
  <c r="F62" i="37"/>
  <c r="F63" i="37"/>
  <c r="D64" i="37"/>
  <c r="C65" i="37"/>
  <c r="H65" i="37" s="1"/>
  <c r="C66" i="37"/>
  <c r="H66" i="37" s="1"/>
  <c r="B67" i="37"/>
  <c r="G69" i="37"/>
  <c r="D70" i="37"/>
  <c r="B71" i="37"/>
  <c r="G71" i="37"/>
  <c r="D72" i="37"/>
  <c r="B73" i="37"/>
  <c r="G73" i="37"/>
  <c r="D74" i="37"/>
  <c r="B75" i="37"/>
  <c r="G75" i="37"/>
  <c r="D76" i="37"/>
  <c r="B77" i="37"/>
  <c r="G77" i="37"/>
  <c r="D78" i="37"/>
  <c r="B79" i="37"/>
  <c r="G79" i="37"/>
  <c r="D80" i="37"/>
  <c r="B83" i="37"/>
  <c r="C86" i="37"/>
  <c r="H86" i="37" s="1"/>
  <c r="F87" i="37"/>
  <c r="C90" i="37"/>
  <c r="H90" i="37" s="1"/>
  <c r="B91" i="37"/>
  <c r="B92" i="37"/>
  <c r="G93" i="37"/>
  <c r="G94" i="37"/>
  <c r="F95" i="37"/>
  <c r="C96" i="37"/>
  <c r="H96" i="37" s="1"/>
  <c r="F97" i="37"/>
  <c r="C98" i="37"/>
  <c r="H98" i="37" s="1"/>
  <c r="F99" i="37"/>
  <c r="C100" i="37"/>
  <c r="H100" i="37" s="1"/>
  <c r="F101" i="37"/>
  <c r="C102" i="37"/>
  <c r="H102" i="37" s="1"/>
  <c r="F103" i="37"/>
  <c r="C104" i="37"/>
  <c r="H104" i="37" s="1"/>
  <c r="F105" i="37"/>
  <c r="C106" i="37"/>
  <c r="H106" i="37" s="1"/>
  <c r="F107" i="37"/>
  <c r="C108" i="37"/>
  <c r="H108" i="37" s="1"/>
  <c r="F109" i="37"/>
  <c r="C110" i="37"/>
  <c r="H110" i="37" s="1"/>
  <c r="F111" i="37"/>
  <c r="C112" i="37"/>
  <c r="H112" i="37" s="1"/>
  <c r="F113" i="37"/>
  <c r="C114" i="37"/>
  <c r="H114" i="37" s="1"/>
  <c r="F115" i="37"/>
  <c r="C116" i="37"/>
  <c r="H116" i="37" s="1"/>
  <c r="F117" i="37"/>
  <c r="C118" i="37"/>
  <c r="H118" i="37" s="1"/>
  <c r="F119" i="37"/>
  <c r="C120" i="37"/>
  <c r="H120" i="37" s="1"/>
  <c r="F121" i="37"/>
  <c r="C122" i="37"/>
  <c r="H122" i="37" s="1"/>
  <c r="F123" i="37"/>
  <c r="C124" i="37"/>
  <c r="H124" i="37" s="1"/>
  <c r="F125" i="37"/>
  <c r="C126" i="37"/>
  <c r="H126" i="37" s="1"/>
  <c r="F127" i="37"/>
  <c r="C128" i="37"/>
  <c r="H128" i="37" s="1"/>
  <c r="F129" i="37"/>
  <c r="C130" i="37"/>
  <c r="H130" i="37" s="1"/>
  <c r="B81" i="37"/>
  <c r="G83" i="37"/>
  <c r="B85" i="37"/>
  <c r="D86" i="37"/>
  <c r="G87" i="37"/>
  <c r="B89" i="37"/>
  <c r="D90" i="37"/>
  <c r="D91" i="37"/>
  <c r="C92" i="37"/>
  <c r="H92" i="37" s="1"/>
  <c r="B93" i="37"/>
  <c r="B94" i="37"/>
  <c r="G95" i="37"/>
  <c r="D96" i="37"/>
  <c r="B97" i="37"/>
  <c r="G97" i="37"/>
  <c r="D98" i="37"/>
  <c r="B99" i="37"/>
  <c r="G99" i="37"/>
  <c r="D100" i="37"/>
  <c r="B101" i="37"/>
  <c r="G101" i="37"/>
  <c r="D102" i="37"/>
  <c r="B103" i="37"/>
  <c r="G103" i="37"/>
  <c r="D104" i="37"/>
  <c r="B105" i="37"/>
  <c r="G105" i="37"/>
  <c r="D106" i="37"/>
  <c r="B107" i="37"/>
  <c r="G107" i="37"/>
  <c r="D108" i="37"/>
  <c r="B109" i="37"/>
  <c r="G109" i="37"/>
  <c r="D110" i="37"/>
  <c r="B111" i="37"/>
  <c r="G111" i="37"/>
  <c r="D112" i="37"/>
  <c r="B113" i="37"/>
  <c r="G113" i="37"/>
  <c r="D114" i="37"/>
  <c r="B115" i="37"/>
  <c r="G115" i="37"/>
  <c r="D116" i="37"/>
  <c r="B117" i="37"/>
  <c r="G117" i="37"/>
  <c r="D118" i="37"/>
  <c r="B119" i="37"/>
  <c r="G119" i="37"/>
  <c r="D120" i="37"/>
  <c r="B121" i="37"/>
  <c r="G121" i="37"/>
  <c r="D122" i="37"/>
  <c r="B123" i="37"/>
  <c r="G123" i="37"/>
  <c r="D124" i="37"/>
  <c r="B125" i="37"/>
  <c r="G125" i="37"/>
  <c r="D126" i="37"/>
  <c r="B127" i="37"/>
  <c r="G127" i="37"/>
  <c r="D128" i="37"/>
  <c r="B129" i="37"/>
  <c r="G129" i="37"/>
  <c r="D130" i="37"/>
  <c r="B131" i="37"/>
  <c r="G131" i="37"/>
  <c r="D132" i="37"/>
  <c r="B133" i="37"/>
  <c r="G133" i="37"/>
  <c r="D134" i="37"/>
  <c r="B135" i="37"/>
  <c r="G135" i="37"/>
  <c r="D136" i="37"/>
  <c r="B137" i="37"/>
  <c r="G137" i="37"/>
  <c r="D138" i="37"/>
  <c r="B139" i="37"/>
  <c r="G139" i="37"/>
  <c r="D140" i="37"/>
  <c r="B141" i="37"/>
  <c r="G141" i="37"/>
  <c r="D142" i="37"/>
  <c r="B143" i="37"/>
  <c r="G143" i="37"/>
  <c r="G81" i="37"/>
  <c r="F85" i="37"/>
  <c r="C88" i="37"/>
  <c r="H88" i="37" s="1"/>
  <c r="G90" i="37"/>
  <c r="D92" i="37"/>
  <c r="C94" i="37"/>
  <c r="H94" i="37" s="1"/>
  <c r="C97" i="37"/>
  <c r="H97" i="37" s="1"/>
  <c r="F98" i="37"/>
  <c r="C101" i="37"/>
  <c r="H101" i="37" s="1"/>
  <c r="F102" i="37"/>
  <c r="C105" i="37"/>
  <c r="H105" i="37" s="1"/>
  <c r="F106" i="37"/>
  <c r="C109" i="37"/>
  <c r="H109" i="37" s="1"/>
  <c r="F110" i="37"/>
  <c r="C113" i="37"/>
  <c r="H113" i="37" s="1"/>
  <c r="F114" i="37"/>
  <c r="C117" i="37"/>
  <c r="H117" i="37" s="1"/>
  <c r="F118" i="37"/>
  <c r="C121" i="37"/>
  <c r="H121" i="37" s="1"/>
  <c r="F122" i="37"/>
  <c r="C125" i="37"/>
  <c r="H125" i="37" s="1"/>
  <c r="F126" i="37"/>
  <c r="D82" i="37"/>
  <c r="G85" i="37"/>
  <c r="D88" i="37"/>
  <c r="G92" i="37"/>
  <c r="D94" i="37"/>
  <c r="B96" i="37"/>
  <c r="D97" i="37"/>
  <c r="G98" i="37"/>
  <c r="B100" i="37"/>
  <c r="D101" i="37"/>
  <c r="G102" i="37"/>
  <c r="B104" i="37"/>
  <c r="D105" i="37"/>
  <c r="G106" i="37"/>
  <c r="B108" i="37"/>
  <c r="D109" i="37"/>
  <c r="G110" i="37"/>
  <c r="B112" i="37"/>
  <c r="D113" i="37"/>
  <c r="G114" i="37"/>
  <c r="B116" i="37"/>
  <c r="D117" i="37"/>
  <c r="G118" i="37"/>
  <c r="B120" i="37"/>
  <c r="D121" i="37"/>
  <c r="G122" i="37"/>
  <c r="B124" i="37"/>
  <c r="D125" i="37"/>
  <c r="G126" i="37"/>
  <c r="B128" i="37"/>
  <c r="D129" i="37"/>
  <c r="G130" i="37"/>
  <c r="F131" i="37"/>
  <c r="F132" i="37"/>
  <c r="D133" i="37"/>
  <c r="C134" i="37"/>
  <c r="H134" i="37" s="1"/>
  <c r="C135" i="37"/>
  <c r="H135" i="37" s="1"/>
  <c r="B136" i="37"/>
  <c r="G138" i="37"/>
  <c r="F139" i="37"/>
  <c r="F140" i="37"/>
  <c r="D141" i="37"/>
  <c r="C142" i="37"/>
  <c r="H142" i="37" s="1"/>
  <c r="C143" i="37"/>
  <c r="H143" i="37" s="1"/>
  <c r="B144" i="37"/>
  <c r="G144" i="37"/>
  <c r="D145" i="37"/>
  <c r="B146" i="37"/>
  <c r="G146" i="37"/>
  <c r="D147" i="37"/>
  <c r="B148" i="37"/>
  <c r="G148" i="37"/>
  <c r="D149" i="37"/>
  <c r="B150" i="37"/>
  <c r="G150" i="37"/>
  <c r="D151" i="37"/>
  <c r="B152" i="37"/>
  <c r="G152" i="37"/>
  <c r="D153" i="37"/>
  <c r="B154" i="37"/>
  <c r="G154" i="37"/>
  <c r="D155" i="37"/>
  <c r="B156" i="37"/>
  <c r="G156" i="37"/>
  <c r="D157" i="37"/>
  <c r="B158" i="37"/>
  <c r="G158" i="37"/>
  <c r="D159" i="37"/>
  <c r="B160" i="37"/>
  <c r="G160" i="37"/>
  <c r="D161" i="37"/>
  <c r="B162" i="37"/>
  <c r="G162" i="37"/>
  <c r="D163" i="37"/>
  <c r="B164" i="37"/>
  <c r="G164" i="37"/>
  <c r="D165" i="37"/>
  <c r="B166" i="37"/>
  <c r="G166" i="37"/>
  <c r="D167" i="37"/>
  <c r="B168" i="37"/>
  <c r="G168" i="37"/>
  <c r="D169" i="37"/>
  <c r="B170" i="37"/>
  <c r="G170" i="37"/>
  <c r="D171" i="37"/>
  <c r="B172" i="37"/>
  <c r="G172" i="37"/>
  <c r="D173" i="37"/>
  <c r="B174" i="37"/>
  <c r="G174" i="37"/>
  <c r="D175" i="37"/>
  <c r="B176" i="37"/>
  <c r="G176" i="37"/>
  <c r="D177" i="37"/>
  <c r="B178" i="37"/>
  <c r="G178" i="37"/>
  <c r="D179" i="37"/>
  <c r="B180" i="37"/>
  <c r="G180" i="37"/>
  <c r="D181" i="37"/>
  <c r="B182" i="37"/>
  <c r="G182" i="37"/>
  <c r="D183" i="37"/>
  <c r="B184" i="37"/>
  <c r="G184" i="37"/>
  <c r="D185" i="37"/>
  <c r="B186" i="37"/>
  <c r="G186" i="37"/>
  <c r="D187" i="37"/>
  <c r="B188" i="37"/>
  <c r="G188" i="37"/>
  <c r="D189" i="37"/>
  <c r="B190" i="37"/>
  <c r="G190" i="37"/>
  <c r="D191" i="37"/>
  <c r="B192" i="37"/>
  <c r="G192" i="37"/>
  <c r="D193" i="37"/>
  <c r="B194" i="37"/>
  <c r="G194" i="37"/>
  <c r="D195" i="37"/>
  <c r="B196" i="37"/>
  <c r="G196" i="37"/>
  <c r="D197" i="37"/>
  <c r="B198" i="37"/>
  <c r="G198" i="37"/>
  <c r="D199" i="37"/>
  <c r="B200" i="37"/>
  <c r="G200" i="37"/>
  <c r="D201" i="37"/>
  <c r="B202" i="37"/>
  <c r="G202" i="37"/>
  <c r="D203" i="37"/>
  <c r="B204" i="37"/>
  <c r="G204" i="37"/>
  <c r="F205" i="37"/>
  <c r="C206" i="37"/>
  <c r="H206" i="37" s="1"/>
  <c r="B207" i="37"/>
  <c r="G207" i="37"/>
  <c r="D208" i="37"/>
  <c r="C209" i="37"/>
  <c r="H209" i="37" s="1"/>
  <c r="F210" i="37"/>
  <c r="D211" i="37"/>
  <c r="B212" i="37"/>
  <c r="G212" i="37"/>
  <c r="F213" i="37"/>
  <c r="C214" i="37"/>
  <c r="H214" i="37" s="1"/>
  <c r="B215" i="37"/>
  <c r="G215" i="37"/>
  <c r="D216" i="37"/>
  <c r="C217" i="37"/>
  <c r="H217" i="37" s="1"/>
  <c r="F218" i="37"/>
  <c r="D219" i="37"/>
  <c r="B220" i="37"/>
  <c r="G220" i="37"/>
  <c r="F221" i="37"/>
  <c r="C222" i="37"/>
  <c r="H222" i="37" s="1"/>
  <c r="B223" i="37"/>
  <c r="G223" i="37"/>
  <c r="D224" i="37"/>
  <c r="C225" i="37"/>
  <c r="H225" i="37" s="1"/>
  <c r="F226" i="37"/>
  <c r="D227" i="37"/>
  <c r="C84" i="37"/>
  <c r="H84" i="37" s="1"/>
  <c r="F89" i="37"/>
  <c r="F91" i="37"/>
  <c r="D93" i="37"/>
  <c r="B95" i="37"/>
  <c r="F96" i="37"/>
  <c r="C99" i="37"/>
  <c r="H99" i="37" s="1"/>
  <c r="F100" i="37"/>
  <c r="C103" i="37"/>
  <c r="H103" i="37" s="1"/>
  <c r="F104" i="37"/>
  <c r="C107" i="37"/>
  <c r="H107" i="37" s="1"/>
  <c r="F108" i="37"/>
  <c r="C111" i="37"/>
  <c r="H111" i="37" s="1"/>
  <c r="F112" i="37"/>
  <c r="C115" i="37"/>
  <c r="H115" i="37" s="1"/>
  <c r="F116" i="37"/>
  <c r="C119" i="37"/>
  <c r="H119" i="37" s="1"/>
  <c r="F120" i="37"/>
  <c r="C123" i="37"/>
  <c r="H123" i="37" s="1"/>
  <c r="F124" i="37"/>
  <c r="C127" i="37"/>
  <c r="H127" i="37" s="1"/>
  <c r="F128" i="37"/>
  <c r="G132" i="37"/>
  <c r="F133" i="37"/>
  <c r="F134" i="37"/>
  <c r="D135" i="37"/>
  <c r="C136" i="37"/>
  <c r="H136" i="37" s="1"/>
  <c r="C137" i="37"/>
  <c r="H137" i="37" s="1"/>
  <c r="B138" i="37"/>
  <c r="G140" i="37"/>
  <c r="F141" i="37"/>
  <c r="F142" i="37"/>
  <c r="D143" i="37"/>
  <c r="C144" i="37"/>
  <c r="H144" i="37" s="1"/>
  <c r="F145" i="37"/>
  <c r="C146" i="37"/>
  <c r="H146" i="37" s="1"/>
  <c r="F147" i="37"/>
  <c r="C148" i="37"/>
  <c r="H148" i="37" s="1"/>
  <c r="F149" i="37"/>
  <c r="C150" i="37"/>
  <c r="H150" i="37" s="1"/>
  <c r="F151" i="37"/>
  <c r="C152" i="37"/>
  <c r="H152" i="37" s="1"/>
  <c r="F153" i="37"/>
  <c r="C154" i="37"/>
  <c r="H154" i="37" s="1"/>
  <c r="F155" i="37"/>
  <c r="C156" i="37"/>
  <c r="H156" i="37" s="1"/>
  <c r="F157" i="37"/>
  <c r="C158" i="37"/>
  <c r="H158" i="37" s="1"/>
  <c r="F159" i="37"/>
  <c r="C160" i="37"/>
  <c r="H160" i="37" s="1"/>
  <c r="F161" i="37"/>
  <c r="C162" i="37"/>
  <c r="H162" i="37" s="1"/>
  <c r="F163" i="37"/>
  <c r="C164" i="37"/>
  <c r="H164" i="37" s="1"/>
  <c r="F165" i="37"/>
  <c r="C166" i="37"/>
  <c r="H166" i="37" s="1"/>
  <c r="F167" i="37"/>
  <c r="C168" i="37"/>
  <c r="H168" i="37" s="1"/>
  <c r="F169" i="37"/>
  <c r="C170" i="37"/>
  <c r="H170" i="37" s="1"/>
  <c r="F171" i="37"/>
  <c r="C172" i="37"/>
  <c r="H172" i="37" s="1"/>
  <c r="F173" i="37"/>
  <c r="C174" i="37"/>
  <c r="H174" i="37" s="1"/>
  <c r="F175" i="37"/>
  <c r="C176" i="37"/>
  <c r="H176" i="37" s="1"/>
  <c r="F177" i="37"/>
  <c r="C178" i="37"/>
  <c r="H178" i="37" s="1"/>
  <c r="F179" i="37"/>
  <c r="C180" i="37"/>
  <c r="H180" i="37" s="1"/>
  <c r="F181" i="37"/>
  <c r="C182" i="37"/>
  <c r="H182" i="37" s="1"/>
  <c r="F183" i="37"/>
  <c r="C184" i="37"/>
  <c r="H184" i="37" s="1"/>
  <c r="F185" i="37"/>
  <c r="C186" i="37"/>
  <c r="H186" i="37" s="1"/>
  <c r="F187" i="37"/>
  <c r="C188" i="37"/>
  <c r="H188" i="37" s="1"/>
  <c r="F189" i="37"/>
  <c r="C190" i="37"/>
  <c r="H190" i="37" s="1"/>
  <c r="F191" i="37"/>
  <c r="C192" i="37"/>
  <c r="H192" i="37" s="1"/>
  <c r="F193" i="37"/>
  <c r="C194" i="37"/>
  <c r="H194" i="37" s="1"/>
  <c r="F195" i="37"/>
  <c r="C196" i="37"/>
  <c r="H196" i="37" s="1"/>
  <c r="F197" i="37"/>
  <c r="C198" i="37"/>
  <c r="H198" i="37" s="1"/>
  <c r="F199" i="37"/>
  <c r="C200" i="37"/>
  <c r="H200" i="37" s="1"/>
  <c r="F201" i="37"/>
  <c r="C202" i="37"/>
  <c r="H202" i="37" s="1"/>
  <c r="F203" i="37"/>
  <c r="C204" i="37"/>
  <c r="H204" i="37" s="1"/>
  <c r="B205" i="37"/>
  <c r="G205" i="37"/>
  <c r="D206" i="37"/>
  <c r="C207" i="37"/>
  <c r="H207" i="37" s="1"/>
  <c r="F208" i="37"/>
  <c r="D209" i="37"/>
  <c r="B210" i="37"/>
  <c r="G210" i="37"/>
  <c r="F211" i="37"/>
  <c r="C212" i="37"/>
  <c r="H212" i="37" s="1"/>
  <c r="B213" i="37"/>
  <c r="G213" i="37"/>
  <c r="D214" i="37"/>
  <c r="C215" i="37"/>
  <c r="H215" i="37" s="1"/>
  <c r="F216" i="37"/>
  <c r="D217" i="37"/>
  <c r="B218" i="37"/>
  <c r="G218" i="37"/>
  <c r="F219" i="37"/>
  <c r="C220" i="37"/>
  <c r="H220" i="37" s="1"/>
  <c r="B221" i="37"/>
  <c r="G221" i="37"/>
  <c r="D222" i="37"/>
  <c r="C223" i="37"/>
  <c r="H223" i="37" s="1"/>
  <c r="F224" i="37"/>
  <c r="D84" i="37"/>
  <c r="F93" i="37"/>
  <c r="D99" i="37"/>
  <c r="G104" i="37"/>
  <c r="B110" i="37"/>
  <c r="D115" i="37"/>
  <c r="G120" i="37"/>
  <c r="B126" i="37"/>
  <c r="B130" i="37"/>
  <c r="B132" i="37"/>
  <c r="F135" i="37"/>
  <c r="D137" i="37"/>
  <c r="C139" i="37"/>
  <c r="H139" i="37" s="1"/>
  <c r="G142" i="37"/>
  <c r="D144" i="37"/>
  <c r="G145" i="37"/>
  <c r="B147" i="37"/>
  <c r="D148" i="37"/>
  <c r="G149" i="37"/>
  <c r="B151" i="37"/>
  <c r="D152" i="37"/>
  <c r="G153" i="37"/>
  <c r="B155" i="37"/>
  <c r="D156" i="37"/>
  <c r="G157" i="37"/>
  <c r="B159" i="37"/>
  <c r="D160" i="37"/>
  <c r="G161" i="37"/>
  <c r="B163" i="37"/>
  <c r="D164" i="37"/>
  <c r="G165" i="37"/>
  <c r="B167" i="37"/>
  <c r="D168" i="37"/>
  <c r="G169" i="37"/>
  <c r="B171" i="37"/>
  <c r="D172" i="37"/>
  <c r="G173" i="37"/>
  <c r="B175" i="37"/>
  <c r="D176" i="37"/>
  <c r="G177" i="37"/>
  <c r="B179" i="37"/>
  <c r="D180" i="37"/>
  <c r="G181" i="37"/>
  <c r="B183" i="37"/>
  <c r="D184" i="37"/>
  <c r="G185" i="37"/>
  <c r="B187" i="37"/>
  <c r="D188" i="37"/>
  <c r="G189" i="37"/>
  <c r="B191" i="37"/>
  <c r="D192" i="37"/>
  <c r="G193" i="37"/>
  <c r="B195" i="37"/>
  <c r="D196" i="37"/>
  <c r="G197" i="37"/>
  <c r="B199" i="37"/>
  <c r="D200" i="37"/>
  <c r="G201" i="37"/>
  <c r="B203" i="37"/>
  <c r="D204" i="37"/>
  <c r="D207" i="37"/>
  <c r="G208" i="37"/>
  <c r="C210" i="37"/>
  <c r="H210" i="37" s="1"/>
  <c r="G211" i="37"/>
  <c r="C213" i="37"/>
  <c r="H213" i="37" s="1"/>
  <c r="F214" i="37"/>
  <c r="B216" i="37"/>
  <c r="F217" i="37"/>
  <c r="B219" i="37"/>
  <c r="D220" i="37"/>
  <c r="D223" i="37"/>
  <c r="G224" i="37"/>
  <c r="G225" i="37"/>
  <c r="G226" i="37"/>
  <c r="G227" i="37"/>
  <c r="D228" i="37"/>
  <c r="C229" i="37"/>
  <c r="H229" i="37" s="1"/>
  <c r="F230" i="37"/>
  <c r="D231" i="37"/>
  <c r="B232" i="37"/>
  <c r="G232" i="37"/>
  <c r="F233" i="37"/>
  <c r="C234" i="37"/>
  <c r="H234" i="37" s="1"/>
  <c r="B235" i="37"/>
  <c r="G235" i="37"/>
  <c r="D236" i="37"/>
  <c r="C237" i="37"/>
  <c r="H237" i="37" s="1"/>
  <c r="F238" i="37"/>
  <c r="D239" i="37"/>
  <c r="B240" i="37"/>
  <c r="G240" i="37"/>
  <c r="F241" i="37"/>
  <c r="C242" i="37"/>
  <c r="H242" i="37" s="1"/>
  <c r="F243" i="37"/>
  <c r="C244" i="37"/>
  <c r="H244" i="37" s="1"/>
  <c r="B245" i="37"/>
  <c r="G245" i="37"/>
  <c r="D246" i="37"/>
  <c r="C247" i="37"/>
  <c r="H247" i="37" s="1"/>
  <c r="F248" i="37"/>
  <c r="C249" i="37"/>
  <c r="H249" i="37" s="1"/>
  <c r="F250" i="37"/>
  <c r="D251" i="37"/>
  <c r="B252" i="37"/>
  <c r="G252" i="37"/>
  <c r="F253" i="37"/>
  <c r="C254" i="37"/>
  <c r="H254" i="37" s="1"/>
  <c r="B255" i="37"/>
  <c r="G255" i="37"/>
  <c r="D256" i="37"/>
  <c r="C257" i="37"/>
  <c r="H257" i="37" s="1"/>
  <c r="F258" i="37"/>
  <c r="D259" i="37"/>
  <c r="B260" i="37"/>
  <c r="G260" i="37"/>
  <c r="F261" i="37"/>
  <c r="C262" i="37"/>
  <c r="H262" i="37" s="1"/>
  <c r="B263" i="37"/>
  <c r="G263" i="37"/>
  <c r="D264" i="37"/>
  <c r="C265" i="37"/>
  <c r="H265" i="37" s="1"/>
  <c r="F266" i="37"/>
  <c r="D267" i="37"/>
  <c r="B268" i="37"/>
  <c r="G268" i="37"/>
  <c r="D269" i="37"/>
  <c r="B270" i="37"/>
  <c r="G270" i="37"/>
  <c r="F271" i="37"/>
  <c r="C272" i="37"/>
  <c r="H272" i="37" s="1"/>
  <c r="B273" i="37"/>
  <c r="G273" i="37"/>
  <c r="D274" i="37"/>
  <c r="C275" i="37"/>
  <c r="H275" i="37" s="1"/>
  <c r="F276" i="37"/>
  <c r="D277" i="37"/>
  <c r="B278" i="37"/>
  <c r="G278" i="37"/>
  <c r="F279" i="37"/>
  <c r="C280" i="37"/>
  <c r="H280" i="37" s="1"/>
  <c r="B281" i="37"/>
  <c r="G281" i="37"/>
  <c r="D282" i="37"/>
  <c r="C283" i="37"/>
  <c r="H283" i="37" s="1"/>
  <c r="F284" i="37"/>
  <c r="D285" i="37"/>
  <c r="B286" i="37"/>
  <c r="G286" i="37"/>
  <c r="F287" i="37"/>
  <c r="C288" i="37"/>
  <c r="H288" i="37" s="1"/>
  <c r="B289" i="37"/>
  <c r="G289" i="37"/>
  <c r="D290" i="37"/>
  <c r="C291" i="37"/>
  <c r="H291" i="37" s="1"/>
  <c r="B87" i="37"/>
  <c r="D95" i="37"/>
  <c r="G100" i="37"/>
  <c r="B106" i="37"/>
  <c r="D111" i="37"/>
  <c r="G116" i="37"/>
  <c r="B122" i="37"/>
  <c r="D127" i="37"/>
  <c r="F130" i="37"/>
  <c r="C132" i="37"/>
  <c r="H132" i="37" s="1"/>
  <c r="B134" i="37"/>
  <c r="F137" i="37"/>
  <c r="D139" i="37"/>
  <c r="C141" i="37"/>
  <c r="H141" i="37" s="1"/>
  <c r="F144" i="37"/>
  <c r="C147" i="37"/>
  <c r="H147" i="37" s="1"/>
  <c r="F148" i="37"/>
  <c r="C151" i="37"/>
  <c r="H151" i="37" s="1"/>
  <c r="F152" i="37"/>
  <c r="C155" i="37"/>
  <c r="H155" i="37" s="1"/>
  <c r="F156" i="37"/>
  <c r="C159" i="37"/>
  <c r="H159" i="37" s="1"/>
  <c r="F160" i="37"/>
  <c r="C163" i="37"/>
  <c r="H163" i="37" s="1"/>
  <c r="F164" i="37"/>
  <c r="C167" i="37"/>
  <c r="H167" i="37" s="1"/>
  <c r="F168" i="37"/>
  <c r="C171" i="37"/>
  <c r="H171" i="37" s="1"/>
  <c r="F172" i="37"/>
  <c r="C175" i="37"/>
  <c r="H175" i="37" s="1"/>
  <c r="F176" i="37"/>
  <c r="C179" i="37"/>
  <c r="H179" i="37" s="1"/>
  <c r="F180" i="37"/>
  <c r="C183" i="37"/>
  <c r="H183" i="37" s="1"/>
  <c r="F184" i="37"/>
  <c r="C187" i="37"/>
  <c r="H187" i="37" s="1"/>
  <c r="F188" i="37"/>
  <c r="C191" i="37"/>
  <c r="H191" i="37" s="1"/>
  <c r="F192" i="37"/>
  <c r="C195" i="37"/>
  <c r="H195" i="37" s="1"/>
  <c r="F196" i="37"/>
  <c r="C199" i="37"/>
  <c r="H199" i="37" s="1"/>
  <c r="F200" i="37"/>
  <c r="C203" i="37"/>
  <c r="H203" i="37" s="1"/>
  <c r="F204" i="37"/>
  <c r="B206" i="37"/>
  <c r="F207" i="37"/>
  <c r="B209" i="37"/>
  <c r="D210" i="37"/>
  <c r="D213" i="37"/>
  <c r="G214" i="37"/>
  <c r="C216" i="37"/>
  <c r="H216" i="37" s="1"/>
  <c r="G217" i="37"/>
  <c r="C219" i="37"/>
  <c r="H219" i="37" s="1"/>
  <c r="F220" i="37"/>
  <c r="B222" i="37"/>
  <c r="F223" i="37"/>
  <c r="B225" i="37"/>
  <c r="B226" i="37"/>
  <c r="B227" i="37"/>
  <c r="F228" i="37"/>
  <c r="D229" i="37"/>
  <c r="B230" i="37"/>
  <c r="G230" i="37"/>
  <c r="F231" i="37"/>
  <c r="C232" i="37"/>
  <c r="H232" i="37" s="1"/>
  <c r="B233" i="37"/>
  <c r="G233" i="37"/>
  <c r="D234" i="37"/>
  <c r="C235" i="37"/>
  <c r="H235" i="37" s="1"/>
  <c r="F236" i="37"/>
  <c r="D237" i="37"/>
  <c r="B238" i="37"/>
  <c r="G238" i="37"/>
  <c r="F239" i="37"/>
  <c r="C240" i="37"/>
  <c r="H240" i="37" s="1"/>
  <c r="B241" i="37"/>
  <c r="G241" i="37"/>
  <c r="D242" i="37"/>
  <c r="B243" i="37"/>
  <c r="G243" i="37"/>
  <c r="D244" i="37"/>
  <c r="C245" i="37"/>
  <c r="H245" i="37" s="1"/>
  <c r="F246" i="37"/>
  <c r="D247" i="37"/>
  <c r="B248" i="37"/>
  <c r="G248" i="37"/>
  <c r="D249" i="37"/>
  <c r="B250" i="37"/>
  <c r="G250" i="37"/>
  <c r="F251" i="37"/>
  <c r="C252" i="37"/>
  <c r="H252" i="37" s="1"/>
  <c r="B253" i="37"/>
  <c r="G253" i="37"/>
  <c r="D254" i="37"/>
  <c r="C255" i="37"/>
  <c r="H255" i="37" s="1"/>
  <c r="F256" i="37"/>
  <c r="D257" i="37"/>
  <c r="B258" i="37"/>
  <c r="G258" i="37"/>
  <c r="F259" i="37"/>
  <c r="C260" i="37"/>
  <c r="H260" i="37" s="1"/>
  <c r="B261" i="37"/>
  <c r="G261" i="37"/>
  <c r="D262" i="37"/>
  <c r="C263" i="37"/>
  <c r="H263" i="37" s="1"/>
  <c r="F264" i="37"/>
  <c r="D265" i="37"/>
  <c r="B266" i="37"/>
  <c r="G266" i="37"/>
  <c r="F267" i="37"/>
  <c r="C268" i="37"/>
  <c r="H268" i="37" s="1"/>
  <c r="F269" i="37"/>
  <c r="C270" i="37"/>
  <c r="H270" i="37" s="1"/>
  <c r="B271" i="37"/>
  <c r="G271" i="37"/>
  <c r="D272" i="37"/>
  <c r="C273" i="37"/>
  <c r="H273" i="37" s="1"/>
  <c r="F274" i="37"/>
  <c r="D275" i="37"/>
  <c r="B276" i="37"/>
  <c r="G276" i="37"/>
  <c r="F277" i="37"/>
  <c r="C278" i="37"/>
  <c r="H278" i="37" s="1"/>
  <c r="B279" i="37"/>
  <c r="G279" i="37"/>
  <c r="D280" i="37"/>
  <c r="C281" i="37"/>
  <c r="H281" i="37" s="1"/>
  <c r="F282" i="37"/>
  <c r="D283" i="37"/>
  <c r="B284" i="37"/>
  <c r="G284" i="37"/>
  <c r="F285" i="37"/>
  <c r="C286" i="37"/>
  <c r="H286" i="37" s="1"/>
  <c r="B287" i="37"/>
  <c r="G287" i="37"/>
  <c r="D288" i="37"/>
  <c r="C289" i="37"/>
  <c r="H289" i="37" s="1"/>
  <c r="F290" i="37"/>
  <c r="G89" i="37"/>
  <c r="G96" i="37"/>
  <c r="B102" i="37"/>
  <c r="D107" i="37"/>
  <c r="G112" i="37"/>
  <c r="B118" i="37"/>
  <c r="D123" i="37"/>
  <c r="G128" i="37"/>
  <c r="C131" i="37"/>
  <c r="H131" i="37" s="1"/>
  <c r="G134" i="37"/>
  <c r="F136" i="37"/>
  <c r="C138" i="37"/>
  <c r="H138" i="37" s="1"/>
  <c r="B140" i="37"/>
  <c r="F143" i="37"/>
  <c r="B145" i="37"/>
  <c r="D146" i="37"/>
  <c r="G147" i="37"/>
  <c r="B149" i="37"/>
  <c r="D150" i="37"/>
  <c r="G151" i="37"/>
  <c r="B153" i="37"/>
  <c r="D154" i="37"/>
  <c r="G155" i="37"/>
  <c r="B157" i="37"/>
  <c r="D158" i="37"/>
  <c r="G159" i="37"/>
  <c r="B161" i="37"/>
  <c r="D162" i="37"/>
  <c r="G163" i="37"/>
  <c r="B165" i="37"/>
  <c r="D166" i="37"/>
  <c r="G167" i="37"/>
  <c r="B169" i="37"/>
  <c r="D170" i="37"/>
  <c r="G171" i="37"/>
  <c r="B173" i="37"/>
  <c r="D174" i="37"/>
  <c r="G175" i="37"/>
  <c r="B177" i="37"/>
  <c r="D178" i="37"/>
  <c r="G179" i="37"/>
  <c r="B181" i="37"/>
  <c r="D182" i="37"/>
  <c r="G183" i="37"/>
  <c r="B185" i="37"/>
  <c r="D186" i="37"/>
  <c r="G187" i="37"/>
  <c r="B189" i="37"/>
  <c r="D190" i="37"/>
  <c r="G191" i="37"/>
  <c r="B193" i="37"/>
  <c r="D194" i="37"/>
  <c r="G195" i="37"/>
  <c r="B197" i="37"/>
  <c r="D198" i="37"/>
  <c r="G199" i="37"/>
  <c r="B201" i="37"/>
  <c r="D202" i="37"/>
  <c r="G203" i="37"/>
  <c r="C205" i="37"/>
  <c r="H205" i="37" s="1"/>
  <c r="F206" i="37"/>
  <c r="B208" i="37"/>
  <c r="F209" i="37"/>
  <c r="B211" i="37"/>
  <c r="D212" i="37"/>
  <c r="D215" i="37"/>
  <c r="G216" i="37"/>
  <c r="C218" i="37"/>
  <c r="H218" i="37" s="1"/>
  <c r="G219" i="37"/>
  <c r="C221" i="37"/>
  <c r="H221" i="37" s="1"/>
  <c r="F222" i="37"/>
  <c r="B224" i="37"/>
  <c r="D225" i="37"/>
  <c r="C226" i="37"/>
  <c r="H226" i="37" s="1"/>
  <c r="C227" i="37"/>
  <c r="H227" i="37" s="1"/>
  <c r="B228" i="37"/>
  <c r="G228" i="37"/>
  <c r="F229" i="37"/>
  <c r="C230" i="37"/>
  <c r="H230" i="37" s="1"/>
  <c r="B231" i="37"/>
  <c r="G231" i="37"/>
  <c r="D232" i="37"/>
  <c r="C233" i="37"/>
  <c r="H233" i="37" s="1"/>
  <c r="F234" i="37"/>
  <c r="D235" i="37"/>
  <c r="B236" i="37"/>
  <c r="G236" i="37"/>
  <c r="F237" i="37"/>
  <c r="C238" i="37"/>
  <c r="H238" i="37" s="1"/>
  <c r="B239" i="37"/>
  <c r="G239" i="37"/>
  <c r="D240" i="37"/>
  <c r="C241" i="37"/>
  <c r="H241" i="37" s="1"/>
  <c r="F242" i="37"/>
  <c r="C243" i="37"/>
  <c r="H243" i="37" s="1"/>
  <c r="F244" i="37"/>
  <c r="D245" i="37"/>
  <c r="B246" i="37"/>
  <c r="G246" i="37"/>
  <c r="F247" i="37"/>
  <c r="C248" i="37"/>
  <c r="H248" i="37" s="1"/>
  <c r="F249" i="37"/>
  <c r="C250" i="37"/>
  <c r="H250" i="37" s="1"/>
  <c r="B251" i="37"/>
  <c r="G251" i="37"/>
  <c r="D252" i="37"/>
  <c r="C253" i="37"/>
  <c r="H253" i="37" s="1"/>
  <c r="F254" i="37"/>
  <c r="D255" i="37"/>
  <c r="B256" i="37"/>
  <c r="G256" i="37"/>
  <c r="F257" i="37"/>
  <c r="C258" i="37"/>
  <c r="H258" i="37" s="1"/>
  <c r="B259" i="37"/>
  <c r="G259" i="37"/>
  <c r="D260" i="37"/>
  <c r="C261" i="37"/>
  <c r="H261" i="37" s="1"/>
  <c r="F262" i="37"/>
  <c r="D263" i="37"/>
  <c r="B264" i="37"/>
  <c r="G264" i="37"/>
  <c r="F265" i="37"/>
  <c r="C266" i="37"/>
  <c r="H266" i="37" s="1"/>
  <c r="B267" i="37"/>
  <c r="G267" i="37"/>
  <c r="D268" i="37"/>
  <c r="B269" i="37"/>
  <c r="G269" i="37"/>
  <c r="D270" i="37"/>
  <c r="C271" i="37"/>
  <c r="H271" i="37" s="1"/>
  <c r="F272" i="37"/>
  <c r="D273" i="37"/>
  <c r="B274" i="37"/>
  <c r="G274" i="37"/>
  <c r="F275" i="37"/>
  <c r="C276" i="37"/>
  <c r="H276" i="37" s="1"/>
  <c r="B277" i="37"/>
  <c r="G277" i="37"/>
  <c r="D278" i="37"/>
  <c r="C279" i="37"/>
  <c r="H279" i="37" s="1"/>
  <c r="F280" i="37"/>
  <c r="D281" i="37"/>
  <c r="B282" i="37"/>
  <c r="G282" i="37"/>
  <c r="F283" i="37"/>
  <c r="C284" i="37"/>
  <c r="H284" i="37" s="1"/>
  <c r="B285" i="37"/>
  <c r="G285" i="37"/>
  <c r="D286" i="37"/>
  <c r="C287" i="37"/>
  <c r="H287" i="37" s="1"/>
  <c r="F288" i="37"/>
  <c r="D289" i="37"/>
  <c r="B290" i="37"/>
  <c r="G290" i="37"/>
  <c r="G91" i="37"/>
  <c r="B98" i="37"/>
  <c r="D103" i="37"/>
  <c r="G108" i="37"/>
  <c r="B114" i="37"/>
  <c r="D119" i="37"/>
  <c r="G124" i="37"/>
  <c r="C129" i="37"/>
  <c r="H129" i="37" s="1"/>
  <c r="D131" i="37"/>
  <c r="C133" i="37"/>
  <c r="H133" i="37" s="1"/>
  <c r="G136" i="37"/>
  <c r="F138" i="37"/>
  <c r="C140" i="37"/>
  <c r="H140" i="37" s="1"/>
  <c r="B142" i="37"/>
  <c r="C145" i="37"/>
  <c r="H145" i="37" s="1"/>
  <c r="F146" i="37"/>
  <c r="C149" i="37"/>
  <c r="H149" i="37" s="1"/>
  <c r="F150" i="37"/>
  <c r="C153" i="37"/>
  <c r="H153" i="37" s="1"/>
  <c r="F154" i="37"/>
  <c r="C157" i="37"/>
  <c r="H157" i="37" s="1"/>
  <c r="F158" i="37"/>
  <c r="C161" i="37"/>
  <c r="H161" i="37" s="1"/>
  <c r="F162" i="37"/>
  <c r="C165" i="37"/>
  <c r="H165" i="37" s="1"/>
  <c r="F166" i="37"/>
  <c r="C169" i="37"/>
  <c r="H169" i="37" s="1"/>
  <c r="F170" i="37"/>
  <c r="C173" i="37"/>
  <c r="H173" i="37" s="1"/>
  <c r="F174" i="37"/>
  <c r="C177" i="37"/>
  <c r="H177" i="37" s="1"/>
  <c r="F178" i="37"/>
  <c r="C181" i="37"/>
  <c r="H181" i="37" s="1"/>
  <c r="F182" i="37"/>
  <c r="C185" i="37"/>
  <c r="H185" i="37" s="1"/>
  <c r="F186" i="37"/>
  <c r="C189" i="37"/>
  <c r="H189" i="37" s="1"/>
  <c r="F190" i="37"/>
  <c r="C193" i="37"/>
  <c r="H193" i="37" s="1"/>
  <c r="F194" i="37"/>
  <c r="C197" i="37"/>
  <c r="H197" i="37" s="1"/>
  <c r="F198" i="37"/>
  <c r="C201" i="37"/>
  <c r="H201" i="37" s="1"/>
  <c r="F202" i="37"/>
  <c r="D205" i="37"/>
  <c r="G206" i="37"/>
  <c r="C208" i="37"/>
  <c r="H208" i="37" s="1"/>
  <c r="G209" i="37"/>
  <c r="C211" i="37"/>
  <c r="H211" i="37" s="1"/>
  <c r="F212" i="37"/>
  <c r="B214" i="37"/>
  <c r="F215" i="37"/>
  <c r="B217" i="37"/>
  <c r="D218" i="37"/>
  <c r="D221" i="37"/>
  <c r="G222" i="37"/>
  <c r="C224" i="37"/>
  <c r="H224" i="37" s="1"/>
  <c r="F225" i="37"/>
  <c r="D226" i="37"/>
  <c r="F227" i="37"/>
  <c r="C228" i="37"/>
  <c r="H228" i="37" s="1"/>
  <c r="B229" i="37"/>
  <c r="G229" i="37"/>
  <c r="D230" i="37"/>
  <c r="C231" i="37"/>
  <c r="H231" i="37" s="1"/>
  <c r="F232" i="37"/>
  <c r="D233" i="37"/>
  <c r="C236" i="37"/>
  <c r="H236" i="37" s="1"/>
  <c r="C239" i="37"/>
  <c r="H239" i="37" s="1"/>
  <c r="B242" i="37"/>
  <c r="G244" i="37"/>
  <c r="G247" i="37"/>
  <c r="D250" i="37"/>
  <c r="D253" i="37"/>
  <c r="C256" i="37"/>
  <c r="H256" i="37" s="1"/>
  <c r="C259" i="37"/>
  <c r="H259" i="37" s="1"/>
  <c r="B262" i="37"/>
  <c r="B265" i="37"/>
  <c r="F270" i="37"/>
  <c r="F273" i="37"/>
  <c r="D276" i="37"/>
  <c r="D279" i="37"/>
  <c r="C282" i="37"/>
  <c r="H282" i="37" s="1"/>
  <c r="C285" i="37"/>
  <c r="H285" i="37" s="1"/>
  <c r="B288" i="37"/>
  <c r="B291" i="37"/>
  <c r="F292" i="37"/>
  <c r="D293" i="37"/>
  <c r="B294" i="37"/>
  <c r="G294" i="37"/>
  <c r="D295" i="37"/>
  <c r="B296" i="37"/>
  <c r="G296" i="37"/>
  <c r="F297" i="37"/>
  <c r="C298" i="37"/>
  <c r="H298" i="37" s="1"/>
  <c r="B299" i="37"/>
  <c r="G299" i="37"/>
  <c r="D300" i="37"/>
  <c r="C301" i="37"/>
  <c r="H301" i="37" s="1"/>
  <c r="F302" i="37"/>
  <c r="C303" i="37"/>
  <c r="H303" i="37" s="1"/>
  <c r="F304" i="37"/>
  <c r="B234" i="37"/>
  <c r="B237" i="37"/>
  <c r="G242" i="37"/>
  <c r="F245" i="37"/>
  <c r="D248" i="37"/>
  <c r="C251" i="37"/>
  <c r="H251" i="37" s="1"/>
  <c r="B254" i="37"/>
  <c r="B257" i="37"/>
  <c r="G262" i="37"/>
  <c r="G265" i="37"/>
  <c r="F268" i="37"/>
  <c r="D271" i="37"/>
  <c r="C274" i="37"/>
  <c r="H274" i="37" s="1"/>
  <c r="C277" i="37"/>
  <c r="H277" i="37" s="1"/>
  <c r="B280" i="37"/>
  <c r="B283" i="37"/>
  <c r="G288" i="37"/>
  <c r="D291" i="37"/>
  <c r="B292" i="37"/>
  <c r="G292" i="37"/>
  <c r="F293" i="37"/>
  <c r="C294" i="37"/>
  <c r="H294" i="37" s="1"/>
  <c r="F295" i="37"/>
  <c r="C296" i="37"/>
  <c r="H296" i="37" s="1"/>
  <c r="B297" i="37"/>
  <c r="G297" i="37"/>
  <c r="D298" i="37"/>
  <c r="C299" i="37"/>
  <c r="H299" i="37" s="1"/>
  <c r="F300" i="37"/>
  <c r="D301" i="37"/>
  <c r="B302" i="37"/>
  <c r="G302" i="37"/>
  <c r="D303" i="37"/>
  <c r="B304" i="37"/>
  <c r="G304" i="37"/>
  <c r="G234" i="37"/>
  <c r="G237" i="37"/>
  <c r="F240" i="37"/>
  <c r="D243" i="37"/>
  <c r="C246" i="37"/>
  <c r="H246" i="37" s="1"/>
  <c r="B249" i="37"/>
  <c r="G254" i="37"/>
  <c r="G257" i="37"/>
  <c r="F260" i="37"/>
  <c r="F263" i="37"/>
  <c r="D266" i="37"/>
  <c r="C269" i="37"/>
  <c r="H269" i="37" s="1"/>
  <c r="B272" i="37"/>
  <c r="B275" i="37"/>
  <c r="G280" i="37"/>
  <c r="G283" i="37"/>
  <c r="F286" i="37"/>
  <c r="F289" i="37"/>
  <c r="F291" i="37"/>
  <c r="C292" i="37"/>
  <c r="H292" i="37" s="1"/>
  <c r="B293" i="37"/>
  <c r="G293" i="37"/>
  <c r="D294" i="37"/>
  <c r="B295" i="37"/>
  <c r="G295" i="37"/>
  <c r="D296" i="37"/>
  <c r="C297" i="37"/>
  <c r="H297" i="37" s="1"/>
  <c r="F298" i="37"/>
  <c r="D299" i="37"/>
  <c r="B300" i="37"/>
  <c r="G300" i="37"/>
  <c r="F301" i="37"/>
  <c r="C302" i="37"/>
  <c r="H302" i="37" s="1"/>
  <c r="F303" i="37"/>
  <c r="C304" i="37"/>
  <c r="H304" i="37" s="1"/>
  <c r="F235" i="37"/>
  <c r="D238" i="37"/>
  <c r="D241" i="37"/>
  <c r="B244" i="37"/>
  <c r="B247" i="37"/>
  <c r="G249" i="37"/>
  <c r="F252" i="37"/>
  <c r="F255" i="37"/>
  <c r="D258" i="37"/>
  <c r="D261" i="37"/>
  <c r="C264" i="37"/>
  <c r="H264" i="37" s="1"/>
  <c r="C267" i="37"/>
  <c r="H267" i="37" s="1"/>
  <c r="G272" i="37"/>
  <c r="G275" i="37"/>
  <c r="F278" i="37"/>
  <c r="F281" i="37"/>
  <c r="D284" i="37"/>
  <c r="D287" i="37"/>
  <c r="C290" i="37"/>
  <c r="H290" i="37" s="1"/>
  <c r="G291" i="37"/>
  <c r="D292" i="37"/>
  <c r="C293" i="37"/>
  <c r="H293" i="37" s="1"/>
  <c r="F294" i="37"/>
  <c r="C295" i="37"/>
  <c r="H295" i="37" s="1"/>
  <c r="F296" i="37"/>
  <c r="D297" i="37"/>
  <c r="B298" i="37"/>
  <c r="G298" i="37"/>
  <c r="F299" i="37"/>
  <c r="C300" i="37"/>
  <c r="H300" i="37" s="1"/>
  <c r="B301" i="37"/>
  <c r="G301" i="37"/>
  <c r="D302" i="37"/>
  <c r="B303" i="37"/>
  <c r="G303" i="37"/>
  <c r="D304" i="37"/>
  <c r="L4" i="37"/>
  <c r="Q4" i="37"/>
  <c r="P5" i="37"/>
  <c r="N6" i="37"/>
  <c r="M7" i="37"/>
  <c r="L8" i="37"/>
  <c r="Q8" i="37"/>
  <c r="P9" i="37"/>
  <c r="N3" i="37"/>
  <c r="M5" i="37"/>
  <c r="P7" i="37"/>
  <c r="Q3" i="37"/>
  <c r="M4" i="37"/>
  <c r="L5" i="37"/>
  <c r="Q5" i="37"/>
  <c r="P6" i="37"/>
  <c r="N7" i="37"/>
  <c r="M8" i="37"/>
  <c r="L9" i="37"/>
  <c r="Q9" i="37"/>
  <c r="M3" i="37"/>
  <c r="N4" i="37"/>
  <c r="Q6" i="37"/>
  <c r="M9" i="37"/>
  <c r="P4" i="37"/>
  <c r="N5" i="37"/>
  <c r="M6" i="37"/>
  <c r="L7" i="37"/>
  <c r="Q7" i="37"/>
  <c r="P8" i="37"/>
  <c r="N9" i="37"/>
  <c r="P3" i="37"/>
  <c r="L6" i="37"/>
  <c r="N8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5" i="36"/>
  <c r="F5" i="36"/>
  <c r="B2" i="36"/>
  <c r="C2" i="36"/>
  <c r="C11" i="36" l="1"/>
  <c r="C6" i="36"/>
  <c r="C13" i="36"/>
  <c r="C18" i="36"/>
  <c r="C7" i="36"/>
  <c r="C10" i="36"/>
  <c r="C3" i="36"/>
  <c r="C8" i="36"/>
  <c r="C15" i="36"/>
  <c r="C12" i="36"/>
  <c r="C14" i="36"/>
  <c r="B11" i="36"/>
  <c r="B8" i="36"/>
  <c r="B18" i="36"/>
  <c r="B12" i="36"/>
  <c r="B10" i="36"/>
  <c r="B7" i="36"/>
  <c r="B3" i="36"/>
  <c r="B14" i="36"/>
  <c r="B15" i="36"/>
  <c r="B6" i="36"/>
  <c r="B13" i="36"/>
  <c r="R17" i="37"/>
  <c r="R18" i="37"/>
  <c r="H18" i="37"/>
  <c r="H17" i="37"/>
  <c r="H16" i="37"/>
  <c r="R16" i="37"/>
  <c r="R15" i="37"/>
  <c r="H15" i="37"/>
  <c r="R14" i="37"/>
  <c r="H14" i="37"/>
  <c r="R13" i="37"/>
  <c r="R12" i="37"/>
  <c r="H13" i="37"/>
  <c r="H12" i="37"/>
  <c r="R11" i="37"/>
  <c r="H11" i="37"/>
  <c r="R10" i="37"/>
  <c r="R7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20" i="36"/>
  <c r="C19" i="36"/>
  <c r="B19" i="36"/>
  <c r="B20" i="36"/>
  <c r="C17" i="30"/>
  <c r="B17" i="30"/>
  <c r="C16" i="30"/>
  <c r="B16" i="30"/>
  <c r="C4" i="36" l="1"/>
  <c r="C17" i="36" s="1"/>
  <c r="B4" i="36"/>
  <c r="B17" i="36" s="1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Q56" i="28" l="1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J42" i="41" s="1"/>
  <c r="M42" i="41" s="1"/>
  <c r="Q43" i="27"/>
  <c r="J43" i="41" s="1"/>
  <c r="M43" i="41" s="1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37" i="41" l="1"/>
  <c r="M37" i="41" s="1"/>
  <c r="J36" i="41"/>
  <c r="M36" i="41" s="1"/>
  <c r="J16" i="36"/>
  <c r="Q3" i="28" l="1"/>
  <c r="Q4" i="28"/>
  <c r="Q5" i="28"/>
  <c r="Q6" i="28"/>
  <c r="Q7" i="28"/>
  <c r="Q8" i="28"/>
  <c r="Q9" i="28"/>
  <c r="Q10" i="28"/>
  <c r="J3" i="42" s="1"/>
  <c r="M3" i="42" s="1"/>
  <c r="Q11" i="28"/>
  <c r="Q12" i="28"/>
  <c r="Q13" i="28"/>
  <c r="Q14" i="28"/>
  <c r="Q15" i="28"/>
  <c r="Q16" i="28"/>
  <c r="Q17" i="28"/>
  <c r="Q18" i="28"/>
  <c r="Q19" i="28"/>
  <c r="Q20" i="28"/>
  <c r="J20" i="42" s="1"/>
  <c r="M20" i="42" s="1"/>
  <c r="Q21" i="28"/>
  <c r="Q22" i="28"/>
  <c r="Q23" i="28"/>
  <c r="Q24" i="28"/>
  <c r="Q25" i="28"/>
  <c r="Q26" i="28"/>
  <c r="J4" i="42" s="1"/>
  <c r="M4" i="42" s="1"/>
  <c r="Q27" i="28"/>
  <c r="Q28" i="28"/>
  <c r="Q29" i="28"/>
  <c r="Q30" i="28"/>
  <c r="J11" i="42" s="1"/>
  <c r="M11" i="42" s="1"/>
  <c r="Q31" i="28"/>
  <c r="Q32" i="28"/>
  <c r="J15" i="42" s="1"/>
  <c r="M15" i="42" s="1"/>
  <c r="Q33" i="28"/>
  <c r="Q34" i="28"/>
  <c r="Q35" i="28"/>
  <c r="Q36" i="28"/>
  <c r="J28" i="42" s="1"/>
  <c r="M28" i="42" s="1"/>
  <c r="Q37" i="28"/>
  <c r="Q38" i="28"/>
  <c r="Q39" i="28"/>
  <c r="Q40" i="28"/>
  <c r="J16" i="42" s="1"/>
  <c r="M16" i="42" s="1"/>
  <c r="Q41" i="28"/>
  <c r="Q42" i="28"/>
  <c r="J42" i="42" s="1"/>
  <c r="M42" i="42" s="1"/>
  <c r="Q43" i="28"/>
  <c r="J43" i="42" s="1"/>
  <c r="M43" i="42" s="1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Q15" i="27"/>
  <c r="J40" i="41" s="1"/>
  <c r="M40" i="41" s="1"/>
  <c r="Q16" i="27"/>
  <c r="Q17" i="27"/>
  <c r="Q18" i="27"/>
  <c r="Q19" i="27"/>
  <c r="Q20" i="27"/>
  <c r="Q21" i="27"/>
  <c r="Q22" i="27"/>
  <c r="J39" i="41" s="1"/>
  <c r="M39" i="41" s="1"/>
  <c r="Q23" i="27"/>
  <c r="J21" i="41" s="1"/>
  <c r="M21" i="41" s="1"/>
  <c r="Q24" i="27"/>
  <c r="Q25" i="27"/>
  <c r="Q26" i="27"/>
  <c r="Q27" i="27"/>
  <c r="J41" i="41" s="1"/>
  <c r="M41" i="41" s="1"/>
  <c r="Q28" i="27"/>
  <c r="Q29" i="27"/>
  <c r="Q30" i="27"/>
  <c r="Q3" i="27"/>
  <c r="Q4" i="27"/>
  <c r="Q5" i="27"/>
  <c r="Q6" i="27"/>
  <c r="J6" i="41" s="1"/>
  <c r="M6" i="41" s="1"/>
  <c r="Q7" i="27"/>
  <c r="J22" i="41" s="1"/>
  <c r="M22" i="41" s="1"/>
  <c r="Q8" i="27"/>
  <c r="J38" i="41" s="1"/>
  <c r="M38" i="41" s="1"/>
  <c r="Q9" i="27"/>
  <c r="Q10" i="27"/>
  <c r="J29" i="41" s="1"/>
  <c r="M29" i="41" s="1"/>
  <c r="Q11" i="27"/>
  <c r="J33" i="41" s="1"/>
  <c r="M33" i="41" s="1"/>
  <c r="Q12" i="27"/>
  <c r="Q13" i="27"/>
  <c r="Q14" i="27"/>
  <c r="J35" i="41" s="1"/>
  <c r="M35" i="41" s="1"/>
  <c r="Q2" i="27"/>
  <c r="J24" i="41" l="1"/>
  <c r="M24" i="41" s="1"/>
  <c r="J10" i="42"/>
  <c r="M10" i="42" s="1"/>
  <c r="J14" i="42"/>
  <c r="M14" i="42" s="1"/>
  <c r="J18" i="42"/>
  <c r="M18" i="42" s="1"/>
  <c r="J30" i="42"/>
  <c r="M30" i="42" s="1"/>
  <c r="C9" i="36"/>
  <c r="C5" i="36" s="1"/>
  <c r="C16" i="36" s="1"/>
  <c r="C9" i="30"/>
  <c r="J6" i="42"/>
  <c r="M6" i="42" s="1"/>
  <c r="N6" i="41" s="1"/>
  <c r="J26" i="42"/>
  <c r="M26" i="42" s="1"/>
  <c r="J8" i="41"/>
  <c r="M8" i="41" s="1"/>
  <c r="B9" i="36"/>
  <c r="B5" i="36" s="1"/>
  <c r="B16" i="36" s="1"/>
  <c r="B9" i="30"/>
  <c r="J18" i="41"/>
  <c r="M18" i="41" s="1"/>
  <c r="J34" i="41"/>
  <c r="M34" i="41" s="1"/>
  <c r="J7" i="42"/>
  <c r="M7" i="42" s="1"/>
  <c r="J24" i="42"/>
  <c r="M24" i="42" s="1"/>
  <c r="N24" i="41" s="1"/>
  <c r="J13" i="42"/>
  <c r="M13" i="42" s="1"/>
  <c r="J33" i="42"/>
  <c r="M33" i="42" s="1"/>
  <c r="J38" i="42"/>
  <c r="M38" i="42" s="1"/>
  <c r="N38" i="41" s="1"/>
  <c r="J34" i="42"/>
  <c r="M34" i="42" s="1"/>
  <c r="N34" i="41" s="1"/>
  <c r="J17" i="42"/>
  <c r="M17" i="42" s="1"/>
  <c r="J32" i="42"/>
  <c r="M32" i="42" s="1"/>
  <c r="J5" i="42"/>
  <c r="M5" i="42" s="1"/>
  <c r="J41" i="42"/>
  <c r="M41" i="42" s="1"/>
  <c r="N41" i="42" s="1"/>
  <c r="J2" i="42"/>
  <c r="M2" i="42" s="1"/>
  <c r="J35" i="42"/>
  <c r="M35" i="42" s="1"/>
  <c r="N35" i="42" s="1"/>
  <c r="J37" i="42"/>
  <c r="M37" i="42" s="1"/>
  <c r="N37" i="41" s="1"/>
  <c r="J19" i="42"/>
  <c r="M19" i="42" s="1"/>
  <c r="J25" i="42"/>
  <c r="M25" i="42" s="1"/>
  <c r="J21" i="42"/>
  <c r="M21" i="42" s="1"/>
  <c r="N21" i="41" s="1"/>
  <c r="J27" i="42"/>
  <c r="M27" i="42" s="1"/>
  <c r="J12" i="42"/>
  <c r="M12" i="42" s="1"/>
  <c r="N12" i="41" s="1"/>
  <c r="J40" i="42"/>
  <c r="M40" i="42" s="1"/>
  <c r="N40" i="42" s="1"/>
  <c r="J23" i="42"/>
  <c r="M23" i="42" s="1"/>
  <c r="J36" i="42"/>
  <c r="M36" i="42" s="1"/>
  <c r="N36" i="42" s="1"/>
  <c r="J22" i="42"/>
  <c r="M22" i="42" s="1"/>
  <c r="N22" i="41" s="1"/>
  <c r="J9" i="42"/>
  <c r="M9" i="42" s="1"/>
  <c r="N43" i="41"/>
  <c r="N43" i="42"/>
  <c r="N42" i="41"/>
  <c r="N42" i="42"/>
  <c r="J31" i="42"/>
  <c r="M31" i="42" s="1"/>
  <c r="J29" i="42"/>
  <c r="M29" i="42" s="1"/>
  <c r="N29" i="41" s="1"/>
  <c r="J39" i="42"/>
  <c r="M39" i="42" s="1"/>
  <c r="N39" i="41" s="1"/>
  <c r="J8" i="42"/>
  <c r="M8" i="42" s="1"/>
  <c r="N8" i="41" s="1"/>
  <c r="J12" i="41"/>
  <c r="M12" i="41" s="1"/>
  <c r="J28" i="41"/>
  <c r="M28" i="41" s="1"/>
  <c r="N28" i="42" s="1"/>
  <c r="J19" i="41"/>
  <c r="M19" i="41" s="1"/>
  <c r="N19" i="41" s="1"/>
  <c r="J3" i="41"/>
  <c r="M3" i="41" s="1"/>
  <c r="N3" i="42" s="1"/>
  <c r="J30" i="41"/>
  <c r="M30" i="41" s="1"/>
  <c r="J15" i="41"/>
  <c r="M15" i="41" s="1"/>
  <c r="N15" i="42" s="1"/>
  <c r="J26" i="41"/>
  <c r="M26" i="41" s="1"/>
  <c r="J5" i="41"/>
  <c r="M5" i="41" s="1"/>
  <c r="J16" i="41"/>
  <c r="M16" i="41" s="1"/>
  <c r="J13" i="41"/>
  <c r="M13" i="41" s="1"/>
  <c r="J11" i="41"/>
  <c r="M11" i="41" s="1"/>
  <c r="N11" i="41" s="1"/>
  <c r="J9" i="41"/>
  <c r="M9" i="41" s="1"/>
  <c r="N9" i="42" s="1"/>
  <c r="J14" i="41"/>
  <c r="M14" i="41" s="1"/>
  <c r="J31" i="41"/>
  <c r="M31" i="41" s="1"/>
  <c r="J25" i="41"/>
  <c r="M25" i="41" s="1"/>
  <c r="J32" i="41"/>
  <c r="M32" i="41" s="1"/>
  <c r="J17" i="41"/>
  <c r="M17" i="41" s="1"/>
  <c r="J2" i="41"/>
  <c r="M2" i="41" s="1"/>
  <c r="J4" i="41"/>
  <c r="M4" i="41" s="1"/>
  <c r="N4" i="42" s="1"/>
  <c r="J10" i="41"/>
  <c r="M10" i="41" s="1"/>
  <c r="N10" i="42" s="1"/>
  <c r="J27" i="41"/>
  <c r="M27" i="41" s="1"/>
  <c r="J23" i="41"/>
  <c r="M23" i="41" s="1"/>
  <c r="J20" i="41"/>
  <c r="M20" i="41" s="1"/>
  <c r="N20" i="41" s="1"/>
  <c r="J7" i="41"/>
  <c r="M7" i="41" s="1"/>
  <c r="N7" i="41" s="1"/>
  <c r="N37" i="42"/>
  <c r="N29" i="42"/>
  <c r="N6" i="42"/>
  <c r="N16" i="42"/>
  <c r="N33" i="42"/>
  <c r="N33" i="41"/>
  <c r="N36" i="41"/>
  <c r="N35" i="41"/>
  <c r="N14" i="42"/>
  <c r="N14" i="41"/>
  <c r="N16" i="41"/>
  <c r="F16" i="36"/>
  <c r="N26" i="42" l="1"/>
  <c r="N8" i="42"/>
  <c r="N30" i="42"/>
  <c r="N21" i="42"/>
  <c r="N32" i="42"/>
  <c r="N18" i="41"/>
  <c r="N12" i="42"/>
  <c r="N23" i="41"/>
  <c r="N31" i="41"/>
  <c r="N32" i="41"/>
  <c r="N18" i="42"/>
  <c r="N24" i="42"/>
  <c r="N34" i="42"/>
  <c r="N39" i="42"/>
  <c r="N41" i="41"/>
  <c r="N22" i="42"/>
  <c r="N15" i="41"/>
  <c r="N20" i="42"/>
  <c r="N19" i="42"/>
  <c r="N26" i="41"/>
  <c r="N4" i="41"/>
  <c r="N11" i="42"/>
  <c r="N30" i="41"/>
  <c r="N17" i="41"/>
  <c r="N13" i="41"/>
  <c r="N2" i="41"/>
  <c r="N13" i="42"/>
  <c r="N25" i="41"/>
  <c r="N23" i="42"/>
  <c r="N27" i="41"/>
  <c r="N31" i="42"/>
  <c r="N25" i="42"/>
  <c r="N40" i="41"/>
  <c r="N2" i="42"/>
  <c r="N17" i="42"/>
  <c r="N38" i="42"/>
  <c r="N27" i="42"/>
  <c r="N5" i="42"/>
  <c r="N28" i="41"/>
  <c r="N5" i="41"/>
  <c r="N9" i="41"/>
  <c r="N7" i="42"/>
  <c r="N10" i="41"/>
  <c r="N3" i="41"/>
  <c r="A2" i="30" l="1"/>
  <c r="D2" i="30"/>
  <c r="D2" i="36" l="1"/>
  <c r="A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bra1 (2)" description="Conexão com a consulta 'bra1 (2)' na pasta de trabalho." type="5" refreshedVersion="6" background="1" saveData="1">
    <dbPr connection="Provider=Microsoft.Mashup.OleDb.1;Data Source=$Workbook$;Location=&quot;bra1 (2)&quot;;Extended Properties=&quot;&quot;" command="SELECT * FROM [bra1 (2)]"/>
  </connection>
  <connection id="3" xr16:uid="{00000000-0015-0000-FFFF-FFFF02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4" xr16:uid="{00000000-0015-0000-FFFF-FFFF03000000}" keepAlive="1" name="Consulta - Goals Brazil2" description="Conexão com a consulta 'Goals Brazil2' na pasta de trabalho." type="5" refreshedVersion="6" background="1" saveData="1">
    <dbPr connection="Provider=Microsoft.Mashup.OleDb.1;Data Source=$Workbook$;Location=&quot;Goals Brazil2&quot;;Extended Properties=&quot;&quot;" command="SELECT * FROM [Goals Brazil2]"/>
  </connection>
  <connection id="5" xr16:uid="{2715B4D2-2932-4EC0-966A-FFC09812F135}" keepAlive="1" name="Consulta - HT Away Brazil (2)" description="Conexão com a consulta 'HT Away Brazil (2)' na pasta de trabalho." type="5" refreshedVersion="0" background="1">
    <dbPr connection="Provider=Microsoft.Mashup.OleDb.1;Data Source=$Workbook$;Location=&quot;HT Away Brazil (2)&quot;;Extended Properties=&quot;&quot;" command="SELECT * FROM [HT Away Brazil (2)]"/>
  </connection>
  <connection id="6" xr16:uid="{8B5B9C3A-6200-4FEE-AEBD-9F5D8476DFEF}" keepAlive="1" name="Consulta - HT Home (Brazil 2" description="Conexão com a consulta 'HT Home (Brazil 2' na pasta de trabalho." type="5" refreshedVersion="0" background="1">
    <dbPr connection="Provider=Microsoft.Mashup.OleDb.1;Data Source=$Workbook$;Location=&quot;HT Home (Brazil 2&quot;;Extended Properties=&quot;&quot;" command="SELECT * FROM [HT Home (Brazil 2]"/>
  </connection>
  <connection id="7" xr16:uid="{00000000-0015-0000-FFFF-FFFF04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8" xr16:uid="{00000000-0015-0000-FFFF-FFFF05000000}" keepAlive="1" name="Consulta - OGC Away Brazil2" description="Conexão com a consulta 'OGC Away Brazil2' na pasta de trabalho." type="5" refreshedVersion="6" background="1" saveData="1">
    <dbPr connection="Provider=Microsoft.Mashup.OleDb.1;Data Source=$Workbook$;Location=&quot;OGC Away Brazil2&quot;;Extended Properties=&quot;&quot;" command="SELECT * FROM [OGC Away Brazil2]"/>
  </connection>
  <connection id="9" xr16:uid="{00000000-0015-0000-FFFF-FFFF06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10" xr16:uid="{00000000-0015-0000-FFFF-FFFF07000000}" keepAlive="1" name="Consulta - OGC Home Brazil2" description="Conexão com a consulta 'OGC Home Brazil2' na pasta de trabalho." type="5" refreshedVersion="6" background="1" saveData="1">
    <dbPr connection="Provider=Microsoft.Mashup.OleDb.1;Data Source=$Workbook$;Location=&quot;OGC Home Brazil2&quot;;Extended Properties=&quot;&quot;" command="SELECT * FROM [OGC Home Brazil2]"/>
  </connection>
  <connection id="11" xr16:uid="{00000000-0015-0000-FFFF-FFFF08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12" xr16:uid="{00000000-0015-0000-FFFF-FFFF09000000}" keepAlive="1" name="Consulta - OGS Away Brazil2" description="Conexão com a consulta 'OGS Away Brazil2' na pasta de trabalho." type="5" refreshedVersion="6" background="1" saveData="1">
    <dbPr connection="Provider=Microsoft.Mashup.OleDb.1;Data Source=$Workbook$;Location=&quot;OGS Away Brazil2&quot;;Extended Properties=&quot;&quot;" command="SELECT * FROM [OGS Away Brazil2]"/>
  </connection>
  <connection id="13" xr16:uid="{00000000-0015-0000-FFFF-FFFF0A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14" xr16:uid="{00000000-0015-0000-FFFF-FFFF0B000000}" keepAlive="1" name="Consulta - OGS Home Brazil2" description="Conexão com a consulta 'OGS Home Brazil2' na pasta de trabalho." type="5" refreshedVersion="6" background="1" saveData="1">
    <dbPr connection="Provider=Microsoft.Mashup.OleDb.1;Data Source=$Workbook$;Location=&quot;OGS Home Brazil2&quot;;Extended Properties=&quot;&quot;" command="SELECT * FROM [OGS Home Brazil2]"/>
  </connection>
  <connection id="15" xr16:uid="{00000000-0015-0000-FFFF-FFFF0E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16" xr16:uid="{00000000-0015-0000-FFFF-FFFF0F000000}" keepAlive="1" name="Consulta - Wide table - Brazil2" description="Conexão com a consulta 'Wide table - Brazil2' na pasta de trabalho." type="5" refreshedVersion="6" background="1" saveData="1">
    <dbPr connection="Provider=Microsoft.Mashup.OleDb.1;Data Source=$Workbook$;Location=&quot;Wide table - Brazil2&quot;;Extended Properties=&quot;&quot;" command="SELECT * FROM [Wide table - Brazil2]"/>
  </connection>
  <connection id="17" xr16:uid="{00000000-0015-0000-FFFF-FFFF10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18" xr16:uid="{00000000-0015-0000-FFFF-FFFF11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<sst xmlns="http://schemas.openxmlformats.org/spreadsheetml/2006/main" count="3372" uniqueCount="331">
  <si>
    <t>GP</t>
  </si>
  <si>
    <t>W</t>
  </si>
  <si>
    <t>D</t>
  </si>
  <si>
    <t>L</t>
  </si>
  <si>
    <t>GF</t>
  </si>
  <si>
    <t>GA</t>
  </si>
  <si>
    <t>GD</t>
  </si>
  <si>
    <t>Pts</t>
  </si>
  <si>
    <t>PPG</t>
  </si>
  <si>
    <t>20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</si>
  <si>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</si>
  <si>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</si>
  <si>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</si>
  <si>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</si>
  <si>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</si>
  <si>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</si>
  <si>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</si>
  <si>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</si>
  <si>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</si>
  <si>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</si>
  <si>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</si>
  <si>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</si>
  <si>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</si>
  <si>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</si>
  <si>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</si>
  <si>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</si>
  <si>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</si>
  <si>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</si>
  <si>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</si>
  <si>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</si>
  <si>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</si>
  <si>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</si>
  <si>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</si>
  <si>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</si>
  <si>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</si>
  <si>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</si>
  <si>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</si>
  <si>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</si>
  <si>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</si>
  <si>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</si>
  <si>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</si>
  <si>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</si>
  <si>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</si>
  <si>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</si>
  <si>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</si>
  <si>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</si>
  <si>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</si>
  <si>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</si>
  <si>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</si>
  <si>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</si>
  <si>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32</t>
  </si>
  <si>
    <t>Botafogo</t>
  </si>
  <si>
    <t>Palmeiras</t>
  </si>
  <si>
    <t>Flamengo</t>
  </si>
  <si>
    <t>Atletico MG</t>
  </si>
  <si>
    <t>Fluminense</t>
  </si>
  <si>
    <t>Gremio</t>
  </si>
  <si>
    <t>Athletico PR</t>
  </si>
  <si>
    <t>Sao Paulo</t>
  </si>
  <si>
    <t>Cruzeiro</t>
  </si>
  <si>
    <t>Fortaleza</t>
  </si>
  <si>
    <t>Bragantino</t>
  </si>
  <si>
    <t>Santos</t>
  </si>
  <si>
    <t>Cuiaba</t>
  </si>
  <si>
    <t>Corinthians</t>
  </si>
  <si>
    <t>America MG</t>
  </si>
  <si>
    <t>Vasco da Gama</t>
  </si>
  <si>
    <t>Coritiba</t>
  </si>
  <si>
    <t>Novorizontino</t>
  </si>
  <si>
    <t>Vitoria</t>
  </si>
  <si>
    <t>Sport Recife</t>
  </si>
  <si>
    <t>Vila Nova</t>
  </si>
  <si>
    <t>Criciuma</t>
  </si>
  <si>
    <t>Mirassol</t>
  </si>
  <si>
    <t>Ceara</t>
  </si>
  <si>
    <t>Juventude</t>
  </si>
  <si>
    <t>Atletico GO</t>
  </si>
  <si>
    <t>Guarani</t>
  </si>
  <si>
    <t>Sampaio Correa</t>
  </si>
  <si>
    <t>CRB</t>
  </si>
  <si>
    <t>Chapecoense</t>
  </si>
  <si>
    <t>Londrina</t>
  </si>
  <si>
    <t>Tombense</t>
  </si>
  <si>
    <t>23</t>
  </si>
  <si>
    <t>29</t>
  </si>
  <si>
    <t>MINUTOS PARA MARCAR</t>
  </si>
  <si>
    <t>Player</t>
  </si>
  <si>
    <t>Goals</t>
  </si>
  <si>
    <t>1 15</t>
  </si>
  <si>
    <t>16 30</t>
  </si>
  <si>
    <t>31 45</t>
  </si>
  <si>
    <t>46 60</t>
  </si>
  <si>
    <t>61 75</t>
  </si>
  <si>
    <t>76 90</t>
  </si>
  <si>
    <t>Last</t>
  </si>
  <si>
    <t>% team</t>
  </si>
  <si>
    <t>Tiquinho Soares</t>
  </si>
  <si>
    <t>Róger Guedes</t>
  </si>
  <si>
    <t>Hulk</t>
  </si>
  <si>
    <t>Raphael Veiga</t>
  </si>
  <si>
    <t>Thiago Borbas</t>
  </si>
  <si>
    <t>Vitor Roque</t>
  </si>
  <si>
    <t>Eduardo Sasha</t>
  </si>
  <si>
    <t>Jonathan Calleri</t>
  </si>
  <si>
    <t>Artur</t>
  </si>
  <si>
    <t>Robson</t>
  </si>
  <si>
    <t>Gabriel Barbosa</t>
  </si>
  <si>
    <t>ARTILHEIRO(Apenas Top30)</t>
  </si>
  <si>
    <t>Gols</t>
  </si>
  <si>
    <t>Vágner Love</t>
  </si>
  <si>
    <t>Rodrigo Rodrigues</t>
  </si>
  <si>
    <t>Luciano Juba</t>
  </si>
  <si>
    <t>Erick</t>
  </si>
  <si>
    <t>Nenê</t>
  </si>
  <si>
    <t>Alex Sandro</t>
  </si>
  <si>
    <t>Gabriel</t>
  </si>
  <si>
    <t>Guilherme Parede</t>
  </si>
  <si>
    <t>Bruno Mendes</t>
  </si>
  <si>
    <t>Derek</t>
  </si>
  <si>
    <t>Bruno Nazário</t>
  </si>
  <si>
    <t>Caio Dantas</t>
  </si>
  <si>
    <t>Renato</t>
  </si>
  <si>
    <t>LEVOU PRIMEIRO GOL HT</t>
  </si>
  <si>
    <t>MARCOU PRIMEIRO HT</t>
  </si>
  <si>
    <t>JOGOS CASA</t>
  </si>
  <si>
    <t>JOGOS FORA</t>
  </si>
  <si>
    <t>41</t>
  </si>
  <si>
    <t>28</t>
  </si>
  <si>
    <t>Luis Suárez</t>
  </si>
  <si>
    <t>Stiven Mendoza</t>
  </si>
  <si>
    <t>Franco Cristaldo</t>
  </si>
  <si>
    <t>27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</si>
  <si>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</si>
  <si>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</si>
  <si>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</si>
  <si>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</si>
  <si>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</si>
  <si>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</si>
  <si>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>Felipe Vizeu</t>
  </si>
  <si>
    <t>Anselmo Ramon</t>
  </si>
  <si>
    <t>Ytalo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</si>
  <si>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</si>
  <si>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</si>
  <si>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</si>
  <si>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</si>
  <si>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</si>
  <si>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</si>
  <si>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</si>
  <si>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</si>
  <si>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</si>
  <si>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</si>
  <si>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</si>
  <si>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</si>
  <si>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</si>
  <si>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</si>
  <si>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</si>
  <si>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</si>
  <si>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Deyverson</t>
  </si>
  <si>
    <t>42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</si>
  <si>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</si>
  <si>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</si>
  <si>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</si>
  <si>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</si>
  <si>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</si>
  <si>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</si>
  <si>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</si>
  <si>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</si>
  <si>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</si>
  <si>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</si>
  <si>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</si>
  <si>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</si>
  <si>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</si>
  <si>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</si>
  <si>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</si>
  <si>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</si>
  <si>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</si>
  <si>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24</t>
  </si>
  <si>
    <t>ESTATISTICAS GOLS</t>
  </si>
  <si>
    <t>MARCADOS/SOFRIDOS</t>
  </si>
  <si>
    <t>NÃO LEVOU GOL</t>
  </si>
  <si>
    <t>OVER 0.5 (%)</t>
  </si>
  <si>
    <t>OVER 1.5 (%)</t>
  </si>
  <si>
    <t>OVER 2.5 (%)</t>
  </si>
  <si>
    <t>Germán Cano</t>
  </si>
  <si>
    <t>Marcos Leonardo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</si>
  <si>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</si>
  <si>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</si>
  <si>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</si>
  <si>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</si>
  <si>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</si>
  <si>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</si>
  <si>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</si>
  <si>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</si>
  <si>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</si>
  <si>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</si>
  <si>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</si>
  <si>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</si>
  <si>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</si>
  <si>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</si>
  <si>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</si>
  <si>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</si>
  <si>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</si>
  <si>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</si>
  <si>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</si>
  <si>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</si>
  <si>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</si>
  <si>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</si>
  <si>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</si>
  <si>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</si>
  <si>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</si>
  <si>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</si>
  <si>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</si>
  <si>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</si>
  <si>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</si>
  <si>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</si>
  <si>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</si>
  <si>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Gustavo Coutinho</t>
  </si>
  <si>
    <t>\\\</t>
  </si>
  <si>
    <t>d</t>
  </si>
  <si>
    <t>Rony</t>
  </si>
  <si>
    <t>Paulinho</t>
  </si>
  <si>
    <t>Léo Gamalho</t>
  </si>
  <si>
    <t>Fabinho</t>
  </si>
  <si>
    <t>19</t>
  </si>
  <si>
    <t>João Paulo</t>
  </si>
  <si>
    <t>22</t>
  </si>
  <si>
    <t>36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</si>
  <si>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</si>
  <si>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</si>
  <si>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</si>
  <si>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</si>
  <si>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</si>
  <si>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</si>
  <si>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</si>
  <si>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</si>
  <si>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</si>
  <si>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Bitello</t>
  </si>
  <si>
    <t>Yuri Alberto</t>
  </si>
  <si>
    <t>Pedro</t>
  </si>
  <si>
    <t>Bruninho</t>
  </si>
  <si>
    <t>25</t>
  </si>
  <si>
    <t>35</t>
  </si>
  <si>
    <t>33</t>
  </si>
  <si>
    <t>G. Arrascaeta</t>
  </si>
  <si>
    <t>Ronaldo</t>
  </si>
  <si>
    <t>21</t>
  </si>
  <si>
    <t>26</t>
  </si>
  <si>
    <t>Gonzalo Mastriani</t>
  </si>
  <si>
    <t>Juan Martín Lucero</t>
  </si>
  <si>
    <t>Age</t>
  </si>
  <si>
    <t>31</t>
  </si>
  <si>
    <t>17</t>
  </si>
  <si>
    <t>34</t>
  </si>
  <si>
    <t>30</t>
  </si>
  <si>
    <t>37</t>
  </si>
  <si>
    <t>2</t>
  </si>
  <si>
    <t>stats</t>
  </si>
  <si>
    <t>Luiz Fernando</t>
  </si>
  <si>
    <t>Fernandão</t>
  </si>
  <si>
    <t>Éder</t>
  </si>
  <si>
    <t>Gabriel Pec</t>
  </si>
  <si>
    <t>Pablo Vegetti</t>
  </si>
  <si>
    <t>Bruno Rodrigues</t>
  </si>
  <si>
    <t>Aylon</t>
  </si>
  <si>
    <t>Geovane</t>
  </si>
  <si>
    <t>Luciano</t>
  </si>
  <si>
    <t>Endrick</t>
  </si>
  <si>
    <t>16</t>
  </si>
  <si>
    <t>Jorginho</t>
  </si>
  <si>
    <t>Paulinho Moccelin</t>
  </si>
  <si>
    <t>Zé Roberto</t>
  </si>
  <si>
    <t>Real Madrid</t>
  </si>
  <si>
    <t>Girona</t>
  </si>
  <si>
    <t>FC Barcelona</t>
  </si>
  <si>
    <t>Athletic Bilbao</t>
  </si>
  <si>
    <t>Atletico Madrid</t>
  </si>
  <si>
    <t>Real Sociedad</t>
  </si>
  <si>
    <t>Rayo Vallecano</t>
  </si>
  <si>
    <t>Real Betis</t>
  </si>
  <si>
    <t>Valencia</t>
  </si>
  <si>
    <t>Osasuna</t>
  </si>
  <si>
    <t>Getafe</t>
  </si>
  <si>
    <t>Cadiz</t>
  </si>
  <si>
    <t>Sevilla FC</t>
  </si>
  <si>
    <t>Mallorca</t>
  </si>
  <si>
    <t>Villarreal</t>
  </si>
  <si>
    <t>Las Palmas</t>
  </si>
  <si>
    <t>Alaves</t>
  </si>
  <si>
    <t>Celta Vigo</t>
  </si>
  <si>
    <t>Granada</t>
  </si>
  <si>
    <t>Almeria</t>
  </si>
  <si>
    <t>Espanyol</t>
  </si>
  <si>
    <t>Leganes</t>
  </si>
  <si>
    <t>Real Zaragoza</t>
  </si>
  <si>
    <t>Levante</t>
  </si>
  <si>
    <t>Tenerife</t>
  </si>
  <si>
    <t>Sporting Gijon</t>
  </si>
  <si>
    <t>Valladolid</t>
  </si>
  <si>
    <t>Eibar</t>
  </si>
  <si>
    <t>Racing</t>
  </si>
  <si>
    <t>Racing Ferrol</t>
  </si>
  <si>
    <t>Albacete</t>
  </si>
  <si>
    <t>Burgos</t>
  </si>
  <si>
    <t>Eldense</t>
  </si>
  <si>
    <t>Villarreal B</t>
  </si>
  <si>
    <t>Real Oviedo</t>
  </si>
  <si>
    <t>Mirandes</t>
  </si>
  <si>
    <t>FC Andorra</t>
  </si>
  <si>
    <t>Amorebieta</t>
  </si>
  <si>
    <t>Elche</t>
  </si>
  <si>
    <t>Huesca</t>
  </si>
  <si>
    <t>Alcorcon</t>
  </si>
  <si>
    <t>Cartagena</t>
  </si>
  <si>
    <t>-</t>
  </si>
  <si>
    <t>8</t>
  </si>
  <si>
    <t>44</t>
  </si>
  <si>
    <t>5</t>
  </si>
  <si>
    <t>4</t>
  </si>
  <si>
    <t>7</t>
  </si>
  <si>
    <t>52</t>
  </si>
  <si>
    <t>18</t>
  </si>
  <si>
    <t>78</t>
  </si>
  <si>
    <t>10</t>
  </si>
  <si>
    <t>9</t>
  </si>
  <si>
    <t>49</t>
  </si>
  <si>
    <t>43</t>
  </si>
  <si>
    <t>40</t>
  </si>
  <si>
    <t>90</t>
  </si>
  <si>
    <t>11</t>
  </si>
  <si>
    <t>47</t>
  </si>
  <si>
    <t>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</si>
</sst>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0" fontId="0" fillId="9" borderId="0" xfId="0" applyFill="1" applyAlignment="1">
      <alignment horizontal="center" vertical="center"/>
    </xf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84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%"/>
    </dxf>
    <dxf>
      <numFmt numFmtId="164" formatCode="0.0%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83"/>
      <tableStyleElement type="headerRow" dxfId="82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17</xdr:row>
          <xdr:rowOff>171450</xdr:rowOff>
        </xdr:from>
        <xdr:to>
          <xdr:col>2</xdr:col>
          <xdr:colOff>628650</xdr:colOff>
          <xdr:row>19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180975</xdr:colOff>
      <xdr:row>2</xdr:row>
      <xdr:rowOff>95250</xdr:rowOff>
    </xdr:from>
    <xdr:to>
      <xdr:col>10</xdr:col>
      <xdr:colOff>523875</xdr:colOff>
      <xdr:row>8</xdr:row>
      <xdr:rowOff>95250</xdr:rowOff>
    </xdr:to>
    <xdr:pic>
      <xdr:nvPicPr>
        <xdr:cNvPr id="2" name="Imagem 1" descr="La Liga 2 Logo History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1350" y="942975"/>
          <a:ext cx="40005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</xdr:row>
      <xdr:rowOff>148989</xdr:rowOff>
    </xdr:from>
    <xdr:to>
      <xdr:col>7</xdr:col>
      <xdr:colOff>352425</xdr:colOff>
      <xdr:row>17</xdr:row>
      <xdr:rowOff>40661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0375" y="2330214"/>
          <a:ext cx="2181225" cy="1425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83343</xdr:colOff>
      <xdr:row>20</xdr:row>
      <xdr:rowOff>35718</xdr:rowOff>
    </xdr:from>
    <xdr:to>
      <xdr:col>3</xdr:col>
      <xdr:colOff>2206625</xdr:colOff>
      <xdr:row>22</xdr:row>
      <xdr:rowOff>146638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64906" y="4214812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900-000004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2"/>
      <queryTableField id="115" name="GP" tableColumnId="1"/>
      <queryTableField id="102" name="OGS" tableColumnId="3"/>
      <queryTableField id="103" name="Avg. minute" tableColumnId="4"/>
      <queryTableField id="104" name="0-15" tableColumnId="5"/>
      <queryTableField id="105" name="16-30" tableColumnId="6"/>
      <queryTableField id="106" name="31-45" tableColumnId="7"/>
      <queryTableField id="107" name="46-60" tableColumnId="8"/>
      <queryTableField id="108" name="61-75" tableColumnId="9"/>
      <queryTableField id="109" name="76-90" tableColumnId="10"/>
      <queryTableField id="110" name="Column1" tableColumnId="11"/>
      <queryTableField id="111" name="1st half" tableColumnId="12"/>
      <queryTableField id="112" name="1st half_1" tableColumnId="13"/>
      <queryTableField id="113" name="2nd half" tableColumnId="14"/>
      <queryTableField id="114" name="2nd half_2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A00-000005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B00-000006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C00-000007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E00-000009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366" tableType="queryTable" totalsRowShown="0">
  <autoFilter ref="C1:K366" xr:uid="{00000000-0009-0000-0100-000005000000}"/>
  <sortState xmlns:xlrd2="http://schemas.microsoft.com/office/spreadsheetml/2017/richdata2" ref="C2:K366">
    <sortCondition ref="C1:C187"/>
  </sortState>
  <tableColumns count="9">
    <tableColumn id="1" xr3:uid="{00000000-0010-0000-0000-000001000000}" uniqueName="1" name="Date" queryTableFieldId="1" dataDxfId="3"/>
    <tableColumn id="2" xr3:uid="{00000000-0010-0000-0000-000002000000}" uniqueName="2" name="TeamHome" queryTableFieldId="2" dataDxfId="2"/>
    <tableColumn id="3" xr3:uid="{00000000-0010-0000-0000-000003000000}" uniqueName="3" name="TeamAway" queryTableFieldId="3" dataDxfId="1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0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43" tableType="queryTable" totalsRowShown="0">
  <autoFilter ref="A1:AC43" xr:uid="{00000000-0009-0000-0100-000008000000}"/>
  <sortState xmlns:xlrd2="http://schemas.microsoft.com/office/spreadsheetml/2017/richdata2" ref="A2:AC43">
    <sortCondition ref="B1:B43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81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80"/>
    <tableColumn id="12" xr3:uid="{00000000-0010-0000-0100-00000C000000}" uniqueName="12" name="PPG" queryTableFieldId="12"/>
    <tableColumn id="13" xr3:uid="{00000000-0010-0000-0100-00000D000000}" uniqueName="13" name="Column13" queryTableFieldId="13" dataDxfId="79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78"/>
    <tableColumn id="20" xr3:uid="{00000000-0010-0000-0100-000014000000}" uniqueName="20" name="PPGh" queryTableFieldId="20" dataDxfId="77"/>
    <tableColumn id="21" xr3:uid="{00000000-0010-0000-0100-000015000000}" uniqueName="21" name="PPGa" queryTableFieldId="21" dataDxfId="76"/>
    <tableColumn id="22" xr3:uid="{00000000-0010-0000-0100-000016000000}" uniqueName="22" name="Column22" queryTableFieldId="22" dataDxfId="75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21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20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43" tableType="queryTable" totalsRowShown="0">
  <autoFilter ref="A1:N43" xr:uid="{00000000-0009-0000-0100-000004000000}"/>
  <tableColumns count="14">
    <tableColumn id="1" xr3:uid="{00000000-0010-0000-0200-000001000000}" uniqueName="1" name="Matches of..." queryTableFieldId="1" dataDxfId="74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op_scorers_Brazil" displayName="Top_scorers_Brazil" ref="A1:O61" totalsRowShown="0">
  <autoFilter ref="A1:O61" xr:uid="{00000000-0009-0000-0100-000001000000}"/>
  <sortState xmlns:xlrd2="http://schemas.microsoft.com/office/spreadsheetml/2017/richdata2" ref="A2:O61">
    <sortCondition descending="1" ref="C1:C61"/>
  </sortState>
  <tableColumns count="15">
    <tableColumn id="1" xr3:uid="{00000000-0010-0000-0300-000001000000}" name="Player" dataDxfId="73"/>
    <tableColumn id="2" xr3:uid="{00000000-0010-0000-0300-000002000000}" name="Team" dataDxfId="72"/>
    <tableColumn id="3" xr3:uid="{00000000-0010-0000-0300-000003000000}" name="Goals"/>
    <tableColumn id="4" xr3:uid="{00000000-0010-0000-0300-000004000000}" name="Home"/>
    <tableColumn id="5" xr3:uid="{00000000-0010-0000-0300-000005000000}" name="Away"/>
    <tableColumn id="6" xr3:uid="{00000000-0010-0000-0300-000006000000}" name="1 15"/>
    <tableColumn id="7" xr3:uid="{00000000-0010-0000-0300-000007000000}" name="16 30"/>
    <tableColumn id="8" xr3:uid="{00000000-0010-0000-0300-000008000000}" name="31 45"/>
    <tableColumn id="9" xr3:uid="{00000000-0010-0000-0300-000009000000}" name="46 60"/>
    <tableColumn id="10" xr3:uid="{00000000-0010-0000-0300-00000A000000}" name="61 75"/>
    <tableColumn id="11" xr3:uid="{00000000-0010-0000-0300-00000B000000}" name="76 90"/>
    <tableColumn id="12" xr3:uid="{00000000-0010-0000-0300-00000C000000}" name="Last" dataDxfId="71"/>
    <tableColumn id="13" xr3:uid="{00000000-0010-0000-0300-00000D000000}" name="% team"/>
    <tableColumn id="14" xr3:uid="{1EFF8D0A-CFE8-429C-929E-EA34E0C462F2}" name="Age" dataDxfId="70"/>
    <tableColumn id="15" xr3:uid="{26A9A88D-A728-46EC-8567-460525987A76}" name="2" dataDxfId="6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OGS_Home_Brazil" displayName="OGS_Home_Brazil" ref="A1:O43" tableType="queryTable" totalsRowShown="0">
  <autoFilter ref="A1:O43" xr:uid="{00000000-0009-0000-0100-00000A000000}"/>
  <tableColumns count="15">
    <tableColumn id="2" xr3:uid="{00000000-0010-0000-0400-000002000000}" uniqueName="2" name="Home" queryTableFieldId="101" dataDxfId="68"/>
    <tableColumn id="1" xr3:uid="{C83A0179-F021-4467-A7C7-4CCF1A70BAC6}" uniqueName="1" name="GP" queryTableFieldId="115" dataDxfId="67"/>
    <tableColumn id="3" xr3:uid="{00000000-0010-0000-0400-000003000000}" uniqueName="3" name="OGS" queryTableFieldId="102" dataDxfId="66"/>
    <tableColumn id="4" xr3:uid="{00000000-0010-0000-0400-000004000000}" uniqueName="4" name="Avg. minute" queryTableFieldId="103" dataDxfId="65"/>
    <tableColumn id="5" xr3:uid="{00000000-0010-0000-0400-000005000000}" uniqueName="5" name="0-15" queryTableFieldId="104" dataDxfId="64"/>
    <tableColumn id="6" xr3:uid="{00000000-0010-0000-0400-000006000000}" uniqueName="6" name="16-30" queryTableFieldId="105" dataDxfId="63"/>
    <tableColumn id="7" xr3:uid="{00000000-0010-0000-0400-000007000000}" uniqueName="7" name="31-45" queryTableFieldId="106" dataDxfId="62"/>
    <tableColumn id="8" xr3:uid="{00000000-0010-0000-0400-000008000000}" uniqueName="8" name="46-60" queryTableFieldId="107" dataDxfId="61"/>
    <tableColumn id="9" xr3:uid="{00000000-0010-0000-0400-000009000000}" uniqueName="9" name="61-75" queryTableFieldId="108" dataDxfId="60"/>
    <tableColumn id="10" xr3:uid="{00000000-0010-0000-0400-00000A000000}" uniqueName="10" name="76-90" queryTableFieldId="109" dataDxfId="59"/>
    <tableColumn id="11" xr3:uid="{00000000-0010-0000-0400-00000B000000}" uniqueName="11" name="Column1" queryTableFieldId="110" dataDxfId="58"/>
    <tableColumn id="12" xr3:uid="{00000000-0010-0000-0400-00000C000000}" uniqueName="12" name="1st half" queryTableFieldId="111" dataDxfId="57"/>
    <tableColumn id="13" xr3:uid="{00000000-0010-0000-0400-00000D000000}" uniqueName="13" name="1st half_1" queryTableFieldId="112" dataDxfId="56"/>
    <tableColumn id="14" xr3:uid="{00000000-0010-0000-0400-00000E000000}" uniqueName="14" name="2nd half" queryTableFieldId="113" dataDxfId="55"/>
    <tableColumn id="15" xr3:uid="{00000000-0010-0000-0400-00000F000000}" uniqueName="15" name="2nd half_2" queryTableFieldId="114" dataDxfId="5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OGS_Away__Brazil" displayName="OGS_Away__Brazil" ref="A1:O43" tableType="queryTable" totalsRowShown="0" headerRowDxfId="53" dataDxfId="52">
  <autoFilter ref="A1:O43" xr:uid="{00000000-0009-0000-0100-00000B000000}"/>
  <tableColumns count="15">
    <tableColumn id="1" xr3:uid="{00000000-0010-0000-0500-000001000000}" uniqueName="1" name="Away" queryTableFieldId="1" dataDxfId="19"/>
    <tableColumn id="15" xr3:uid="{EFB8EFA3-65E3-4103-B995-5EDA9C467BEC}" uniqueName="15" name="GP" queryTableFieldId="16" dataDxfId="51"/>
    <tableColumn id="2" xr3:uid="{00000000-0010-0000-0500-000002000000}" uniqueName="2" name="OGS" queryTableFieldId="2" dataDxfId="18"/>
    <tableColumn id="3" xr3:uid="{00000000-0010-0000-0500-000003000000}" uniqueName="3" name="Avg. minute" queryTableFieldId="3" dataDxfId="17"/>
    <tableColumn id="4" xr3:uid="{00000000-0010-0000-0500-000004000000}" uniqueName="4" name="0-15" queryTableFieldId="4" dataDxfId="16"/>
    <tableColumn id="5" xr3:uid="{00000000-0010-0000-0500-000005000000}" uniqueName="5" name="16-30" queryTableFieldId="5" dataDxfId="15"/>
    <tableColumn id="6" xr3:uid="{00000000-0010-0000-0500-000006000000}" uniqueName="6" name="31-45" queryTableFieldId="6" dataDxfId="14"/>
    <tableColumn id="7" xr3:uid="{00000000-0010-0000-0500-000007000000}" uniqueName="7" name="46-60" queryTableFieldId="7" dataDxfId="13"/>
    <tableColumn id="8" xr3:uid="{00000000-0010-0000-0500-000008000000}" uniqueName="8" name="61-75" queryTableFieldId="8" dataDxfId="12"/>
    <tableColumn id="9" xr3:uid="{00000000-0010-0000-0500-000009000000}" uniqueName="9" name="76-90" queryTableFieldId="9" dataDxfId="11"/>
    <tableColumn id="10" xr3:uid="{00000000-0010-0000-0500-00000A000000}" uniqueName="10" name="Column1" queryTableFieldId="10" dataDxfId="10"/>
    <tableColumn id="11" xr3:uid="{00000000-0010-0000-0500-00000B000000}" uniqueName="11" name="1st half" queryTableFieldId="11" dataDxfId="9"/>
    <tableColumn id="12" xr3:uid="{00000000-0010-0000-0500-00000C000000}" uniqueName="12" name="1st half_1" queryTableFieldId="12" dataDxfId="8"/>
    <tableColumn id="13" xr3:uid="{00000000-0010-0000-0500-00000D000000}" uniqueName="13" name="2nd half" queryTableFieldId="13" dataDxfId="7"/>
    <tableColumn id="14" xr3:uid="{00000000-0010-0000-0500-00000E000000}" uniqueName="14" name="2nd half_2" queryTableFieldId="14" dataDxf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OGC_Home__Brazil" displayName="OGC_Home__Brazil" ref="A1:O43" tableType="queryTable" totalsRowShown="0">
  <autoFilter ref="A1:O43" xr:uid="{00000000-0009-0000-0100-00000C000000}"/>
  <tableColumns count="15">
    <tableColumn id="1" xr3:uid="{00000000-0010-0000-0600-000001000000}" uniqueName="1" name="Home" queryTableFieldId="1" dataDxfId="50"/>
    <tableColumn id="15" xr3:uid="{8C320020-7AA2-4C09-BB12-D15B131F28AF}" uniqueName="15" name="GP" queryTableFieldId="28" dataDxfId="49"/>
    <tableColumn id="2" xr3:uid="{00000000-0010-0000-0600-000002000000}" uniqueName="2" name="OGC" queryTableFieldId="2"/>
    <tableColumn id="3" xr3:uid="{00000000-0010-0000-0600-000003000000}" uniqueName="3" name="Avg. minute" queryTableFieldId="3" dataDxfId="48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7"/>
    <tableColumn id="11" xr3:uid="{00000000-0010-0000-0600-00000B000000}" uniqueName="11" name="1st half" queryTableFieldId="11"/>
    <tableColumn id="12" xr3:uid="{00000000-0010-0000-0600-00000C000000}" uniqueName="12" name="1st half_1" queryTableFieldId="12" dataDxfId="46"/>
    <tableColumn id="13" xr3:uid="{00000000-0010-0000-0600-00000D000000}" uniqueName="13" name="2nd half" queryTableFieldId="13" dataDxfId="45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OGC___Away_Brazil" displayName="OGC___Away_Brazil" ref="A1:O43" tableType="queryTable" totalsRowShown="0">
  <autoFilter ref="A1:O43" xr:uid="{00000000-0009-0000-0100-00000D000000}"/>
  <tableColumns count="15">
    <tableColumn id="1" xr3:uid="{00000000-0010-0000-0700-000001000000}" uniqueName="1" name="Away" queryTableFieldId="1" dataDxfId="44"/>
    <tableColumn id="15" xr3:uid="{6BBE1BBE-38AF-4EC9-8272-A4AEAA849DDB}" uniqueName="15" name="GP" queryTableFieldId="15" dataDxfId="43"/>
    <tableColumn id="2" xr3:uid="{00000000-0010-0000-0700-000002000000}" uniqueName="2" name="OGC" queryTableFieldId="2"/>
    <tableColumn id="3" xr3:uid="{00000000-0010-0000-0700-000003000000}" uniqueName="3" name="Avg. minute" queryTableFieldId="3"/>
    <tableColumn id="4" xr3:uid="{00000000-0010-0000-0700-000004000000}" uniqueName="4" name="0-15" queryTableFieldId="4"/>
    <tableColumn id="5" xr3:uid="{00000000-0010-0000-0700-000005000000}" uniqueName="5" name="16-30" queryTableFieldId="5"/>
    <tableColumn id="6" xr3:uid="{00000000-0010-0000-0700-000006000000}" uniqueName="6" name="31-45" queryTableFieldId="6"/>
    <tableColumn id="7" xr3:uid="{00000000-0010-0000-0700-000007000000}" uniqueName="7" name="46-60" queryTableFieldId="7"/>
    <tableColumn id="8" xr3:uid="{00000000-0010-0000-0700-000008000000}" uniqueName="8" name="61-75" queryTableFieldId="8"/>
    <tableColumn id="9" xr3:uid="{00000000-0010-0000-0700-000009000000}" uniqueName="9" name="76-90" queryTableFieldId="9"/>
    <tableColumn id="10" xr3:uid="{00000000-0010-0000-0700-00000A000000}" uniqueName="10" name="Column1" queryTableFieldId="10" dataDxfId="42"/>
    <tableColumn id="11" xr3:uid="{00000000-0010-0000-0700-00000B000000}" uniqueName="11" name="1st half" queryTableFieldId="11"/>
    <tableColumn id="12" xr3:uid="{00000000-0010-0000-0700-00000C000000}" uniqueName="12" name="1st half_1" queryTableFieldId="12" dataDxfId="41"/>
    <tableColumn id="13" xr3:uid="{00000000-0010-0000-0700-00000D000000}" uniqueName="13" name="2nd half" queryTableFieldId="13" dataDxfId="40"/>
    <tableColumn id="14" xr3:uid="{00000000-0010-0000-0700-00000E000000}" uniqueName="14" name="2nd half_2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HT_Home_Brazil" displayName="HT_Home_Brazil" ref="A1:J43" tableType="queryTable" totalsRowShown="0">
  <autoFilter ref="A1:J43" xr:uid="{00000000-000C-0000-FFFF-FFFF08000000}"/>
  <tableColumns count="10">
    <tableColumn id="1" xr3:uid="{F82E561E-E727-4B28-91C0-45879BE15C7E}" uniqueName="1" name="HT Home" queryTableFieldId="1"/>
    <tableColumn id="2" xr3:uid="{B20A33AE-2040-4A66-8E5A-6E2FAB82A0BC}" uniqueName="2" name="GP" queryTableFieldId="2"/>
    <tableColumn id="3" xr3:uid="{551C4F6E-058B-4F27-970A-09E209D0AD62}" uniqueName="3" name="W" queryTableFieldId="3"/>
    <tableColumn id="4" xr3:uid="{AD9AF5BA-906E-4F9E-B767-43C1623301DC}" uniqueName="4" name="D" queryTableFieldId="4"/>
    <tableColumn id="5" xr3:uid="{CFF268C3-3D86-4BAF-8CD7-C9E0CE1340DD}" uniqueName="5" name="L" queryTableFieldId="5"/>
    <tableColumn id="6" xr3:uid="{C7ABAC1C-69C9-4D50-9CE9-C3870692216D}" uniqueName="6" name="GF" queryTableFieldId="6"/>
    <tableColumn id="7" xr3:uid="{4B3863B6-8D64-4E50-8507-0A2E4CABCE56}" uniqueName="7" name="GA" queryTableFieldId="7"/>
    <tableColumn id="8" xr3:uid="{B896612A-13C6-4FD3-B793-205DA005858B}" uniqueName="8" name="GD" queryTableFieldId="8"/>
    <tableColumn id="9" xr3:uid="{51E87B18-E623-41B2-B943-9007FF83E455}" uniqueName="9" name="Pts" queryTableFieldId="9"/>
    <tableColumn id="10" xr3:uid="{C7F0FC45-8B43-4326-81AF-4864F0DBB579}" uniqueName="10" name="W%" queryTableFieldId="10" dataDxfId="5" dataCellStyle="Porcentagem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9000000}" name="HT_Away" displayName="HT_Away" ref="A1:J43" tableType="queryTable" totalsRowShown="0">
  <autoFilter ref="A1:J43" xr:uid="{00000000-000C-0000-FFFF-FFFF09000000}"/>
  <tableColumns count="10">
    <tableColumn id="1" xr3:uid="{67A47BD9-80BB-4DC1-875E-13B8C6EB63D0}" uniqueName="1" name="HT Away" queryTableFieldId="1"/>
    <tableColumn id="2" xr3:uid="{B3B2D474-BAB8-437D-8380-6931B4C2012B}" uniqueName="2" name="GP" queryTableFieldId="2"/>
    <tableColumn id="3" xr3:uid="{B0B5039C-70CD-42A1-A439-BE6CEF3C81CF}" uniqueName="3" name="W" queryTableFieldId="3"/>
    <tableColumn id="4" xr3:uid="{043D2CF5-4FA3-405C-A362-5FBC9B5DA464}" uniqueName="4" name="D" queryTableFieldId="4"/>
    <tableColumn id="5" xr3:uid="{D9FE12FB-6CD8-4B03-8F87-F2BC54F77072}" uniqueName="5" name="L" queryTableFieldId="5"/>
    <tableColumn id="6" xr3:uid="{E593BA0F-5766-454D-B919-23C79958B104}" uniqueName="6" name="GF" queryTableFieldId="6"/>
    <tableColumn id="7" xr3:uid="{7C7FDA87-652B-472D-BC3A-87052D1D46D5}" uniqueName="7" name="GA" queryTableFieldId="7"/>
    <tableColumn id="8" xr3:uid="{45195059-B2EC-42EB-B9BF-DBBEE1286BC8}" uniqueName="8" name="GD" queryTableFieldId="8"/>
    <tableColumn id="9" xr3:uid="{E602E68A-D237-46EF-B741-B6CC77780D98}" uniqueName="9" name="Pts" queryTableFieldId="9"/>
    <tableColumn id="10" xr3:uid="{CD79CB54-88E8-49AC-953D-30D2BFE8AC75}" uniqueName="10" name="W%" queryTableFieldId="10" dataDxfId="4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V45"/>
  <sheetViews>
    <sheetView showGridLines="0" tabSelected="1" zoomScaleNormal="100" workbookViewId="0">
      <selection activeCell="C2" sqref="C2"/>
    </sheetView>
  </sheetViews>
  <sheetFormatPr defaultRowHeight="15" x14ac:dyDescent="0.25"/>
  <cols>
    <col min="1" max="1" width="33.140625" style="2" bestFit="1" customWidth="1"/>
    <col min="2" max="2" width="19.140625" style="2" customWidth="1"/>
    <col min="3" max="3" width="16.7109375" style="2" customWidth="1"/>
    <col min="4" max="4" width="33.140625" style="2" bestFit="1" customWidth="1"/>
    <col min="5" max="22" width="9.140625" style="23"/>
  </cols>
  <sheetData>
    <row r="1" spans="1:12" s="23" customFormat="1" ht="19.5" thickBot="1" x14ac:dyDescent="0.3">
      <c r="A1" s="51" t="s">
        <v>150</v>
      </c>
      <c r="B1" s="32" t="s">
        <v>175</v>
      </c>
      <c r="C1" s="32" t="s">
        <v>175</v>
      </c>
      <c r="D1" s="22"/>
    </row>
    <row r="2" spans="1:12" ht="47.25" customHeight="1" thickBot="1" x14ac:dyDescent="0.3">
      <c r="A2" s="3">
        <f>(B5/B4)-(C5/C4)+(B10/B4)-(B9/B4)</f>
        <v>0.2857142857142857</v>
      </c>
      <c r="B2" s="33" t="s">
        <v>277</v>
      </c>
      <c r="C2" s="34" t="s">
        <v>288</v>
      </c>
      <c r="D2" s="4">
        <f>(C5/C4)-(B5/B4)+(C10/C4)-(C9/C4)</f>
        <v>-0.1428571428571429</v>
      </c>
      <c r="F2" s="72" t="s">
        <v>132</v>
      </c>
      <c r="G2" s="72"/>
      <c r="H2" s="72"/>
      <c r="I2" s="72"/>
      <c r="J2" s="72"/>
    </row>
    <row r="3" spans="1:12" ht="15" customHeight="1" thickBot="1" x14ac:dyDescent="0.3">
      <c r="A3" s="5" t="s">
        <v>159</v>
      </c>
      <c r="B3" s="6">
        <f>IFERROR(INDEX(Matches!$A:$A,MATCH(B2,Matches!$B:$B,0)),"-")</f>
        <v>11</v>
      </c>
      <c r="C3" s="6">
        <f>IFERROR(INDEX(Matches!$A:$A,MATCH(C2,Matches!$B:$B,0)),"-")</f>
        <v>18</v>
      </c>
      <c r="D3" s="5" t="s">
        <v>159</v>
      </c>
    </row>
    <row r="4" spans="1:12" ht="15" customHeight="1" thickBot="1" x14ac:dyDescent="0.3">
      <c r="A4" s="5" t="s">
        <v>124</v>
      </c>
      <c r="B4" s="6">
        <f>SUM(B10:B12)</f>
        <v>7</v>
      </c>
      <c r="C4" s="6">
        <f>SUM(C10:C12)</f>
        <v>7</v>
      </c>
      <c r="D4" s="7" t="s">
        <v>125</v>
      </c>
    </row>
    <row r="5" spans="1:12" ht="15" customHeight="1" thickBot="1" x14ac:dyDescent="0.3">
      <c r="A5" s="5" t="s">
        <v>123</v>
      </c>
      <c r="B5" s="6">
        <f>SUM(B6:B8)</f>
        <v>5</v>
      </c>
      <c r="C5" s="6">
        <f>SUM(C6:C8)</f>
        <v>3</v>
      </c>
      <c r="D5" s="5" t="s">
        <v>123</v>
      </c>
    </row>
    <row r="6" spans="1:12" ht="15" customHeight="1" thickBot="1" x14ac:dyDescent="0.3">
      <c r="A6" s="8" t="s">
        <v>46</v>
      </c>
      <c r="B6" s="9">
        <f>IFERROR(INDEX(OGSHome!$E:$E,MATCH(B2,OGSHome!$A:$A,0)),"-")</f>
        <v>2</v>
      </c>
      <c r="C6" s="9">
        <f>IFERROR(INDEX(OGSAway!$E:$E,MATCH(C2,OGSAway!$A:$A,0)),"-")</f>
        <v>0</v>
      </c>
      <c r="D6" s="10" t="s">
        <v>46</v>
      </c>
      <c r="F6"/>
    </row>
    <row r="7" spans="1:12" ht="15" customHeight="1" thickBot="1" x14ac:dyDescent="0.3">
      <c r="A7" s="8" t="s">
        <v>47</v>
      </c>
      <c r="B7" s="9">
        <f>IFERROR(INDEX(OGSHome!$F:$F,MATCH(B2,OGSHome!$A:$A,0)),"-")</f>
        <v>0</v>
      </c>
      <c r="C7" s="9">
        <f>IFERROR(INDEX(OGSAway!$F:$F,MATCH(C2,OGSAway!$A:$A,0)),"-")</f>
        <v>3</v>
      </c>
      <c r="D7" s="10" t="s">
        <v>47</v>
      </c>
    </row>
    <row r="8" spans="1:12" ht="15" customHeight="1" thickBot="1" x14ac:dyDescent="0.3">
      <c r="A8" s="11" t="s">
        <v>48</v>
      </c>
      <c r="B8" s="9">
        <f>IFERROR(INDEX(OGSHome!$G:$G,MATCH(B2,OGSHome!$A:$A,0)),"-")</f>
        <v>3</v>
      </c>
      <c r="C8" s="9">
        <f>IFERROR(INDEX(OGSAway!$G:$G,MATCH(C2,OGSAway!$A:$A,0)),"-")</f>
        <v>0</v>
      </c>
      <c r="D8" s="12" t="s">
        <v>48</v>
      </c>
    </row>
    <row r="9" spans="1:12" ht="15" customHeight="1" thickBot="1" x14ac:dyDescent="0.3">
      <c r="A9" s="13" t="s">
        <v>122</v>
      </c>
      <c r="B9" s="6">
        <f>IFERROR(INDEX(OGCHome!$Q:$Q,MATCH(B2,OGCHome!$A:$A,0)),"-")</f>
        <v>2</v>
      </c>
      <c r="C9" s="6">
        <f>IFERROR(INDEX(OGCAway!$Q:$Q,MATCH(C2,OGCAway!$A:$A,0)),"-")</f>
        <v>1</v>
      </c>
      <c r="D9" s="13" t="s">
        <v>122</v>
      </c>
    </row>
    <row r="10" spans="1:12" ht="15" customHeight="1" thickBot="1" x14ac:dyDescent="0.3">
      <c r="A10" s="7" t="s">
        <v>133</v>
      </c>
      <c r="B10" s="6">
        <f>IFERROR(INDEX(HTHome!$C:$C,MATCH(B2,HTHome!$A:$A,0)),"-")</f>
        <v>2</v>
      </c>
      <c r="C10" s="6">
        <f>IFERROR(INDEX(HTAway!$C$1:$C$41,MATCH(C2,HTAway!$A$1:$A$41,0)),"-")</f>
        <v>2</v>
      </c>
      <c r="D10" s="7" t="s">
        <v>133</v>
      </c>
      <c r="F10" s="71"/>
      <c r="G10" s="71"/>
      <c r="H10" s="71"/>
      <c r="I10" s="71"/>
      <c r="J10" s="71"/>
      <c r="K10" s="71"/>
      <c r="L10" s="71"/>
    </row>
    <row r="11" spans="1:12" ht="15" customHeight="1" thickBot="1" x14ac:dyDescent="0.3">
      <c r="A11" s="7" t="s">
        <v>134</v>
      </c>
      <c r="B11" s="6">
        <f>IFERROR(INDEX(HTHome!$E:$E,MATCH(B2,HTHome!$A:$A,0)),"-")</f>
        <v>1</v>
      </c>
      <c r="C11" s="6">
        <f>IFERROR(INDEX(HTAway!$E$1:$E$41,MATCH(C2,HTAway!$A$1:$A$41,0)),"-")</f>
        <v>1</v>
      </c>
      <c r="D11" s="7" t="s">
        <v>134</v>
      </c>
      <c r="F11" s="71"/>
      <c r="G11" s="71"/>
      <c r="H11" s="71"/>
      <c r="I11" s="71"/>
      <c r="J11" s="71"/>
      <c r="K11" s="71"/>
      <c r="L11" s="71"/>
    </row>
    <row r="12" spans="1:12" ht="15" customHeight="1" thickBot="1" x14ac:dyDescent="0.3">
      <c r="A12" s="7" t="s">
        <v>137</v>
      </c>
      <c r="B12" s="6">
        <f>IFERROR(INDEX(HTHome!$D:$D,MATCH(B2,HTHome!$A:$A,0)),"-")</f>
        <v>4</v>
      </c>
      <c r="C12" s="6">
        <f>IFERROR(INDEX(HTAway!$D$1:$D$41,MATCH(C2,HTAway!$A$1:$A$41,0)),"-")</f>
        <v>4</v>
      </c>
      <c r="D12" s="7" t="s">
        <v>137</v>
      </c>
      <c r="F12" s="71"/>
      <c r="G12" s="71"/>
      <c r="H12" s="71"/>
      <c r="I12" s="71"/>
      <c r="J12" s="71"/>
      <c r="K12" s="71"/>
      <c r="L12" s="71"/>
    </row>
    <row r="13" spans="1:12" ht="15" customHeight="1" thickBot="1" x14ac:dyDescent="0.3">
      <c r="A13" s="5" t="s">
        <v>156</v>
      </c>
      <c r="B13" s="14">
        <f>B5/B4</f>
        <v>0.7142857142857143</v>
      </c>
      <c r="C13" s="14">
        <f>C5/C4</f>
        <v>0.42857142857142855</v>
      </c>
      <c r="D13" s="5" t="s">
        <v>156</v>
      </c>
      <c r="F13" s="71"/>
      <c r="G13" s="71"/>
      <c r="H13" s="71"/>
      <c r="I13" s="71"/>
      <c r="J13" s="71"/>
      <c r="K13" s="71"/>
      <c r="L13" s="71"/>
    </row>
    <row r="14" spans="1:12" ht="15" customHeight="1" thickBot="1" x14ac:dyDescent="0.3">
      <c r="A14" s="15" t="s">
        <v>49</v>
      </c>
      <c r="B14" s="16">
        <f>(B10*3+B12)/B4</f>
        <v>1.4285714285714286</v>
      </c>
      <c r="C14" s="16">
        <f>(C10*3+C12)/C4</f>
        <v>1.4285714285714286</v>
      </c>
      <c r="D14" s="17" t="s">
        <v>49</v>
      </c>
      <c r="F14" s="71"/>
      <c r="G14" s="71"/>
      <c r="H14" s="71"/>
      <c r="I14" s="71"/>
      <c r="J14" s="71"/>
      <c r="K14" s="71"/>
      <c r="L14" s="71"/>
    </row>
    <row r="15" spans="1:12" ht="15.75" thickBot="1" x14ac:dyDescent="0.3">
      <c r="A15" s="15" t="s">
        <v>85</v>
      </c>
      <c r="B15" s="16">
        <f>IFERROR(INDEX(OGSHome!$C:$C,MATCH(B2,OGSHome!$A:$A,0)),"-")</f>
        <v>5</v>
      </c>
      <c r="C15" s="16">
        <f>IFERROR(INDEX(OGSAway!$C:$C,MATCH(C2,OGSAway!$A:$A,0)),"-")</f>
        <v>4</v>
      </c>
      <c r="D15" s="15" t="s">
        <v>85</v>
      </c>
      <c r="F15" s="71"/>
      <c r="G15" s="71"/>
      <c r="H15" s="71"/>
      <c r="I15" s="71"/>
      <c r="J15" s="71"/>
      <c r="K15" s="71"/>
      <c r="L15" s="71"/>
    </row>
    <row r="16" spans="1:12" x14ac:dyDescent="0.25">
      <c r="A16" s="20" t="s">
        <v>107</v>
      </c>
      <c r="B16" s="6" t="str">
        <f>IFERROR(INDEX('Top Scores'!$A:$A,MATCH(B2,'Top Scores'!$B:$B,0)),"-")</f>
        <v>-</v>
      </c>
      <c r="C16" s="6" t="str">
        <f>IFERROR(INDEX('Top Scores'!$A:$A,MATCH(C2,'Top Scores'!$B:$B,0)),"-")</f>
        <v>-</v>
      </c>
      <c r="D16" s="20" t="s">
        <v>107</v>
      </c>
      <c r="G16" s="24"/>
    </row>
    <row r="17" spans="1:10" x14ac:dyDescent="0.25">
      <c r="A17" s="20" t="s">
        <v>108</v>
      </c>
      <c r="B17" s="6" t="str">
        <f>IFERROR(INDEX('Top Scores'!$C:$C,MATCH(B2,'Top Scores'!$B:$B,0)),"-")</f>
        <v>-</v>
      </c>
      <c r="C17" s="6" t="str">
        <f>IFERROR(INDEX('Top Scores'!$C:$C,MATCH(C2,'Top Scores'!$B:$B,0)),"-")</f>
        <v>-</v>
      </c>
      <c r="D17" s="20" t="s">
        <v>108</v>
      </c>
      <c r="G17" s="25"/>
      <c r="H17" s="25"/>
      <c r="J17" s="26"/>
    </row>
    <row r="18" spans="1:10" x14ac:dyDescent="0.25">
      <c r="A18" s="22"/>
      <c r="B18" s="22"/>
      <c r="C18" s="22"/>
      <c r="D18" s="22"/>
    </row>
    <row r="19" spans="1:10" x14ac:dyDescent="0.25">
      <c r="A19" s="24"/>
      <c r="B19" s="24"/>
      <c r="C19" s="22"/>
      <c r="D19" s="25"/>
      <c r="E19" s="24"/>
      <c r="G19" s="23" t="s">
        <v>202</v>
      </c>
      <c r="H19" s="23" t="s">
        <v>201</v>
      </c>
    </row>
    <row r="20" spans="1:10" x14ac:dyDescent="0.25">
      <c r="A20" s="25"/>
      <c r="B20" s="24"/>
      <c r="C20" s="22"/>
      <c r="D20" s="22"/>
      <c r="G20" s="24"/>
    </row>
    <row r="21" spans="1:10" x14ac:dyDescent="0.25">
      <c r="A21" s="22"/>
      <c r="B21" s="22" t="s">
        <v>218</v>
      </c>
      <c r="C21" s="22"/>
      <c r="D21" s="22"/>
      <c r="G21" s="25"/>
      <c r="J21" s="26"/>
    </row>
    <row r="22" spans="1:10" x14ac:dyDescent="0.25">
      <c r="A22" s="25" t="s">
        <v>202</v>
      </c>
      <c r="B22" s="24" t="s">
        <v>201</v>
      </c>
      <c r="C22" s="22"/>
      <c r="D22" s="22"/>
      <c r="G22" s="24"/>
    </row>
    <row r="23" spans="1:10" x14ac:dyDescent="0.25">
      <c r="A23" s="22"/>
      <c r="B23" s="22"/>
      <c r="C23" s="22"/>
      <c r="D23" s="22"/>
    </row>
    <row r="24" spans="1:10" x14ac:dyDescent="0.25">
      <c r="A24" s="22"/>
      <c r="B24" s="22"/>
      <c r="C24" s="22"/>
      <c r="D24" s="22"/>
    </row>
    <row r="25" spans="1:10" x14ac:dyDescent="0.25">
      <c r="A25" s="22"/>
      <c r="B25" s="22"/>
      <c r="C25" s="22"/>
      <c r="D25" s="22"/>
    </row>
    <row r="26" spans="1:10" x14ac:dyDescent="0.25">
      <c r="A26" s="22"/>
      <c r="B26" s="22"/>
      <c r="C26" s="22"/>
      <c r="D26" s="22"/>
    </row>
    <row r="27" spans="1:10" x14ac:dyDescent="0.25">
      <c r="A27" s="22"/>
      <c r="B27" s="22"/>
      <c r="C27" s="22"/>
      <c r="D27" s="22"/>
    </row>
    <row r="28" spans="1:10" x14ac:dyDescent="0.25">
      <c r="A28" s="22"/>
      <c r="B28" s="22"/>
      <c r="C28" s="22"/>
      <c r="D28" s="22"/>
    </row>
    <row r="29" spans="1:10" x14ac:dyDescent="0.25">
      <c r="A29" s="22"/>
      <c r="B29" s="22"/>
      <c r="C29" s="22"/>
      <c r="D29" s="22"/>
    </row>
    <row r="30" spans="1:10" x14ac:dyDescent="0.25">
      <c r="A30" s="22"/>
      <c r="B30" s="22"/>
      <c r="C30" s="22"/>
      <c r="D30" s="22"/>
    </row>
    <row r="31" spans="1:10" x14ac:dyDescent="0.25">
      <c r="A31" s="22"/>
      <c r="B31" s="22"/>
      <c r="C31" s="22"/>
      <c r="D31" s="22"/>
    </row>
    <row r="32" spans="1:10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39" priority="2" operator="lessThan">
      <formula>0.8</formula>
    </cfRule>
    <cfRule type="cellIs" dxfId="38" priority="4" operator="greaterThan">
      <formula>0.8</formula>
    </cfRule>
    <cfRule type="cellIs" dxfId="37" priority="5" operator="greaterThan">
      <formula>0.8</formula>
    </cfRule>
    <cfRule type="cellIs" dxfId="36" priority="6" operator="greaterThan">
      <formula>80</formula>
    </cfRule>
  </conditionalFormatting>
  <conditionalFormatting sqref="D2">
    <cfRule type="cellIs" dxfId="35" priority="1" operator="greaterThan">
      <formula>0.8</formula>
    </cfRule>
    <cfRule type="cellIs" dxfId="34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676275</xdr:colOff>
                    <xdr:row>17</xdr:row>
                    <xdr:rowOff>171450</xdr:rowOff>
                  </from>
                  <to>
                    <xdr:col>2</xdr:col>
                    <xdr:colOff>628650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Matches!$B$2:$B$2002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showGridLines="0" zoomScale="80" zoomScaleNormal="80" workbookViewId="0">
      <selection activeCell="M22" sqref="M22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3"/>
    <col min="9" max="9" width="14.140625" style="23" customWidth="1"/>
    <col min="10" max="22" width="9.140625" style="23"/>
  </cols>
  <sheetData>
    <row r="1" spans="1:12" s="23" customFormat="1" ht="19.5" thickBot="1" x14ac:dyDescent="0.3">
      <c r="A1" s="45" t="s">
        <v>151</v>
      </c>
      <c r="B1" s="22"/>
      <c r="C1" s="22"/>
      <c r="D1" s="22"/>
    </row>
    <row r="2" spans="1:12" ht="42" customHeight="1" thickBot="1" x14ac:dyDescent="0.3">
      <c r="A2" s="3">
        <f>(B5/B4)-(C5/C4)+(B13/B4)-(B12/B4)</f>
        <v>9.722222222222221E-2</v>
      </c>
      <c r="B2" s="35" t="str">
        <f>'Half-Time'!B2</f>
        <v>Rayo Vallecano</v>
      </c>
      <c r="C2" s="36" t="str">
        <f>'Half-Time'!C2</f>
        <v>Celta Vigo</v>
      </c>
      <c r="D2" s="4">
        <f>(C5/C4)-(B5/B4)+(C13/C4)-(C12/C4)</f>
        <v>-0.80555555555555558</v>
      </c>
      <c r="F2" s="86" t="s">
        <v>132</v>
      </c>
      <c r="G2" s="86"/>
      <c r="H2" s="86"/>
      <c r="I2" s="86"/>
      <c r="J2" s="86"/>
      <c r="K2" s="86"/>
      <c r="L2" s="86"/>
    </row>
    <row r="3" spans="1:12" ht="15" customHeight="1" thickBot="1" x14ac:dyDescent="0.3">
      <c r="A3" s="5" t="s">
        <v>159</v>
      </c>
      <c r="B3" s="6">
        <f>IFERROR(INDEX(Matches!$A:$A,MATCH(B2,Matches!$B:$B,0)),"-")</f>
        <v>11</v>
      </c>
      <c r="C3" s="6">
        <f>IFERROR(INDEX(Matches!$A:$A,MATCH(C2,Matches!$B:$B,0)),"-")</f>
        <v>18</v>
      </c>
      <c r="D3" s="5" t="s">
        <v>159</v>
      </c>
      <c r="F3" s="86"/>
      <c r="G3" s="86"/>
      <c r="H3" s="86"/>
      <c r="I3" s="86"/>
      <c r="J3" s="86"/>
      <c r="K3" s="86"/>
      <c r="L3" s="86"/>
    </row>
    <row r="4" spans="1:12" ht="15" customHeight="1" thickBot="1" x14ac:dyDescent="0.3">
      <c r="A4" s="5" t="s">
        <v>124</v>
      </c>
      <c r="B4" s="6">
        <f>SUM(B13:B15)</f>
        <v>8</v>
      </c>
      <c r="C4" s="6">
        <f>SUM(C13:C15)</f>
        <v>9</v>
      </c>
      <c r="D4" s="7" t="s">
        <v>125</v>
      </c>
    </row>
    <row r="5" spans="1:12" ht="15" customHeight="1" thickBot="1" x14ac:dyDescent="0.3">
      <c r="A5" s="5" t="s">
        <v>147</v>
      </c>
      <c r="B5" s="6">
        <f>SUM(B6:B11)</f>
        <v>10</v>
      </c>
      <c r="C5" s="6">
        <f>SUM(C6:C11)</f>
        <v>7</v>
      </c>
      <c r="D5" s="5" t="s">
        <v>147</v>
      </c>
      <c r="F5" s="87" t="str">
        <f>'Half-Time'!B2</f>
        <v>Rayo Vallecano</v>
      </c>
      <c r="G5" s="87"/>
      <c r="J5" s="88" t="str">
        <f>'Half-Time'!C2</f>
        <v>Celta Vigo</v>
      </c>
      <c r="K5" s="88"/>
    </row>
    <row r="6" spans="1:12" ht="15" customHeight="1" thickBot="1" x14ac:dyDescent="0.3">
      <c r="A6" s="8" t="s">
        <v>141</v>
      </c>
      <c r="B6" s="9">
        <f>IFERROR(INDEX(OGSHome!$E:$E,MATCH(B2,OGSHome!$A:$A,0)),"-")</f>
        <v>2</v>
      </c>
      <c r="C6" s="9">
        <f>IFERROR(INDEX(OGSAway!$E:$E,MATCH(C2,OGSAway!$A:$A,0)),"-")</f>
        <v>0</v>
      </c>
      <c r="D6" s="8" t="s">
        <v>141</v>
      </c>
      <c r="F6" s="83" t="str">
        <f>Overall!I3</f>
        <v>9/15</v>
      </c>
      <c r="G6" s="83"/>
      <c r="H6" s="85" t="s">
        <v>178</v>
      </c>
      <c r="I6" s="85"/>
      <c r="J6" s="83" t="str">
        <f>Overall!K3</f>
        <v>10/13</v>
      </c>
      <c r="K6" s="83"/>
    </row>
    <row r="7" spans="1:12" ht="15" customHeight="1" thickBot="1" x14ac:dyDescent="0.3">
      <c r="A7" s="8" t="s">
        <v>142</v>
      </c>
      <c r="B7" s="9">
        <f>IFERROR(INDEX(OGSHome!$F:$F,MATCH(B2,OGSHome!$A:$A,0)),"-")</f>
        <v>0</v>
      </c>
      <c r="C7" s="9">
        <f>IFERROR(INDEX(OGSAway!$F:$F,MATCH(C2,OGSAway!$A:$A,0)),"-")</f>
        <v>3</v>
      </c>
      <c r="D7" s="8" t="s">
        <v>142</v>
      </c>
      <c r="F7" s="83">
        <f>Overall!I4</f>
        <v>0.4</v>
      </c>
      <c r="G7" s="83"/>
      <c r="H7" s="85" t="s">
        <v>173</v>
      </c>
      <c r="I7" s="85"/>
      <c r="J7" s="83">
        <f>Overall!K4</f>
        <v>0.6</v>
      </c>
      <c r="K7" s="83"/>
    </row>
    <row r="8" spans="1:12" ht="15" customHeight="1" thickBot="1" x14ac:dyDescent="0.3">
      <c r="A8" s="8" t="s">
        <v>143</v>
      </c>
      <c r="B8" s="9">
        <f>IFERROR(INDEX(OGSHome!$G:$G,MATCH(B2,OGSHome!$A:$A,0)),"-")</f>
        <v>3</v>
      </c>
      <c r="C8" s="9">
        <f>IFERROR(INDEX(OGSAway!$G:$G,MATCH(C2,OGSAway!$A:$A,0)),"-")</f>
        <v>0</v>
      </c>
      <c r="D8" s="8" t="s">
        <v>143</v>
      </c>
      <c r="F8" s="83">
        <f>Overall!I5</f>
        <v>0.4</v>
      </c>
      <c r="G8" s="83"/>
      <c r="H8" s="85" t="s">
        <v>179</v>
      </c>
      <c r="I8" s="85"/>
      <c r="J8" s="83">
        <f>Overall!K5</f>
        <v>7.0000000000000007E-2</v>
      </c>
      <c r="K8" s="83"/>
    </row>
    <row r="9" spans="1:12" ht="15" customHeight="1" thickBot="1" x14ac:dyDescent="0.3">
      <c r="A9" s="8" t="s">
        <v>144</v>
      </c>
      <c r="B9" s="9">
        <f>IFERROR(INDEX(OGCHome!$Q:$Q,MATCH(B2,OGCHome!$A:$A,0)),"-")</f>
        <v>2</v>
      </c>
      <c r="C9" s="9">
        <f>IFERROR(INDEX(OGCAway!$Q:$Q,MATCH(C2,OGCAway!$A:$A,0)),"-")</f>
        <v>1</v>
      </c>
      <c r="D9" s="8" t="s">
        <v>144</v>
      </c>
      <c r="F9" s="83">
        <f>Overall!I6</f>
        <v>0.33</v>
      </c>
      <c r="G9" s="83"/>
      <c r="H9" s="85" t="s">
        <v>174</v>
      </c>
      <c r="I9" s="85"/>
      <c r="J9" s="83">
        <f>Overall!K6</f>
        <v>0.4</v>
      </c>
      <c r="K9" s="83"/>
    </row>
    <row r="10" spans="1:12" ht="15" customHeight="1" thickBot="1" x14ac:dyDescent="0.3">
      <c r="A10" s="8" t="s">
        <v>145</v>
      </c>
      <c r="B10" s="9">
        <f>IFERROR(INDEX(HTHome!$C:$C,MATCH(B2,HTHome!$A:$A,0)),"-")</f>
        <v>2</v>
      </c>
      <c r="C10" s="9">
        <f>IFERROR(INDEX(HTAway!$C$1:$C$41,MATCH(C2,HTAway!$A$1:$A$41,0)),"-")</f>
        <v>2</v>
      </c>
      <c r="D10" s="8" t="s">
        <v>145</v>
      </c>
      <c r="F10" s="83">
        <f>Overall!I7</f>
        <v>0.87</v>
      </c>
      <c r="G10" s="83"/>
      <c r="H10" s="84" t="s">
        <v>180</v>
      </c>
      <c r="I10" s="84"/>
      <c r="J10" s="83">
        <f>Overall!K7</f>
        <v>0.93</v>
      </c>
      <c r="K10" s="83"/>
    </row>
    <row r="11" spans="1:12" ht="15" customHeight="1" thickBot="1" x14ac:dyDescent="0.3">
      <c r="A11" s="8" t="s">
        <v>146</v>
      </c>
      <c r="B11" s="9">
        <f>IFERROR(INDEX(HTHome!$E:$E,MATCH(B2,HTHome!$A:$A,0)),"-")</f>
        <v>1</v>
      </c>
      <c r="C11" s="9">
        <f>IFERROR(INDEX(HTAway!$E$1:$E$41,MATCH(C2,HTAway!$A$1:$A$41,0)),"-")</f>
        <v>1</v>
      </c>
      <c r="D11" s="8" t="s">
        <v>146</v>
      </c>
      <c r="F11" s="83">
        <f>Overall!I8</f>
        <v>0.73</v>
      </c>
      <c r="G11" s="83"/>
      <c r="H11" s="84" t="s">
        <v>181</v>
      </c>
      <c r="I11" s="84"/>
      <c r="J11" s="83">
        <f>Overall!K8</f>
        <v>0.73</v>
      </c>
      <c r="K11" s="83"/>
    </row>
    <row r="12" spans="1:12" ht="15" customHeight="1" thickBot="1" x14ac:dyDescent="0.3">
      <c r="A12" s="13" t="s">
        <v>148</v>
      </c>
      <c r="B12" s="6">
        <f>IFERROR(INDEX(HTHome!$D:$D,MATCH(B2,HTHome!$A:$A,0)),"-")</f>
        <v>4</v>
      </c>
      <c r="C12" s="6">
        <f>IFERROR(INDEX(HTAway!$D$1:$D$41,MATCH(C2,HTAway!$A$1:$A$41,0)),"-")</f>
        <v>4</v>
      </c>
      <c r="D12" s="13" t="s">
        <v>149</v>
      </c>
      <c r="F12" s="83">
        <f>Overall!I9</f>
        <v>0.4</v>
      </c>
      <c r="G12" s="83"/>
      <c r="H12" s="84" t="s">
        <v>182</v>
      </c>
      <c r="I12" s="84"/>
      <c r="J12" s="83">
        <f>Overall!K9</f>
        <v>0.4</v>
      </c>
      <c r="K12" s="83"/>
    </row>
    <row r="13" spans="1:12" ht="15" customHeight="1" thickBot="1" x14ac:dyDescent="0.3">
      <c r="A13" s="7" t="s">
        <v>152</v>
      </c>
      <c r="B13" s="6">
        <f>IFERROR(INDEX(Matches!$N:$N,MATCH(B2,Matches!$B:$B,0)),"-")</f>
        <v>1</v>
      </c>
      <c r="C13" s="6">
        <f>IFERROR(INDEX(Matches!$W:$W,MATCH(C2,Matches!$B:$B,0)),"-")</f>
        <v>1</v>
      </c>
      <c r="D13" s="7" t="s">
        <v>152</v>
      </c>
      <c r="F13" s="71"/>
      <c r="G13" s="71"/>
    </row>
    <row r="14" spans="1:12" ht="15" customHeight="1" thickBot="1" x14ac:dyDescent="0.3">
      <c r="A14" s="7" t="s">
        <v>153</v>
      </c>
      <c r="B14" s="6">
        <f>IFERROR(INDEX(Matches!$P:$P,MATCH(B2,Matches!$B:$B,0)),"-")</f>
        <v>2</v>
      </c>
      <c r="C14" s="6">
        <f>IFERROR(INDEX(Matches!$Y:$Y,MATCH(C2,Matches!$B:$B,0)),"-")</f>
        <v>4</v>
      </c>
      <c r="D14" s="7" t="s">
        <v>153</v>
      </c>
    </row>
    <row r="15" spans="1:12" ht="15" customHeight="1" thickBot="1" x14ac:dyDescent="0.3">
      <c r="A15" s="7" t="s">
        <v>154</v>
      </c>
      <c r="B15" s="6">
        <f>IFERROR(INDEX(OGSHome!$C:$C,MATCH(B2,OGSHome!$A:$A,0)),"-")</f>
        <v>5</v>
      </c>
      <c r="C15" s="6">
        <f>IFERROR(INDEX(OGSAway!$C:$C,MATCH(C2,OGSAway!$A:$A,0)),"-")</f>
        <v>4</v>
      </c>
      <c r="D15" s="7" t="s">
        <v>154</v>
      </c>
      <c r="F15" s="39"/>
    </row>
    <row r="16" spans="1:12" ht="15" customHeight="1" thickBot="1" x14ac:dyDescent="0.3">
      <c r="A16" s="5" t="s">
        <v>155</v>
      </c>
      <c r="B16" s="14">
        <f>B5/B4</f>
        <v>1.25</v>
      </c>
      <c r="C16" s="14">
        <f>C5/C4</f>
        <v>0.77777777777777779</v>
      </c>
      <c r="D16" s="5" t="s">
        <v>155</v>
      </c>
      <c r="F16" s="82">
        <f>IFERROR(INDEX(ODDS!$O:$O,MATCH(B2,ODDS!$N:$N,0)),"-")</f>
        <v>3.0942857142857139</v>
      </c>
      <c r="G16" s="73"/>
      <c r="H16" s="81" t="s">
        <v>197</v>
      </c>
      <c r="I16" s="81"/>
      <c r="J16" s="73">
        <f>IFERROR(INDEX(ODDS!$P:$P,MATCH(C2,ODDS!$N:$N,0)),"-")</f>
        <v>5.0428571428571427</v>
      </c>
      <c r="K16" s="74"/>
    </row>
    <row r="17" spans="1:11" ht="15" customHeight="1" thickBot="1" x14ac:dyDescent="0.3">
      <c r="A17" s="15" t="s">
        <v>49</v>
      </c>
      <c r="B17" s="16">
        <f>(B13*3+B15)/B4</f>
        <v>1</v>
      </c>
      <c r="C17" s="16">
        <f>(C13*3+C15)/C4</f>
        <v>0.77777777777777779</v>
      </c>
      <c r="D17" s="17" t="s">
        <v>49</v>
      </c>
      <c r="F17" s="76">
        <f>IFERROR(INDEX(ODDS!$Q:$Q,MATCH(B2,ODDS!$N:$N,0)),"-")</f>
        <v>2.02</v>
      </c>
      <c r="G17" s="77"/>
      <c r="H17" s="75" t="s">
        <v>200</v>
      </c>
      <c r="I17" s="75"/>
      <c r="J17" s="77">
        <f>IFERROR(INDEX(ODDS!$R:$R,MATCH(C2,ODDS!$N:$N,0)),"-")</f>
        <v>2.5099999999999998</v>
      </c>
      <c r="K17" s="78"/>
    </row>
    <row r="18" spans="1:11" ht="15.75" thickBot="1" x14ac:dyDescent="0.3">
      <c r="A18" s="15" t="s">
        <v>85</v>
      </c>
      <c r="B18" s="16">
        <f>IFERROR(INDEX(OGSHome!$C:$C,MATCH(B2,OGSHome!$A:$A,0)),"-")</f>
        <v>5</v>
      </c>
      <c r="C18" s="16">
        <f>IFERROR(INDEX(OGSAway!$C:$C,MATCH(C2,OGSAway!$A:$A,0)),"-")</f>
        <v>4</v>
      </c>
      <c r="D18" s="15" t="s">
        <v>85</v>
      </c>
    </row>
    <row r="19" spans="1:11" x14ac:dyDescent="0.25">
      <c r="A19" s="20" t="s">
        <v>107</v>
      </c>
      <c r="B19" s="6" t="str">
        <f>IFERROR(INDEX('Top Scores'!$A:$A,MATCH(B2,'Top Scores'!$B:$B,0)),"-")</f>
        <v>-</v>
      </c>
      <c r="C19" s="6" t="str">
        <f>IFERROR(INDEX('Top Scores'!$A:$A,MATCH(C2,'Top Scores'!$B:$B,0)),"-")</f>
        <v>-</v>
      </c>
      <c r="D19" s="20" t="s">
        <v>107</v>
      </c>
      <c r="G19" s="24"/>
    </row>
    <row r="20" spans="1:11" x14ac:dyDescent="0.25">
      <c r="A20" s="20" t="s">
        <v>108</v>
      </c>
      <c r="B20" s="6" t="str">
        <f>IFERROR(INDEX('Top Scores'!$C:$C,MATCH(B2,'Top Scores'!$B:$B,0)),"-")</f>
        <v>-</v>
      </c>
      <c r="C20" s="6" t="str">
        <f>IFERROR(INDEX('Top Scores'!$C:$C,MATCH(C2,'Top Scores'!$B:$B,0)),"-")</f>
        <v>-</v>
      </c>
      <c r="D20" s="20" t="s">
        <v>108</v>
      </c>
      <c r="G20" s="25"/>
      <c r="J20" s="26"/>
    </row>
    <row r="21" spans="1:11" s="23" customFormat="1" x14ac:dyDescent="0.25">
      <c r="A21" s="80"/>
      <c r="B21" s="79"/>
      <c r="C21" s="79"/>
      <c r="D21" s="80"/>
    </row>
    <row r="22" spans="1:11" s="23" customFormat="1" x14ac:dyDescent="0.25">
      <c r="A22" s="80"/>
      <c r="B22" s="79"/>
      <c r="C22" s="79"/>
      <c r="D22" s="80"/>
    </row>
    <row r="23" spans="1:11" s="23" customFormat="1" x14ac:dyDescent="0.25">
      <c r="A23" s="80"/>
      <c r="B23" s="79"/>
      <c r="C23" s="79"/>
      <c r="D23" s="80"/>
      <c r="G23" s="24"/>
    </row>
    <row r="24" spans="1:11" x14ac:dyDescent="0.25">
      <c r="A24" s="22"/>
      <c r="B24" s="22"/>
      <c r="C24" s="22"/>
      <c r="D24" s="22"/>
      <c r="G24" s="25"/>
      <c r="J24" s="26"/>
    </row>
    <row r="25" spans="1:11" x14ac:dyDescent="0.25">
      <c r="A25" s="22"/>
      <c r="B25" s="22"/>
      <c r="C25" s="22"/>
      <c r="D25" s="22"/>
    </row>
    <row r="26" spans="1:11" x14ac:dyDescent="0.25">
      <c r="A26" s="22"/>
      <c r="B26" s="22"/>
      <c r="C26" s="22"/>
      <c r="D26" s="22"/>
    </row>
    <row r="27" spans="1:11" x14ac:dyDescent="0.25">
      <c r="A27" s="22"/>
      <c r="B27" s="22"/>
      <c r="C27" s="22"/>
      <c r="D27" s="22"/>
    </row>
    <row r="28" spans="1:11" x14ac:dyDescent="0.25">
      <c r="A28" s="22"/>
      <c r="B28" s="22"/>
      <c r="C28" s="22"/>
      <c r="D28" s="22"/>
    </row>
    <row r="29" spans="1:11" x14ac:dyDescent="0.25">
      <c r="A29" s="22"/>
      <c r="B29" s="22"/>
      <c r="C29" s="22"/>
      <c r="D29" s="22"/>
    </row>
    <row r="30" spans="1:11" x14ac:dyDescent="0.25">
      <c r="A30" s="22"/>
      <c r="B30" s="22"/>
      <c r="C30" s="22"/>
      <c r="D30" s="22"/>
    </row>
    <row r="31" spans="1:11" x14ac:dyDescent="0.25">
      <c r="A31" s="22"/>
      <c r="B31" s="22"/>
      <c r="C31" s="22"/>
      <c r="D31" s="22"/>
    </row>
    <row r="32" spans="1:11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  <row r="46" spans="1:4" x14ac:dyDescent="0.25">
      <c r="A46" s="22"/>
      <c r="B46" s="22"/>
      <c r="C46" s="22"/>
      <c r="D46" s="22"/>
    </row>
    <row r="47" spans="1:4" x14ac:dyDescent="0.25">
      <c r="A47" s="22"/>
      <c r="B47" s="22"/>
      <c r="C47" s="22"/>
      <c r="D47" s="22"/>
    </row>
    <row r="48" spans="1:4" x14ac:dyDescent="0.25">
      <c r="A48" s="22"/>
      <c r="B48" s="22"/>
      <c r="C48" s="22"/>
      <c r="D48" s="22"/>
    </row>
  </sheetData>
  <sheetProtection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33" priority="25" operator="lessThan">
      <formula>0.8</formula>
    </cfRule>
    <cfRule type="cellIs" dxfId="32" priority="27" operator="greaterThan">
      <formula>0.8</formula>
    </cfRule>
    <cfRule type="cellIs" dxfId="31" priority="28" operator="greaterThan">
      <formula>0.8</formula>
    </cfRule>
    <cfRule type="cellIs" dxfId="30" priority="29" operator="greaterThan">
      <formula>80</formula>
    </cfRule>
  </conditionalFormatting>
  <conditionalFormatting sqref="D2">
    <cfRule type="cellIs" dxfId="29" priority="24" operator="greaterThan">
      <formula>0.8</formula>
    </cfRule>
    <cfRule type="cellIs" dxfId="28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Matches!$B$2:$B$2002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27"/>
  <sheetViews>
    <sheetView showGridLines="0" zoomScale="90" zoomScaleNormal="90" workbookViewId="0">
      <selection activeCell="B41" sqref="B41:N4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3" customWidth="1"/>
    <col min="8" max="8" width="11.85546875" style="23" customWidth="1"/>
    <col min="9" max="9" width="10.7109375" style="23" customWidth="1"/>
    <col min="10" max="10" width="10.5703125" style="23" customWidth="1"/>
    <col min="11" max="12" width="11.140625" style="23" customWidth="1"/>
    <col min="13" max="14" width="12.42578125" style="23" customWidth="1"/>
    <col min="15" max="17" width="9.140625" style="23"/>
  </cols>
  <sheetData>
    <row r="1" spans="1:14" s="23" customFormat="1" ht="59.25" customHeight="1" thickTop="1" thickBot="1" x14ac:dyDescent="0.3">
      <c r="A1" s="62" t="s">
        <v>227</v>
      </c>
      <c r="B1" s="63" t="s">
        <v>228</v>
      </c>
      <c r="C1" s="63" t="s">
        <v>46</v>
      </c>
      <c r="D1" s="63" t="s">
        <v>47</v>
      </c>
      <c r="E1" s="63" t="s">
        <v>48</v>
      </c>
      <c r="F1" s="63" t="s">
        <v>133</v>
      </c>
      <c r="G1" s="63" t="s">
        <v>134</v>
      </c>
      <c r="H1" s="63" t="s">
        <v>137</v>
      </c>
      <c r="I1" s="63" t="s">
        <v>123</v>
      </c>
      <c r="J1" s="63" t="s">
        <v>122</v>
      </c>
      <c r="K1" s="63" t="s">
        <v>229</v>
      </c>
      <c r="L1" s="66" t="s">
        <v>230</v>
      </c>
      <c r="M1" s="63" t="s">
        <v>231</v>
      </c>
      <c r="N1" s="63" t="s">
        <v>232</v>
      </c>
    </row>
    <row r="2" spans="1:14" s="23" customFormat="1" ht="16.5" thickTop="1" thickBot="1" x14ac:dyDescent="0.3">
      <c r="A2" s="69" t="s">
        <v>287</v>
      </c>
      <c r="B2" s="64">
        <f>IFERROR(INDEX(HTHome!$B:$B,MATCH(A2,HTHome!$A:$A,0)),"-")</f>
        <v>8</v>
      </c>
      <c r="C2" s="64">
        <f>IFERROR(INDEX(OGSHome!$D:$D,MATCH(A2,OGSHome!$A:$A,0)),"-")</f>
        <v>26</v>
      </c>
      <c r="D2" s="64">
        <f>IFERROR(INDEX(OGSHome!$E:$E,MATCH(A2,OGSHome!$A:$A,0)),"-")</f>
        <v>3</v>
      </c>
      <c r="E2" s="64">
        <f>IFERROR(INDEX(OGSHome!$F:$F,MATCH(A2,OGSHome!$A:$A,0)),"-")</f>
        <v>0</v>
      </c>
      <c r="F2" s="65">
        <f>IFERROR(INDEX(HTHome!$C:$C,MATCH(A2,HTHome!$A:$A,0)),"-")</f>
        <v>2</v>
      </c>
      <c r="G2" s="65">
        <f>IFERROR(INDEX(HTHome!$E:$E,MATCH(A2,HTHome!$A:$A,0)),"-")</f>
        <v>3</v>
      </c>
      <c r="H2" s="65">
        <f>IFERROR(INDEX(HTHome!$D:$D,MATCH(A2,HTHome!$A:$A,0)),"-")</f>
        <v>3</v>
      </c>
      <c r="I2" s="65">
        <f t="shared" ref="I2:I41" si="0">SUM(C2:E2)</f>
        <v>29</v>
      </c>
      <c r="J2" s="65">
        <f>IFERROR(INDEX(OGCHome!$Q:$Q,MATCH(A2,OGCHome!$A:$A,0)),"-")</f>
        <v>4</v>
      </c>
      <c r="K2" s="67">
        <f t="shared" ref="K2:K41" si="1">I2/B2</f>
        <v>3.625</v>
      </c>
      <c r="L2" s="67">
        <f>IFERROR(INDEX('HT(Away) %'!$K:$K,MATCH(A2,'HT(Away) %'!$A:$A,0)),"-")</f>
        <v>0.125</v>
      </c>
      <c r="M2" s="67">
        <f t="shared" ref="M2:M41" si="2">(I2/B2)-(J2/B2)+(F2/B2)-(G2/B2)</f>
        <v>3</v>
      </c>
      <c r="N2" s="67">
        <f>AVERAGE(IFERROR(INDEX('HT(Away) %'!$M:$M,MATCH(A2,'HT(Away) %'!$A:$A,0)),"-"),M2)</f>
        <v>1.125</v>
      </c>
    </row>
    <row r="3" spans="1:14" s="23" customFormat="1" ht="16.5" thickTop="1" thickBot="1" x14ac:dyDescent="0.3">
      <c r="A3" s="70" t="s">
        <v>290</v>
      </c>
      <c r="B3" s="64">
        <f>IFERROR(INDEX(HTHome!$B:$B,MATCH(A3,HTHome!$A:$A,0)),"-")</f>
        <v>8</v>
      </c>
      <c r="C3" s="64">
        <f>IFERROR(INDEX(OGSHome!$D:$D,MATCH(A3,OGSHome!$A:$A,0)),"-")</f>
        <v>22</v>
      </c>
      <c r="D3" s="64">
        <f>IFERROR(INDEX(OGSHome!$E:$E,MATCH(A3,OGSHome!$A:$A,0)),"-")</f>
        <v>1</v>
      </c>
      <c r="E3" s="64">
        <f>IFERROR(INDEX(OGSHome!$F:$F,MATCH(A3,OGSHome!$A:$A,0)),"-")</f>
        <v>0</v>
      </c>
      <c r="F3" s="65">
        <f>IFERROR(INDEX(HTHome!$C:$C,MATCH(A3,HTHome!$A:$A,0)),"-")</f>
        <v>1</v>
      </c>
      <c r="G3" s="65">
        <f>IFERROR(INDEX(HTHome!$E:$E,MATCH(A3,HTHome!$A:$A,0)),"-")</f>
        <v>4</v>
      </c>
      <c r="H3" s="65">
        <f>IFERROR(INDEX(HTHome!$D:$D,MATCH(A3,HTHome!$A:$A,0)),"-")</f>
        <v>3</v>
      </c>
      <c r="I3" s="65">
        <f t="shared" si="0"/>
        <v>23</v>
      </c>
      <c r="J3" s="65">
        <f>IFERROR(INDEX(OGCHome!$Q:$Q,MATCH(A3,OGCHome!$A:$A,0)),"-")</f>
        <v>4</v>
      </c>
      <c r="K3" s="67">
        <f t="shared" si="1"/>
        <v>2.875</v>
      </c>
      <c r="L3" s="67">
        <f>IFERROR(INDEX('HT(Away) %'!$K:$K,MATCH(A3,'HT(Away) %'!$A:$A,0)),"-")</f>
        <v>0.25</v>
      </c>
      <c r="M3" s="67">
        <f t="shared" si="2"/>
        <v>2</v>
      </c>
      <c r="N3" s="67">
        <f>AVERAGE(IFERROR(INDEX('HT(Away) %'!$M:$M,MATCH(A3,'HT(Away) %'!$A:$A,0)),"-"),M3)</f>
        <v>0.625</v>
      </c>
    </row>
    <row r="4" spans="1:14" s="23" customFormat="1" ht="16.5" thickTop="1" thickBot="1" x14ac:dyDescent="0.3">
      <c r="A4" s="69" t="s">
        <v>274</v>
      </c>
      <c r="B4" s="64">
        <f>IFERROR(INDEX(HTHome!$B:$B,MATCH(A4,HTHome!$A:$A,0)),"-")</f>
        <v>8</v>
      </c>
      <c r="C4" s="64">
        <f>IFERROR(INDEX(OGSHome!$D:$D,MATCH(A4,OGSHome!$A:$A,0)),"-")</f>
        <v>27</v>
      </c>
      <c r="D4" s="64">
        <f>IFERROR(INDEX(OGSHome!$E:$E,MATCH(A4,OGSHome!$A:$A,0)),"-")</f>
        <v>2</v>
      </c>
      <c r="E4" s="64">
        <f>IFERROR(INDEX(OGSHome!$F:$F,MATCH(A4,OGSHome!$A:$A,0)),"-")</f>
        <v>1</v>
      </c>
      <c r="F4" s="65">
        <f>IFERROR(INDEX(HTHome!$C:$C,MATCH(A4,HTHome!$A:$A,0)),"-")</f>
        <v>5</v>
      </c>
      <c r="G4" s="65">
        <f>IFERROR(INDEX(HTHome!$E:$E,MATCH(A4,HTHome!$A:$A,0)),"-")</f>
        <v>1</v>
      </c>
      <c r="H4" s="65">
        <f>IFERROR(INDEX(HTHome!$D:$D,MATCH(A4,HTHome!$A:$A,0)),"-")</f>
        <v>2</v>
      </c>
      <c r="I4" s="65">
        <f t="shared" si="0"/>
        <v>30</v>
      </c>
      <c r="J4" s="65">
        <f>IFERROR(INDEX(OGCHome!$Q:$Q,MATCH(A4,OGCHome!$A:$A,0)),"-")</f>
        <v>3</v>
      </c>
      <c r="K4" s="67">
        <f t="shared" si="1"/>
        <v>3.75</v>
      </c>
      <c r="L4" s="67">
        <f>IFERROR(INDEX('HT(Away) %'!$K:$K,MATCH(A4,'HT(Away) %'!$A:$A,0)),"-")</f>
        <v>0.42857142857142855</v>
      </c>
      <c r="M4" s="67">
        <f t="shared" si="2"/>
        <v>3.875</v>
      </c>
      <c r="N4" s="67">
        <f>AVERAGE(IFERROR(INDEX('HT(Away) %'!$M:$M,MATCH(A4,'HT(Away) %'!$A:$A,0)),"-"),M4)</f>
        <v>2.2232142857142856</v>
      </c>
    </row>
    <row r="5" spans="1:14" s="23" customFormat="1" ht="16.5" thickTop="1" thickBot="1" x14ac:dyDescent="0.3">
      <c r="A5" s="70" t="s">
        <v>275</v>
      </c>
      <c r="B5" s="64">
        <f>IFERROR(INDEX(HTHome!$B:$B,MATCH(A5,HTHome!$A:$A,0)),"-")</f>
        <v>8</v>
      </c>
      <c r="C5" s="64">
        <f>IFERROR(INDEX(OGSHome!$D:$D,MATCH(A5,OGSHome!$A:$A,0)),"-")</f>
        <v>30</v>
      </c>
      <c r="D5" s="64">
        <f>IFERROR(INDEX(OGSHome!$E:$E,MATCH(A5,OGSHome!$A:$A,0)),"-")</f>
        <v>1</v>
      </c>
      <c r="E5" s="64">
        <f>IFERROR(INDEX(OGSHome!$F:$F,MATCH(A5,OGSHome!$A:$A,0)),"-")</f>
        <v>3</v>
      </c>
      <c r="F5" s="65">
        <f>IFERROR(INDEX(HTHome!$C:$C,MATCH(A5,HTHome!$A:$A,0)),"-")</f>
        <v>5</v>
      </c>
      <c r="G5" s="65">
        <f>IFERROR(INDEX(HTHome!$E:$E,MATCH(A5,HTHome!$A:$A,0)),"-")</f>
        <v>1</v>
      </c>
      <c r="H5" s="65">
        <f>IFERROR(INDEX(HTHome!$D:$D,MATCH(A5,HTHome!$A:$A,0)),"-")</f>
        <v>2</v>
      </c>
      <c r="I5" s="65">
        <f t="shared" si="0"/>
        <v>34</v>
      </c>
      <c r="J5" s="65">
        <f>IFERROR(INDEX(OGCHome!$Q:$Q,MATCH(A5,OGCHome!$A:$A,0)),"-")</f>
        <v>2</v>
      </c>
      <c r="K5" s="67">
        <f t="shared" si="1"/>
        <v>4.25</v>
      </c>
      <c r="L5" s="67">
        <f>IFERROR(INDEX('HT(Away) %'!$K:$K,MATCH(A5,'HT(Away) %'!$A:$A,0)),"-")</f>
        <v>0.42857142857142855</v>
      </c>
      <c r="M5" s="67">
        <f t="shared" si="2"/>
        <v>4.5</v>
      </c>
      <c r="N5" s="67">
        <f>AVERAGE(IFERROR(INDEX('HT(Away) %'!$M:$M,MATCH(A5,'HT(Away) %'!$A:$A,0)),"-"),M5)</f>
        <v>2.3928571428571428</v>
      </c>
    </row>
    <row r="6" spans="1:14" s="23" customFormat="1" ht="16.5" thickTop="1" thickBot="1" x14ac:dyDescent="0.3">
      <c r="A6" s="69" t="s">
        <v>282</v>
      </c>
      <c r="B6" s="64">
        <f>IFERROR(INDEX(HTHome!$B:$B,MATCH(A6,HTHome!$A:$A,0)),"-")</f>
        <v>8</v>
      </c>
      <c r="C6" s="64">
        <f>IFERROR(INDEX(OGSHome!$D:$D,MATCH(A6,OGSHome!$A:$A,0)),"-")</f>
        <v>23</v>
      </c>
      <c r="D6" s="64">
        <f>IFERROR(INDEX(OGSHome!$E:$E,MATCH(A6,OGSHome!$A:$A,0)),"-")</f>
        <v>2</v>
      </c>
      <c r="E6" s="64">
        <f>IFERROR(INDEX(OGSHome!$F:$F,MATCH(A6,OGSHome!$A:$A,0)),"-")</f>
        <v>1</v>
      </c>
      <c r="F6" s="65">
        <f>IFERROR(INDEX(HTHome!$C:$C,MATCH(A6,HTHome!$A:$A,0)),"-")</f>
        <v>4</v>
      </c>
      <c r="G6" s="65">
        <f>IFERROR(INDEX(HTHome!$E:$E,MATCH(A6,HTHome!$A:$A,0)),"-")</f>
        <v>1</v>
      </c>
      <c r="H6" s="65">
        <f>IFERROR(INDEX(HTHome!$D:$D,MATCH(A6,HTHome!$A:$A,0)),"-")</f>
        <v>3</v>
      </c>
      <c r="I6" s="65">
        <f t="shared" si="0"/>
        <v>26</v>
      </c>
      <c r="J6" s="65">
        <f>IFERROR(INDEX(OGCHome!$Q:$Q,MATCH(A6,OGCHome!$A:$A,0)),"-")</f>
        <v>2</v>
      </c>
      <c r="K6" s="67">
        <f t="shared" si="1"/>
        <v>3.25</v>
      </c>
      <c r="L6" s="67">
        <f>IFERROR(INDEX('HT(Away) %'!$K:$K,MATCH(A6,'HT(Away) %'!$A:$A,0)),"-")</f>
        <v>0.375</v>
      </c>
      <c r="M6" s="67">
        <f t="shared" si="2"/>
        <v>3.375</v>
      </c>
      <c r="N6" s="67">
        <f>AVERAGE(IFERROR(INDEX('HT(Away) %'!$M:$M,MATCH(A6,'HT(Away) %'!$A:$A,0)),"-"),M6)</f>
        <v>1.9375</v>
      </c>
    </row>
    <row r="7" spans="1:14" s="23" customFormat="1" ht="16.5" thickTop="1" thickBot="1" x14ac:dyDescent="0.3">
      <c r="A7" s="70" t="s">
        <v>288</v>
      </c>
      <c r="B7" s="64">
        <f>IFERROR(INDEX(HTHome!$B:$B,MATCH(A7,HTHome!$A:$A,0)),"-")</f>
        <v>8</v>
      </c>
      <c r="C7" s="64">
        <f>IFERROR(INDEX(OGSHome!$D:$D,MATCH(A7,OGSHome!$A:$A,0)),"-")</f>
        <v>28</v>
      </c>
      <c r="D7" s="64">
        <f>IFERROR(INDEX(OGSHome!$E:$E,MATCH(A7,OGSHome!$A:$A,0)),"-")</f>
        <v>0</v>
      </c>
      <c r="E7" s="64">
        <f>IFERROR(INDEX(OGSHome!$F:$F,MATCH(A7,OGSHome!$A:$A,0)),"-")</f>
        <v>1</v>
      </c>
      <c r="F7" s="65">
        <f>IFERROR(INDEX(HTHome!$C:$C,MATCH(A7,HTHome!$A:$A,0)),"-")</f>
        <v>2</v>
      </c>
      <c r="G7" s="65">
        <f>IFERROR(INDEX(HTHome!$E:$E,MATCH(A7,HTHome!$A:$A,0)),"-")</f>
        <v>3</v>
      </c>
      <c r="H7" s="65">
        <f>IFERROR(INDEX(HTHome!$D:$D,MATCH(A7,HTHome!$A:$A,0)),"-")</f>
        <v>3</v>
      </c>
      <c r="I7" s="65">
        <f t="shared" si="0"/>
        <v>29</v>
      </c>
      <c r="J7" s="65">
        <f>IFERROR(INDEX(OGCHome!$Q:$Q,MATCH(A7,OGCHome!$A:$A,0)),"-")</f>
        <v>4</v>
      </c>
      <c r="K7" s="67">
        <f t="shared" si="1"/>
        <v>3.625</v>
      </c>
      <c r="L7" s="67">
        <f>IFERROR(INDEX('HT(Away) %'!$K:$K,MATCH(A7,'HT(Away) %'!$A:$A,0)),"-")</f>
        <v>0.42857142857142855</v>
      </c>
      <c r="M7" s="67">
        <f t="shared" si="2"/>
        <v>3</v>
      </c>
      <c r="N7" s="67">
        <f>AVERAGE(IFERROR(INDEX('HT(Away) %'!$M:$M,MATCH(A7,'HT(Away) %'!$A:$A,0)),"-"),M7)</f>
        <v>1.7142857142857142</v>
      </c>
    </row>
    <row r="8" spans="1:14" s="23" customFormat="1" ht="16.5" thickTop="1" thickBot="1" x14ac:dyDescent="0.3">
      <c r="A8" s="69" t="s">
        <v>273</v>
      </c>
      <c r="B8" s="64">
        <f>IFERROR(INDEX(HTHome!$B:$B,MATCH(A8,HTHome!$A:$A,0)),"-")</f>
        <v>9</v>
      </c>
      <c r="C8" s="64">
        <f>IFERROR(INDEX(OGSHome!$D:$D,MATCH(A8,OGSHome!$A:$A,0)),"-")</f>
        <v>50</v>
      </c>
      <c r="D8" s="64">
        <f>IFERROR(INDEX(OGSHome!$E:$E,MATCH(A8,OGSHome!$A:$A,0)),"-")</f>
        <v>1</v>
      </c>
      <c r="E8" s="64">
        <f>IFERROR(INDEX(OGSHome!$F:$F,MATCH(A8,OGSHome!$A:$A,0)),"-")</f>
        <v>2</v>
      </c>
      <c r="F8" s="65">
        <f>IFERROR(INDEX(HTHome!$C:$C,MATCH(A8,HTHome!$A:$A,0)),"-")</f>
        <v>3</v>
      </c>
      <c r="G8" s="65">
        <f>IFERROR(INDEX(HTHome!$E:$E,MATCH(A8,HTHome!$A:$A,0)),"-")</f>
        <v>3</v>
      </c>
      <c r="H8" s="65">
        <f>IFERROR(INDEX(HTHome!$D:$D,MATCH(A8,HTHome!$A:$A,0)),"-")</f>
        <v>3</v>
      </c>
      <c r="I8" s="65">
        <f t="shared" si="0"/>
        <v>53</v>
      </c>
      <c r="J8" s="65">
        <f>IFERROR(INDEX(OGCHome!$Q:$Q,MATCH(A8,OGCHome!$A:$A,0)),"-")</f>
        <v>3</v>
      </c>
      <c r="K8" s="67">
        <f t="shared" si="1"/>
        <v>5.8888888888888893</v>
      </c>
      <c r="L8" s="67">
        <f>IFERROR(INDEX('HT(Away) %'!$K:$K,MATCH(A8,'HT(Away) %'!$A:$A,0)),"-")</f>
        <v>0.14285714285714285</v>
      </c>
      <c r="M8" s="67">
        <f t="shared" si="2"/>
        <v>5.5555555555555562</v>
      </c>
      <c r="N8" s="67">
        <f>AVERAGE(IFERROR(INDEX('HT(Away) %'!$M:$M,MATCH(A8,'HT(Away) %'!$A:$A,0)),"-"),M8)</f>
        <v>2.4920634920634925</v>
      </c>
    </row>
    <row r="9" spans="1:14" s="23" customFormat="1" ht="16.5" thickTop="1" thickBot="1" x14ac:dyDescent="0.3">
      <c r="A9" s="70" t="s">
        <v>281</v>
      </c>
      <c r="B9" s="64">
        <f>IFERROR(INDEX(HTHome!$B:$B,MATCH(A9,HTHome!$A:$A,0)),"-")</f>
        <v>8</v>
      </c>
      <c r="C9" s="64">
        <f>IFERROR(INDEX(OGSHome!$D:$D,MATCH(A9,OGSHome!$A:$A,0)),"-")</f>
        <v>71</v>
      </c>
      <c r="D9" s="64">
        <f>IFERROR(INDEX(OGSHome!$E:$E,MATCH(A9,OGSHome!$A:$A,0)),"-")</f>
        <v>0</v>
      </c>
      <c r="E9" s="64">
        <f>IFERROR(INDEX(OGSHome!$F:$F,MATCH(A9,OGSHome!$A:$A,0)),"-")</f>
        <v>0</v>
      </c>
      <c r="F9" s="65">
        <f>IFERROR(INDEX(HTHome!$C:$C,MATCH(A9,HTHome!$A:$A,0)),"-")</f>
        <v>1</v>
      </c>
      <c r="G9" s="65">
        <f>IFERROR(INDEX(HTHome!$E:$E,MATCH(A9,HTHome!$A:$A,0)),"-")</f>
        <v>0</v>
      </c>
      <c r="H9" s="65">
        <f>IFERROR(INDEX(HTHome!$D:$D,MATCH(A9,HTHome!$A:$A,0)),"-")</f>
        <v>7</v>
      </c>
      <c r="I9" s="65">
        <f t="shared" si="0"/>
        <v>71</v>
      </c>
      <c r="J9" s="65">
        <f>IFERROR(INDEX(OGCHome!$Q:$Q,MATCH(A9,OGCHome!$A:$A,0)),"-")</f>
        <v>2</v>
      </c>
      <c r="K9" s="67">
        <f t="shared" si="1"/>
        <v>8.875</v>
      </c>
      <c r="L9" s="67">
        <f>IFERROR(INDEX('HT(Away) %'!$K:$K,MATCH(A9,'HT(Away) %'!$A:$A,0)),"-")</f>
        <v>0.375</v>
      </c>
      <c r="M9" s="67">
        <f t="shared" si="2"/>
        <v>8.75</v>
      </c>
      <c r="N9" s="67">
        <f>AVERAGE(IFERROR(INDEX('HT(Away) %'!$M:$M,MATCH(A9,'HT(Away) %'!$A:$A,0)),"-"),M9)</f>
        <v>4.25</v>
      </c>
    </row>
    <row r="10" spans="1:14" s="23" customFormat="1" ht="16.5" thickTop="1" thickBot="1" x14ac:dyDescent="0.3">
      <c r="A10" s="69" t="s">
        <v>272</v>
      </c>
      <c r="B10" s="64">
        <f>IFERROR(INDEX(HTHome!$B:$B,MATCH(A10,HTHome!$A:$A,0)),"-")</f>
        <v>8</v>
      </c>
      <c r="C10" s="64">
        <f>IFERROR(INDEX(OGSHome!$D:$D,MATCH(A10,OGSHome!$A:$A,0)),"-")</f>
        <v>61</v>
      </c>
      <c r="D10" s="64">
        <f>IFERROR(INDEX(OGSHome!$E:$E,MATCH(A10,OGSHome!$A:$A,0)),"-")</f>
        <v>1</v>
      </c>
      <c r="E10" s="64">
        <f>IFERROR(INDEX(OGSHome!$F:$F,MATCH(A10,OGSHome!$A:$A,0)),"-")</f>
        <v>0</v>
      </c>
      <c r="F10" s="65">
        <f>IFERROR(INDEX(HTHome!$C:$C,MATCH(A10,HTHome!$A:$A,0)),"-")</f>
        <v>3</v>
      </c>
      <c r="G10" s="65">
        <f>IFERROR(INDEX(HTHome!$E:$E,MATCH(A10,HTHome!$A:$A,0)),"-")</f>
        <v>1</v>
      </c>
      <c r="H10" s="65">
        <f>IFERROR(INDEX(HTHome!$D:$D,MATCH(A10,HTHome!$A:$A,0)),"-")</f>
        <v>4</v>
      </c>
      <c r="I10" s="65">
        <f t="shared" si="0"/>
        <v>62</v>
      </c>
      <c r="J10" s="65">
        <f>IFERROR(INDEX(OGCHome!$Q:$Q,MATCH(A10,OGCHome!$A:$A,0)),"-")</f>
        <v>3</v>
      </c>
      <c r="K10" s="67">
        <f t="shared" si="1"/>
        <v>7.75</v>
      </c>
      <c r="L10" s="67">
        <f>IFERROR(INDEX('HT(Away) %'!$K:$K,MATCH(A10,'HT(Away) %'!$A:$A,0)),"-")</f>
        <v>0.5</v>
      </c>
      <c r="M10" s="67">
        <f t="shared" si="2"/>
        <v>7.625</v>
      </c>
      <c r="N10" s="67">
        <f>AVERAGE(IFERROR(INDEX('HT(Away) %'!$M:$M,MATCH(A10,'HT(Away) %'!$A:$A,0)),"-"),M10)</f>
        <v>4</v>
      </c>
    </row>
    <row r="11" spans="1:14" s="23" customFormat="1" ht="16.5" thickTop="1" thickBot="1" x14ac:dyDescent="0.3">
      <c r="A11" s="70" t="s">
        <v>289</v>
      </c>
      <c r="B11" s="64">
        <f>IFERROR(INDEX(HTHome!$B:$B,MATCH(A11,HTHome!$A:$A,0)),"-")</f>
        <v>7</v>
      </c>
      <c r="C11" s="64">
        <f>IFERROR(INDEX(OGSHome!$D:$D,MATCH(A11,OGSHome!$A:$A,0)),"-")</f>
        <v>6</v>
      </c>
      <c r="D11" s="64">
        <f>IFERROR(INDEX(OGSHome!$E:$E,MATCH(A11,OGSHome!$A:$A,0)),"-")</f>
        <v>2</v>
      </c>
      <c r="E11" s="64">
        <f>IFERROR(INDEX(OGSHome!$F:$F,MATCH(A11,OGSHome!$A:$A,0)),"-")</f>
        <v>0</v>
      </c>
      <c r="F11" s="65">
        <f>IFERROR(INDEX(HTHome!$C:$C,MATCH(A11,HTHome!$A:$A,0)),"-")</f>
        <v>1</v>
      </c>
      <c r="G11" s="65">
        <f>IFERROR(INDEX(HTHome!$E:$E,MATCH(A11,HTHome!$A:$A,0)),"-")</f>
        <v>2</v>
      </c>
      <c r="H11" s="65">
        <f>IFERROR(INDEX(HTHome!$D:$D,MATCH(A11,HTHome!$A:$A,0)),"-")</f>
        <v>4</v>
      </c>
      <c r="I11" s="65">
        <f t="shared" si="0"/>
        <v>8</v>
      </c>
      <c r="J11" s="65">
        <f>IFERROR(INDEX(OGCHome!$Q:$Q,MATCH(A11,OGCHome!$A:$A,0)),"-")</f>
        <v>3</v>
      </c>
      <c r="K11" s="67">
        <f t="shared" si="1"/>
        <v>1.1428571428571428</v>
      </c>
      <c r="L11" s="67">
        <f>IFERROR(INDEX('HT(Away) %'!$K:$K,MATCH(A11,'HT(Away) %'!$A:$A,0)),"-")</f>
        <v>0</v>
      </c>
      <c r="M11" s="67">
        <f t="shared" si="2"/>
        <v>0.57142857142857129</v>
      </c>
      <c r="N11" s="67">
        <f>AVERAGE(IFERROR(INDEX('HT(Away) %'!$M:$M,MATCH(A11,'HT(Away) %'!$A:$A,0)),"-"),M11)</f>
        <v>-0.58928571428571441</v>
      </c>
    </row>
    <row r="12" spans="1:14" s="23" customFormat="1" ht="16.5" thickTop="1" thickBot="1" x14ac:dyDescent="0.3">
      <c r="A12" s="69" t="s">
        <v>286</v>
      </c>
      <c r="B12" s="64">
        <f>IFERROR(INDEX(HTHome!$B:$B,MATCH(A12,HTHome!$A:$A,0)),"-")</f>
        <v>7</v>
      </c>
      <c r="C12" s="64">
        <f>IFERROR(INDEX(OGSHome!$D:$D,MATCH(A12,OGSHome!$A:$A,0)),"-")</f>
        <v>53</v>
      </c>
      <c r="D12" s="64">
        <f>IFERROR(INDEX(OGSHome!$E:$E,MATCH(A12,OGSHome!$A:$A,0)),"-")</f>
        <v>0</v>
      </c>
      <c r="E12" s="64">
        <f>IFERROR(INDEX(OGSHome!$F:$F,MATCH(A12,OGSHome!$A:$A,0)),"-")</f>
        <v>1</v>
      </c>
      <c r="F12" s="65">
        <f>IFERROR(INDEX(HTHome!$C:$C,MATCH(A12,HTHome!$A:$A,0)),"-")</f>
        <v>2</v>
      </c>
      <c r="G12" s="65">
        <f>IFERROR(INDEX(HTHome!$E:$E,MATCH(A12,HTHome!$A:$A,0)),"-")</f>
        <v>0</v>
      </c>
      <c r="H12" s="65">
        <f>IFERROR(INDEX(HTHome!$D:$D,MATCH(A12,HTHome!$A:$A,0)),"-")</f>
        <v>5</v>
      </c>
      <c r="I12" s="65">
        <f t="shared" si="0"/>
        <v>54</v>
      </c>
      <c r="J12" s="65">
        <f>IFERROR(INDEX(OGCHome!$Q:$Q,MATCH(A12,OGCHome!$A:$A,0)),"-")</f>
        <v>0</v>
      </c>
      <c r="K12" s="67">
        <f t="shared" si="1"/>
        <v>7.7142857142857144</v>
      </c>
      <c r="L12" s="67">
        <f>IFERROR(INDEX('HT(Away) %'!$K:$K,MATCH(A12,'HT(Away) %'!$A:$A,0)),"-")</f>
        <v>0.1111111111111111</v>
      </c>
      <c r="M12" s="67">
        <f t="shared" si="2"/>
        <v>8</v>
      </c>
      <c r="N12" s="67">
        <f>AVERAGE(IFERROR(INDEX('HT(Away) %'!$M:$M,MATCH(A12,'HT(Away) %'!$A:$A,0)),"-"),M12)</f>
        <v>4</v>
      </c>
    </row>
    <row r="13" spans="1:14" s="23" customFormat="1" ht="16.5" thickTop="1" thickBot="1" x14ac:dyDescent="0.3">
      <c r="A13" s="70" t="s">
        <v>284</v>
      </c>
      <c r="B13" s="64">
        <f>IFERROR(INDEX(HTHome!$B:$B,MATCH(A13,HTHome!$A:$A,0)),"-")</f>
        <v>8</v>
      </c>
      <c r="C13" s="64">
        <f>IFERROR(INDEX(OGSHome!$D:$D,MATCH(A13,OGSHome!$A:$A,0)),"-")</f>
        <v>8</v>
      </c>
      <c r="D13" s="64">
        <f>IFERROR(INDEX(OGSHome!$E:$E,MATCH(A13,OGSHome!$A:$A,0)),"-")</f>
        <v>3</v>
      </c>
      <c r="E13" s="64">
        <f>IFERROR(INDEX(OGSHome!$F:$F,MATCH(A13,OGSHome!$A:$A,0)),"-")</f>
        <v>0</v>
      </c>
      <c r="F13" s="65">
        <f>IFERROR(INDEX(HTHome!$C:$C,MATCH(A13,HTHome!$A:$A,0)),"-")</f>
        <v>2</v>
      </c>
      <c r="G13" s="65">
        <f>IFERROR(INDEX(HTHome!$E:$E,MATCH(A13,HTHome!$A:$A,0)),"-")</f>
        <v>0</v>
      </c>
      <c r="H13" s="65">
        <f>IFERROR(INDEX(HTHome!$D:$D,MATCH(A13,HTHome!$A:$A,0)),"-")</f>
        <v>6</v>
      </c>
      <c r="I13" s="65">
        <f t="shared" si="0"/>
        <v>11</v>
      </c>
      <c r="J13" s="65">
        <f>IFERROR(INDEX(OGCHome!$Q:$Q,MATCH(A13,OGCHome!$A:$A,0)),"-")</f>
        <v>1</v>
      </c>
      <c r="K13" s="67">
        <f t="shared" si="1"/>
        <v>1.375</v>
      </c>
      <c r="L13" s="67">
        <f>IFERROR(INDEX('HT(Away) %'!$K:$K,MATCH(A13,'HT(Away) %'!$A:$A,0)),"-")</f>
        <v>0.125</v>
      </c>
      <c r="M13" s="67">
        <f t="shared" si="2"/>
        <v>1.5</v>
      </c>
      <c r="N13" s="67">
        <f>AVERAGE(IFERROR(INDEX('HT(Away) %'!$M:$M,MATCH(A13,'HT(Away) %'!$A:$A,0)),"-"),M13)</f>
        <v>0.375</v>
      </c>
    </row>
    <row r="14" spans="1:14" s="23" customFormat="1" ht="16.5" thickTop="1" thickBot="1" x14ac:dyDescent="0.3">
      <c r="A14" s="69" t="s">
        <v>280</v>
      </c>
      <c r="B14" s="64">
        <f>IFERROR(INDEX(HTHome!$B:$B,MATCH(A14,HTHome!$A:$A,0)),"-")</f>
        <v>8</v>
      </c>
      <c r="C14" s="64">
        <f>IFERROR(INDEX(OGSHome!$D:$D,MATCH(A14,OGSHome!$A:$A,0)),"-")</f>
        <v>6</v>
      </c>
      <c r="D14" s="64">
        <f>IFERROR(INDEX(OGSHome!$E:$E,MATCH(A14,OGSHome!$A:$A,0)),"-")</f>
        <v>2</v>
      </c>
      <c r="E14" s="64">
        <f>IFERROR(INDEX(OGSHome!$F:$F,MATCH(A14,OGSHome!$A:$A,0)),"-")</f>
        <v>0</v>
      </c>
      <c r="F14" s="65">
        <f>IFERROR(INDEX(HTHome!$C:$C,MATCH(A14,HTHome!$A:$A,0)),"-")</f>
        <v>1</v>
      </c>
      <c r="G14" s="65">
        <f>IFERROR(INDEX(HTHome!$E:$E,MATCH(A14,HTHome!$A:$A,0)),"-")</f>
        <v>3</v>
      </c>
      <c r="H14" s="65">
        <f>IFERROR(INDEX(HTHome!$D:$D,MATCH(A14,HTHome!$A:$A,0)),"-")</f>
        <v>4</v>
      </c>
      <c r="I14" s="65">
        <f t="shared" si="0"/>
        <v>8</v>
      </c>
      <c r="J14" s="65">
        <f>IFERROR(INDEX(OGCHome!$Q:$Q,MATCH(A14,OGCHome!$A:$A,0)),"-")</f>
        <v>4</v>
      </c>
      <c r="K14" s="67">
        <f t="shared" si="1"/>
        <v>1</v>
      </c>
      <c r="L14" s="67">
        <f>IFERROR(INDEX('HT(Away) %'!$K:$K,MATCH(A14,'HT(Away) %'!$A:$A,0)),"-")</f>
        <v>0.25</v>
      </c>
      <c r="M14" s="67">
        <f t="shared" si="2"/>
        <v>0.25</v>
      </c>
      <c r="N14" s="67">
        <f>AVERAGE(IFERROR(INDEX('HT(Away) %'!$M:$M,MATCH(A14,'HT(Away) %'!$A:$A,0)),"-"),M14)</f>
        <v>0</v>
      </c>
    </row>
    <row r="15" spans="1:14" s="23" customFormat="1" ht="16.5" thickTop="1" thickBot="1" x14ac:dyDescent="0.3">
      <c r="A15" s="70" t="s">
        <v>277</v>
      </c>
      <c r="B15" s="64">
        <f>IFERROR(INDEX(HTHome!$B:$B,MATCH(A15,HTHome!$A:$A,0)),"-")</f>
        <v>7</v>
      </c>
      <c r="C15" s="64">
        <f>IFERROR(INDEX(OGSHome!$D:$D,MATCH(A15,OGSHome!$A:$A,0)),"-")</f>
        <v>24</v>
      </c>
      <c r="D15" s="64">
        <f>IFERROR(INDEX(OGSHome!$E:$E,MATCH(A15,OGSHome!$A:$A,0)),"-")</f>
        <v>2</v>
      </c>
      <c r="E15" s="64">
        <f>IFERROR(INDEX(OGSHome!$F:$F,MATCH(A15,OGSHome!$A:$A,0)),"-")</f>
        <v>0</v>
      </c>
      <c r="F15" s="65">
        <f>IFERROR(INDEX(HTHome!$C:$C,MATCH(A15,HTHome!$A:$A,0)),"-")</f>
        <v>2</v>
      </c>
      <c r="G15" s="65">
        <f>IFERROR(INDEX(HTHome!$E:$E,MATCH(A15,HTHome!$A:$A,0)),"-")</f>
        <v>1</v>
      </c>
      <c r="H15" s="65">
        <f>IFERROR(INDEX(HTHome!$D:$D,MATCH(A15,HTHome!$A:$A,0)),"-")</f>
        <v>4</v>
      </c>
      <c r="I15" s="65">
        <f t="shared" si="0"/>
        <v>26</v>
      </c>
      <c r="J15" s="65">
        <f>IFERROR(INDEX(OGCHome!$Q:$Q,MATCH(A15,OGCHome!$A:$A,0)),"-")</f>
        <v>2</v>
      </c>
      <c r="K15" s="67">
        <f t="shared" si="1"/>
        <v>3.7142857142857144</v>
      </c>
      <c r="L15" s="67">
        <f>IFERROR(INDEX('HT(Away) %'!$K:$K,MATCH(A15,'HT(Away) %'!$A:$A,0)),"-")</f>
        <v>0.25</v>
      </c>
      <c r="M15" s="67">
        <f t="shared" si="2"/>
        <v>3.5714285714285716</v>
      </c>
      <c r="N15" s="67">
        <f>AVERAGE(IFERROR(INDEX('HT(Away) %'!$M:$M,MATCH(A15,'HT(Away) %'!$A:$A,0)),"-"),M15)</f>
        <v>1.9107142857142858</v>
      </c>
    </row>
    <row r="16" spans="1:14" s="23" customFormat="1" ht="16.5" thickTop="1" thickBot="1" x14ac:dyDescent="0.3">
      <c r="A16" s="69" t="s">
        <v>278</v>
      </c>
      <c r="B16" s="64">
        <f>IFERROR(INDEX(HTHome!$B:$B,MATCH(A16,HTHome!$A:$A,0)),"-")</f>
        <v>8</v>
      </c>
      <c r="C16" s="64">
        <f>IFERROR(INDEX(OGSHome!$D:$D,MATCH(A16,OGSHome!$A:$A,0)),"-")</f>
        <v>33</v>
      </c>
      <c r="D16" s="64">
        <f>IFERROR(INDEX(OGSHome!$E:$E,MATCH(A16,OGSHome!$A:$A,0)),"-")</f>
        <v>1</v>
      </c>
      <c r="E16" s="64">
        <f>IFERROR(INDEX(OGSHome!$F:$F,MATCH(A16,OGSHome!$A:$A,0)),"-")</f>
        <v>1</v>
      </c>
      <c r="F16" s="65">
        <f>IFERROR(INDEX(HTHome!$C:$C,MATCH(A16,HTHome!$A:$A,0)),"-")</f>
        <v>4</v>
      </c>
      <c r="G16" s="65">
        <f>IFERROR(INDEX(HTHome!$E:$E,MATCH(A16,HTHome!$A:$A,0)),"-")</f>
        <v>1</v>
      </c>
      <c r="H16" s="65">
        <f>IFERROR(INDEX(HTHome!$D:$D,MATCH(A16,HTHome!$A:$A,0)),"-")</f>
        <v>3</v>
      </c>
      <c r="I16" s="65">
        <f t="shared" si="0"/>
        <v>35</v>
      </c>
      <c r="J16" s="65">
        <f>IFERROR(INDEX(OGCHome!$Q:$Q,MATCH(A16,OGCHome!$A:$A,0)),"-")</f>
        <v>1</v>
      </c>
      <c r="K16" s="67">
        <f t="shared" si="1"/>
        <v>4.375</v>
      </c>
      <c r="L16" s="67">
        <f>IFERROR(INDEX('HT(Away) %'!$K:$K,MATCH(A16,'HT(Away) %'!$A:$A,0)),"-")</f>
        <v>0.375</v>
      </c>
      <c r="M16" s="67">
        <f t="shared" si="2"/>
        <v>4.625</v>
      </c>
      <c r="N16" s="67">
        <f>AVERAGE(IFERROR(INDEX('HT(Away) %'!$M:$M,MATCH(A16,'HT(Away) %'!$A:$A,0)),"-"),M16)</f>
        <v>2.375</v>
      </c>
    </row>
    <row r="17" spans="1:14" s="23" customFormat="1" ht="16.5" thickTop="1" thickBot="1" x14ac:dyDescent="0.3">
      <c r="A17" s="70" t="s">
        <v>271</v>
      </c>
      <c r="B17" s="64">
        <f>IFERROR(INDEX(HTHome!$B:$B,MATCH(A17,HTHome!$A:$A,0)),"-")</f>
        <v>7</v>
      </c>
      <c r="C17" s="64">
        <f>IFERROR(INDEX(OGSHome!$D:$D,MATCH(A17,OGSHome!$A:$A,0)),"-")</f>
        <v>21</v>
      </c>
      <c r="D17" s="64">
        <f>IFERROR(INDEX(OGSHome!$E:$E,MATCH(A17,OGSHome!$A:$A,0)),"-")</f>
        <v>2</v>
      </c>
      <c r="E17" s="64">
        <f>IFERROR(INDEX(OGSHome!$F:$F,MATCH(A17,OGSHome!$A:$A,0)),"-")</f>
        <v>1</v>
      </c>
      <c r="F17" s="65">
        <f>IFERROR(INDEX(HTHome!$C:$C,MATCH(A17,HTHome!$A:$A,0)),"-")</f>
        <v>4</v>
      </c>
      <c r="G17" s="65">
        <f>IFERROR(INDEX(HTHome!$E:$E,MATCH(A17,HTHome!$A:$A,0)),"-")</f>
        <v>2</v>
      </c>
      <c r="H17" s="65">
        <f>IFERROR(INDEX(HTHome!$D:$D,MATCH(A17,HTHome!$A:$A,0)),"-")</f>
        <v>1</v>
      </c>
      <c r="I17" s="65">
        <f t="shared" si="0"/>
        <v>24</v>
      </c>
      <c r="J17" s="65">
        <f>IFERROR(INDEX(OGCHome!$Q:$Q,MATCH(A17,OGCHome!$A:$A,0)),"-")</f>
        <v>2</v>
      </c>
      <c r="K17" s="67">
        <f t="shared" si="1"/>
        <v>3.4285714285714284</v>
      </c>
      <c r="L17" s="67">
        <f>IFERROR(INDEX('HT(Away) %'!$K:$K,MATCH(A17,'HT(Away) %'!$A:$A,0)),"-")</f>
        <v>0.33333333333333331</v>
      </c>
      <c r="M17" s="67">
        <f t="shared" si="2"/>
        <v>3.4285714285714288</v>
      </c>
      <c r="N17" s="67">
        <f>AVERAGE(IFERROR(INDEX('HT(Away) %'!$M:$M,MATCH(A17,'HT(Away) %'!$A:$A,0)),"-"),M17)</f>
        <v>1.76984126984127</v>
      </c>
    </row>
    <row r="18" spans="1:14" s="23" customFormat="1" ht="16.5" thickTop="1" thickBot="1" x14ac:dyDescent="0.3">
      <c r="A18" s="69" t="s">
        <v>276</v>
      </c>
      <c r="B18" s="64">
        <f>IFERROR(INDEX(HTHome!$B:$B,MATCH(A18,HTHome!$A:$A,0)),"-")</f>
        <v>8</v>
      </c>
      <c r="C18" s="64">
        <f>IFERROR(INDEX(OGSHome!$D:$D,MATCH(A18,OGSHome!$A:$A,0)),"-")</f>
        <v>19</v>
      </c>
      <c r="D18" s="64">
        <f>IFERROR(INDEX(OGSHome!$E:$E,MATCH(A18,OGSHome!$A:$A,0)),"-")</f>
        <v>4</v>
      </c>
      <c r="E18" s="64">
        <f>IFERROR(INDEX(OGSHome!$F:$F,MATCH(A18,OGSHome!$A:$A,0)),"-")</f>
        <v>2</v>
      </c>
      <c r="F18" s="65">
        <f>IFERROR(INDEX(HTHome!$C:$C,MATCH(A18,HTHome!$A:$A,0)),"-")</f>
        <v>5</v>
      </c>
      <c r="G18" s="65">
        <f>IFERROR(INDEX(HTHome!$E:$E,MATCH(A18,HTHome!$A:$A,0)),"-")</f>
        <v>1</v>
      </c>
      <c r="H18" s="65">
        <f>IFERROR(INDEX(HTHome!$D:$D,MATCH(A18,HTHome!$A:$A,0)),"-")</f>
        <v>2</v>
      </c>
      <c r="I18" s="65">
        <f t="shared" si="0"/>
        <v>25</v>
      </c>
      <c r="J18" s="65">
        <f>IFERROR(INDEX(OGCHome!$Q:$Q,MATCH(A18,OGCHome!$A:$A,0)),"-")</f>
        <v>0</v>
      </c>
      <c r="K18" s="67">
        <f t="shared" si="1"/>
        <v>3.125</v>
      </c>
      <c r="L18" s="67">
        <f>IFERROR(INDEX('HT(Away) %'!$K:$K,MATCH(A18,'HT(Away) %'!$A:$A,0)),"-")</f>
        <v>0.125</v>
      </c>
      <c r="M18" s="67">
        <f t="shared" si="2"/>
        <v>3.625</v>
      </c>
      <c r="N18" s="67">
        <f>AVERAGE(IFERROR(INDEX('HT(Away) %'!$M:$M,MATCH(A18,'HT(Away) %'!$A:$A,0)),"-"),M18)</f>
        <v>1.8125</v>
      </c>
    </row>
    <row r="19" spans="1:14" s="23" customFormat="1" ht="16.5" thickTop="1" thickBot="1" x14ac:dyDescent="0.3">
      <c r="A19" s="70" t="s">
        <v>283</v>
      </c>
      <c r="B19" s="64">
        <f>IFERROR(INDEX(HTHome!$B:$B,MATCH(A19,HTHome!$A:$A,0)),"-")</f>
        <v>8</v>
      </c>
      <c r="C19" s="64">
        <f>IFERROR(INDEX(OGSHome!$D:$D,MATCH(A19,OGSHome!$A:$A,0)),"-")</f>
        <v>57</v>
      </c>
      <c r="D19" s="64">
        <f>IFERROR(INDEX(OGSHome!$E:$E,MATCH(A19,OGSHome!$A:$A,0)),"-")</f>
        <v>1</v>
      </c>
      <c r="E19" s="64">
        <f>IFERROR(INDEX(OGSHome!$F:$F,MATCH(A19,OGSHome!$A:$A,0)),"-")</f>
        <v>0</v>
      </c>
      <c r="F19" s="65">
        <f>IFERROR(INDEX(HTHome!$C:$C,MATCH(A19,HTHome!$A:$A,0)),"-")</f>
        <v>1</v>
      </c>
      <c r="G19" s="65">
        <f>IFERROR(INDEX(HTHome!$E:$E,MATCH(A19,HTHome!$A:$A,0)),"-")</f>
        <v>1</v>
      </c>
      <c r="H19" s="65">
        <f>IFERROR(INDEX(HTHome!$D:$D,MATCH(A19,HTHome!$A:$A,0)),"-")</f>
        <v>6</v>
      </c>
      <c r="I19" s="65">
        <f t="shared" si="0"/>
        <v>58</v>
      </c>
      <c r="J19" s="65">
        <f>IFERROR(INDEX(OGCHome!$Q:$Q,MATCH(A19,OGCHome!$A:$A,0)),"-")</f>
        <v>2</v>
      </c>
      <c r="K19" s="67">
        <f t="shared" si="1"/>
        <v>7.25</v>
      </c>
      <c r="L19" s="67">
        <f>IFERROR(INDEX('HT(Away) %'!$K:$K,MATCH(A19,'HT(Away) %'!$A:$A,0)),"-")</f>
        <v>0</v>
      </c>
      <c r="M19" s="67">
        <f t="shared" si="2"/>
        <v>7</v>
      </c>
      <c r="N19" s="67">
        <f>AVERAGE(IFERROR(INDEX('HT(Away) %'!$M:$M,MATCH(A19,'HT(Away) %'!$A:$A,0)),"-"),M19)</f>
        <v>2.8571428571428572</v>
      </c>
    </row>
    <row r="20" spans="1:14" s="23" customFormat="1" ht="16.5" thickTop="1" thickBot="1" x14ac:dyDescent="0.3">
      <c r="A20" s="69" t="s">
        <v>279</v>
      </c>
      <c r="B20" s="64">
        <f>IFERROR(INDEX(HTHome!$B:$B,MATCH(A20,HTHome!$A:$A,0)),"-")</f>
        <v>7</v>
      </c>
      <c r="C20" s="64">
        <f>IFERROR(INDEX(OGSHome!$D:$D,MATCH(A20,OGSHome!$A:$A,0)),"-")</f>
        <v>32</v>
      </c>
      <c r="D20" s="64">
        <f>IFERROR(INDEX(OGSHome!$E:$E,MATCH(A20,OGSHome!$A:$A,0)),"-")</f>
        <v>2</v>
      </c>
      <c r="E20" s="64">
        <f>IFERROR(INDEX(OGSHome!$F:$F,MATCH(A20,OGSHome!$A:$A,0)),"-")</f>
        <v>0</v>
      </c>
      <c r="F20" s="65">
        <f>IFERROR(INDEX(HTHome!$C:$C,MATCH(A20,HTHome!$A:$A,0)),"-")</f>
        <v>3</v>
      </c>
      <c r="G20" s="65">
        <f>IFERROR(INDEX(HTHome!$E:$E,MATCH(A20,HTHome!$A:$A,0)),"-")</f>
        <v>2</v>
      </c>
      <c r="H20" s="65">
        <f>IFERROR(INDEX(HTHome!$D:$D,MATCH(A20,HTHome!$A:$A,0)),"-")</f>
        <v>2</v>
      </c>
      <c r="I20" s="65">
        <f t="shared" si="0"/>
        <v>34</v>
      </c>
      <c r="J20" s="65">
        <f>IFERROR(INDEX(OGCHome!$Q:$Q,MATCH(A20,OGCHome!$A:$A,0)),"-")</f>
        <v>2</v>
      </c>
      <c r="K20" s="67">
        <f t="shared" si="1"/>
        <v>4.8571428571428568</v>
      </c>
      <c r="L20" s="67">
        <f>IFERROR(INDEX('HT(Away) %'!$K:$K,MATCH(A20,'HT(Away) %'!$A:$A,0)),"-")</f>
        <v>0.1111111111111111</v>
      </c>
      <c r="M20" s="67">
        <f t="shared" si="2"/>
        <v>4.7142857142857144</v>
      </c>
      <c r="N20" s="67">
        <f>AVERAGE(IFERROR(INDEX('HT(Away) %'!$M:$M,MATCH(A20,'HT(Away) %'!$A:$A,0)),"-"),M20)</f>
        <v>1.9682539682539684</v>
      </c>
    </row>
    <row r="21" spans="1:14" s="23" customFormat="1" ht="16.5" thickTop="1" thickBot="1" x14ac:dyDescent="0.3">
      <c r="A21" s="70" t="s">
        <v>285</v>
      </c>
      <c r="B21" s="64">
        <f>IFERROR(INDEX(HTHome!$B:$B,MATCH(A21,HTHome!$A:$A,0)),"-")</f>
        <v>9</v>
      </c>
      <c r="C21" s="64">
        <f>IFERROR(INDEX(OGSHome!$D:$D,MATCH(A21,OGSHome!$A:$A,0)),"-")</f>
        <v>53</v>
      </c>
      <c r="D21" s="64">
        <f>IFERROR(INDEX(OGSHome!$E:$E,MATCH(A21,OGSHome!$A:$A,0)),"-")</f>
        <v>0</v>
      </c>
      <c r="E21" s="64">
        <f>IFERROR(INDEX(OGSHome!$F:$F,MATCH(A21,OGSHome!$A:$A,0)),"-")</f>
        <v>0</v>
      </c>
      <c r="F21" s="65">
        <f>IFERROR(INDEX(HTHome!$C:$C,MATCH(A21,HTHome!$A:$A,0)),"-")</f>
        <v>0</v>
      </c>
      <c r="G21" s="65">
        <f>IFERROR(INDEX(HTHome!$E:$E,MATCH(A21,HTHome!$A:$A,0)),"-")</f>
        <v>4</v>
      </c>
      <c r="H21" s="65">
        <f>IFERROR(INDEX(HTHome!$D:$D,MATCH(A21,HTHome!$A:$A,0)),"-")</f>
        <v>5</v>
      </c>
      <c r="I21" s="65">
        <f t="shared" si="0"/>
        <v>53</v>
      </c>
      <c r="J21" s="65">
        <f>IFERROR(INDEX(OGCHome!$Q:$Q,MATCH(A21,OGCHome!$A:$A,0)),"-")</f>
        <v>6</v>
      </c>
      <c r="K21" s="67">
        <f t="shared" si="1"/>
        <v>5.8888888888888893</v>
      </c>
      <c r="L21" s="67">
        <f>IFERROR(INDEX('HT(Away) %'!$K:$K,MATCH(A21,'HT(Away) %'!$A:$A,0)),"-")</f>
        <v>0.5714285714285714</v>
      </c>
      <c r="M21" s="67">
        <f t="shared" si="2"/>
        <v>4.7777777777777777</v>
      </c>
      <c r="N21" s="67">
        <f>AVERAGE(IFERROR(INDEX('HT(Away) %'!$M:$M,MATCH(A21,'HT(Away) %'!$A:$A,0)),"-"),M21)</f>
        <v>2.6746031746031744</v>
      </c>
    </row>
    <row r="22" spans="1:14" s="23" customFormat="1" ht="16.5" thickTop="1" thickBot="1" x14ac:dyDescent="0.3">
      <c r="A22" s="69" t="s">
        <v>301</v>
      </c>
      <c r="B22" s="64">
        <f>IFERROR(INDEX(HTHome!$B:$B,MATCH(A22,HTHome!$A:$A,0)),"-")</f>
        <v>10</v>
      </c>
      <c r="C22" s="64">
        <f>IFERROR(INDEX(OGSHome!$D:$D,MATCH(A22,OGSHome!$A:$A,0)),"-")</f>
        <v>39</v>
      </c>
      <c r="D22" s="64">
        <f>IFERROR(INDEX(OGSHome!$E:$E,MATCH(A22,OGSHome!$A:$A,0)),"-")</f>
        <v>1</v>
      </c>
      <c r="E22" s="64">
        <f>IFERROR(INDEX(OGSHome!$F:$F,MATCH(A22,OGSHome!$A:$A,0)),"-")</f>
        <v>1</v>
      </c>
      <c r="F22" s="65">
        <f>IFERROR(INDEX(HTHome!$C:$C,MATCH(A22,HTHome!$A:$A,0)),"-")</f>
        <v>3</v>
      </c>
      <c r="G22" s="65">
        <f>IFERROR(INDEX(HTHome!$E:$E,MATCH(A22,HTHome!$A:$A,0)),"-")</f>
        <v>4</v>
      </c>
      <c r="H22" s="65">
        <f>IFERROR(INDEX(HTHome!$D:$D,MATCH(A22,HTHome!$A:$A,0)),"-")</f>
        <v>3</v>
      </c>
      <c r="I22" s="65">
        <f t="shared" si="0"/>
        <v>41</v>
      </c>
      <c r="J22" s="65">
        <f>IFERROR(INDEX(OGCHome!$Q:$Q,MATCH(A22,OGCHome!$A:$A,0)),"-")</f>
        <v>4</v>
      </c>
      <c r="K22" s="67">
        <f t="shared" si="1"/>
        <v>4.0999999999999996</v>
      </c>
      <c r="L22" s="67">
        <f>IFERROR(INDEX('HT(Away) %'!$K:$K,MATCH(A22,'HT(Away) %'!$A:$A,0)),"-")</f>
        <v>2</v>
      </c>
      <c r="M22" s="67">
        <f t="shared" si="2"/>
        <v>3.5999999999999996</v>
      </c>
      <c r="N22" s="67">
        <f>AVERAGE(IFERROR(INDEX('HT(Away) %'!$M:$M,MATCH(A22,'HT(Away) %'!$A:$A,0)),"-"),M22)</f>
        <v>2.2999999999999998</v>
      </c>
    </row>
    <row r="23" spans="1:14" s="23" customFormat="1" ht="16.5" thickTop="1" thickBot="1" x14ac:dyDescent="0.3">
      <c r="A23" s="70" t="s">
        <v>311</v>
      </c>
      <c r="B23" s="64">
        <f>IFERROR(INDEX(HTHome!$B:$B,MATCH(A23,HTHome!$A:$A,0)),"-")</f>
        <v>9</v>
      </c>
      <c r="C23" s="64">
        <f>IFERROR(INDEX(OGSHome!$D:$D,MATCH(A23,OGSHome!$A:$A,0)),"-")</f>
        <v>39</v>
      </c>
      <c r="D23" s="64">
        <f>IFERROR(INDEX(OGSHome!$E:$E,MATCH(A23,OGSHome!$A:$A,0)),"-")</f>
        <v>2</v>
      </c>
      <c r="E23" s="64">
        <f>IFERROR(INDEX(OGSHome!$F:$F,MATCH(A23,OGSHome!$A:$A,0)),"-")</f>
        <v>0</v>
      </c>
      <c r="F23" s="65">
        <f>IFERROR(INDEX(HTHome!$C:$C,MATCH(A23,HTHome!$A:$A,0)),"-")</f>
        <v>2</v>
      </c>
      <c r="G23" s="65">
        <f>IFERROR(INDEX(HTHome!$E:$E,MATCH(A23,HTHome!$A:$A,0)),"-")</f>
        <v>4</v>
      </c>
      <c r="H23" s="65">
        <f>IFERROR(INDEX(HTHome!$D:$D,MATCH(A23,HTHome!$A:$A,0)),"-")</f>
        <v>3</v>
      </c>
      <c r="I23" s="65">
        <f t="shared" si="0"/>
        <v>41</v>
      </c>
      <c r="J23" s="65">
        <f>IFERROR(INDEX(OGCHome!$Q:$Q,MATCH(A23,OGCHome!$A:$A,0)),"-")</f>
        <v>4</v>
      </c>
      <c r="K23" s="67">
        <f t="shared" si="1"/>
        <v>4.5555555555555554</v>
      </c>
      <c r="L23" s="67">
        <f>IFERROR(INDEX('HT(Away) %'!$K:$K,MATCH(A23,'HT(Away) %'!$A:$A,0)),"-")</f>
        <v>2.8888888888888888</v>
      </c>
      <c r="M23" s="67">
        <f t="shared" si="2"/>
        <v>3.8888888888888884</v>
      </c>
      <c r="N23" s="67">
        <f>AVERAGE(IFERROR(INDEX('HT(Away) %'!$M:$M,MATCH(A23,'HT(Away) %'!$A:$A,0)),"-"),M23)</f>
        <v>3.2777777777777777</v>
      </c>
    </row>
    <row r="24" spans="1:14" s="23" customFormat="1" ht="16.5" thickTop="1" thickBot="1" x14ac:dyDescent="0.3">
      <c r="A24" s="69" t="s">
        <v>308</v>
      </c>
      <c r="B24" s="64">
        <f>IFERROR(INDEX(HTHome!$B:$B,MATCH(A24,HTHome!$A:$A,0)),"-")</f>
        <v>9</v>
      </c>
      <c r="C24" s="64">
        <f>IFERROR(INDEX(OGSHome!$D:$D,MATCH(A24,OGSHome!$A:$A,0)),"-")</f>
        <v>20</v>
      </c>
      <c r="D24" s="64">
        <f>IFERROR(INDEX(OGSHome!$E:$E,MATCH(A24,OGSHome!$A:$A,0)),"-")</f>
        <v>2</v>
      </c>
      <c r="E24" s="64">
        <f>IFERROR(INDEX(OGSHome!$F:$F,MATCH(A24,OGSHome!$A:$A,0)),"-")</f>
        <v>1</v>
      </c>
      <c r="F24" s="65">
        <f>IFERROR(INDEX(HTHome!$C:$C,MATCH(A24,HTHome!$A:$A,0)),"-")</f>
        <v>3</v>
      </c>
      <c r="G24" s="65">
        <f>IFERROR(INDEX(HTHome!$E:$E,MATCH(A24,HTHome!$A:$A,0)),"-")</f>
        <v>2</v>
      </c>
      <c r="H24" s="65">
        <f>IFERROR(INDEX(HTHome!$D:$D,MATCH(A24,HTHome!$A:$A,0)),"-")</f>
        <v>4</v>
      </c>
      <c r="I24" s="65">
        <f t="shared" si="0"/>
        <v>23</v>
      </c>
      <c r="J24" s="65">
        <f>IFERROR(INDEX(OGCHome!$Q:$Q,MATCH(A24,OGCHome!$A:$A,0)),"-")</f>
        <v>2</v>
      </c>
      <c r="K24" s="67">
        <f t="shared" si="1"/>
        <v>2.5555555555555554</v>
      </c>
      <c r="L24" s="67">
        <f>IFERROR(INDEX('HT(Away) %'!$K:$K,MATCH(A24,'HT(Away) %'!$A:$A,0)),"-")</f>
        <v>2.9</v>
      </c>
      <c r="M24" s="67">
        <f t="shared" si="2"/>
        <v>2.4444444444444442</v>
      </c>
      <c r="N24" s="67">
        <f>AVERAGE(IFERROR(INDEX('HT(Away) %'!$M:$M,MATCH(A24,'HT(Away) %'!$A:$A,0)),"-"),M24)</f>
        <v>2.322222222222222</v>
      </c>
    </row>
    <row r="25" spans="1:14" s="23" customFormat="1" ht="16.5" thickTop="1" thickBot="1" x14ac:dyDescent="0.3">
      <c r="A25" s="70" t="s">
        <v>302</v>
      </c>
      <c r="B25" s="64">
        <f>IFERROR(INDEX(HTHome!$B:$B,MATCH(A25,HTHome!$A:$A,0)),"-")</f>
        <v>10</v>
      </c>
      <c r="C25" s="64">
        <f>IFERROR(INDEX(OGSHome!$D:$D,MATCH(A25,OGSHome!$A:$A,0)),"-")</f>
        <v>34</v>
      </c>
      <c r="D25" s="64">
        <f>IFERROR(INDEX(OGSHome!$E:$E,MATCH(A25,OGSHome!$A:$A,0)),"-")</f>
        <v>2</v>
      </c>
      <c r="E25" s="64">
        <f>IFERROR(INDEX(OGSHome!$F:$F,MATCH(A25,OGSHome!$A:$A,0)),"-")</f>
        <v>0</v>
      </c>
      <c r="F25" s="65">
        <f>IFERROR(INDEX(HTHome!$C:$C,MATCH(A25,HTHome!$A:$A,0)),"-")</f>
        <v>3</v>
      </c>
      <c r="G25" s="65">
        <f>IFERROR(INDEX(HTHome!$E:$E,MATCH(A25,HTHome!$A:$A,0)),"-")</f>
        <v>2</v>
      </c>
      <c r="H25" s="65">
        <f>IFERROR(INDEX(HTHome!$D:$D,MATCH(A25,HTHome!$A:$A,0)),"-")</f>
        <v>5</v>
      </c>
      <c r="I25" s="65">
        <f t="shared" si="0"/>
        <v>36</v>
      </c>
      <c r="J25" s="65">
        <f>IFERROR(INDEX(OGCHome!$Q:$Q,MATCH(A25,OGCHome!$A:$A,0)),"-")</f>
        <v>3</v>
      </c>
      <c r="K25" s="67">
        <f t="shared" si="1"/>
        <v>3.6</v>
      </c>
      <c r="L25" s="67">
        <f>IFERROR(INDEX('HT(Away) %'!$K:$K,MATCH(A25,'HT(Away) %'!$A:$A,0)),"-")</f>
        <v>4.8888888888888893</v>
      </c>
      <c r="M25" s="67">
        <f t="shared" si="2"/>
        <v>3.4</v>
      </c>
      <c r="N25" s="67">
        <f>AVERAGE(IFERROR(INDEX('HT(Away) %'!$M:$M,MATCH(A25,'HT(Away) %'!$A:$A,0)),"-"),M25)</f>
        <v>3.5333333333333332</v>
      </c>
    </row>
    <row r="26" spans="1:14" s="23" customFormat="1" ht="16.5" thickTop="1" thickBot="1" x14ac:dyDescent="0.3">
      <c r="A26" s="69" t="s">
        <v>312</v>
      </c>
      <c r="B26" s="64">
        <f>IFERROR(INDEX(HTHome!$B:$B,MATCH(A26,HTHome!$A:$A,0)),"-")</f>
        <v>9</v>
      </c>
      <c r="C26" s="64">
        <f>IFERROR(INDEX(OGSHome!$D:$D,MATCH(A26,OGSHome!$A:$A,0)),"-")</f>
        <v>44</v>
      </c>
      <c r="D26" s="64">
        <f>IFERROR(INDEX(OGSHome!$E:$E,MATCH(A26,OGSHome!$A:$A,0)),"-")</f>
        <v>1</v>
      </c>
      <c r="E26" s="64">
        <f>IFERROR(INDEX(OGSHome!$F:$F,MATCH(A26,OGSHome!$A:$A,0)),"-")</f>
        <v>0</v>
      </c>
      <c r="F26" s="65">
        <f>IFERROR(INDEX(HTHome!$C:$C,MATCH(A26,HTHome!$A:$A,0)),"-")</f>
        <v>1</v>
      </c>
      <c r="G26" s="65">
        <f>IFERROR(INDEX(HTHome!$E:$E,MATCH(A26,HTHome!$A:$A,0)),"-")</f>
        <v>5</v>
      </c>
      <c r="H26" s="65">
        <f>IFERROR(INDEX(HTHome!$D:$D,MATCH(A26,HTHome!$A:$A,0)),"-")</f>
        <v>3</v>
      </c>
      <c r="I26" s="65">
        <f t="shared" si="0"/>
        <v>45</v>
      </c>
      <c r="J26" s="65">
        <f>IFERROR(INDEX(OGCHome!$Q:$Q,MATCH(A26,OGCHome!$A:$A,0)),"-")</f>
        <v>5</v>
      </c>
      <c r="K26" s="67">
        <f t="shared" si="1"/>
        <v>5</v>
      </c>
      <c r="L26" s="67">
        <f>IFERROR(INDEX('HT(Away) %'!$K:$K,MATCH(A26,'HT(Away) %'!$A:$A,0)),"-")</f>
        <v>2.9</v>
      </c>
      <c r="M26" s="67">
        <f t="shared" si="2"/>
        <v>4</v>
      </c>
      <c r="N26" s="67">
        <f>AVERAGE(IFERROR(INDEX('HT(Away) %'!$M:$M,MATCH(A26,'HT(Away) %'!$A:$A,0)),"-"),M26)</f>
        <v>3.3</v>
      </c>
    </row>
    <row r="27" spans="1:14" s="23" customFormat="1" ht="16.5" thickTop="1" thickBot="1" x14ac:dyDescent="0.3">
      <c r="A27" s="70" t="s">
        <v>298</v>
      </c>
      <c r="B27" s="64">
        <f>IFERROR(INDEX(HTHome!$B:$B,MATCH(A27,HTHome!$A:$A,0)),"-")</f>
        <v>9</v>
      </c>
      <c r="C27" s="64">
        <f>IFERROR(INDEX(OGSHome!$D:$D,MATCH(A27,OGSHome!$A:$A,0)),"-")</f>
        <v>24</v>
      </c>
      <c r="D27" s="64">
        <f>IFERROR(INDEX(OGSHome!$E:$E,MATCH(A27,OGSHome!$A:$A,0)),"-")</f>
        <v>2</v>
      </c>
      <c r="E27" s="64">
        <f>IFERROR(INDEX(OGSHome!$F:$F,MATCH(A27,OGSHome!$A:$A,0)),"-")</f>
        <v>2</v>
      </c>
      <c r="F27" s="65">
        <f>IFERROR(INDEX(HTHome!$C:$C,MATCH(A27,HTHome!$A:$A,0)),"-")</f>
        <v>5</v>
      </c>
      <c r="G27" s="65">
        <f>IFERROR(INDEX(HTHome!$E:$E,MATCH(A27,HTHome!$A:$A,0)),"-")</f>
        <v>2</v>
      </c>
      <c r="H27" s="65">
        <f>IFERROR(INDEX(HTHome!$D:$D,MATCH(A27,HTHome!$A:$A,0)),"-")</f>
        <v>2</v>
      </c>
      <c r="I27" s="65">
        <f t="shared" si="0"/>
        <v>28</v>
      </c>
      <c r="J27" s="65">
        <f>IFERROR(INDEX(OGCHome!$Q:$Q,MATCH(A27,OGCHome!$A:$A,0)),"-")</f>
        <v>4</v>
      </c>
      <c r="K27" s="67">
        <f t="shared" si="1"/>
        <v>3.1111111111111112</v>
      </c>
      <c r="L27" s="67">
        <f>IFERROR(INDEX('HT(Away) %'!$K:$K,MATCH(A27,'HT(Away) %'!$A:$A,0)),"-")</f>
        <v>2.8</v>
      </c>
      <c r="M27" s="67">
        <f t="shared" si="2"/>
        <v>3</v>
      </c>
      <c r="N27" s="67">
        <f>AVERAGE(IFERROR(INDEX('HT(Away) %'!$M:$M,MATCH(A27,'HT(Away) %'!$A:$A,0)),"-"),M27)</f>
        <v>2.6500000000000004</v>
      </c>
    </row>
    <row r="28" spans="1:14" s="23" customFormat="1" ht="16.5" thickTop="1" thickBot="1" x14ac:dyDescent="0.3">
      <c r="A28" s="69" t="s">
        <v>309</v>
      </c>
      <c r="B28" s="64">
        <f>IFERROR(INDEX(HTHome!$B:$B,MATCH(A28,HTHome!$A:$A,0)),"-")</f>
        <v>10</v>
      </c>
      <c r="C28" s="64">
        <f>IFERROR(INDEX(OGSHome!$D:$D,MATCH(A28,OGSHome!$A:$A,0)),"-")</f>
        <v>37</v>
      </c>
      <c r="D28" s="64">
        <f>IFERROR(INDEX(OGSHome!$E:$E,MATCH(A28,OGSHome!$A:$A,0)),"-")</f>
        <v>1</v>
      </c>
      <c r="E28" s="64">
        <f>IFERROR(INDEX(OGSHome!$F:$F,MATCH(A28,OGSHome!$A:$A,0)),"-")</f>
        <v>3</v>
      </c>
      <c r="F28" s="65">
        <f>IFERROR(INDEX(HTHome!$C:$C,MATCH(A28,HTHome!$A:$A,0)),"-")</f>
        <v>5</v>
      </c>
      <c r="G28" s="65">
        <f>IFERROR(INDEX(HTHome!$E:$E,MATCH(A28,HTHome!$A:$A,0)),"-")</f>
        <v>0</v>
      </c>
      <c r="H28" s="65">
        <f>IFERROR(INDEX(HTHome!$D:$D,MATCH(A28,HTHome!$A:$A,0)),"-")</f>
        <v>5</v>
      </c>
      <c r="I28" s="65">
        <f t="shared" si="0"/>
        <v>41</v>
      </c>
      <c r="J28" s="65">
        <f>IFERROR(INDEX(OGCHome!$Q:$Q,MATCH(A28,OGCHome!$A:$A,0)),"-")</f>
        <v>0</v>
      </c>
      <c r="K28" s="67">
        <f t="shared" si="1"/>
        <v>4.0999999999999996</v>
      </c>
      <c r="L28" s="67">
        <f>IFERROR(INDEX('HT(Away) %'!$K:$K,MATCH(A28,'HT(Away) %'!$A:$A,0)),"-")</f>
        <v>2.8888888888888888</v>
      </c>
      <c r="M28" s="67">
        <f t="shared" si="2"/>
        <v>4.5999999999999996</v>
      </c>
      <c r="N28" s="67">
        <f>AVERAGE(IFERROR(INDEX('HT(Away) %'!$M:$M,MATCH(A28,'HT(Away) %'!$A:$A,0)),"-"),M28)</f>
        <v>3.1888888888888891</v>
      </c>
    </row>
    <row r="29" spans="1:14" s="23" customFormat="1" ht="16.5" thickTop="1" thickBot="1" x14ac:dyDescent="0.3">
      <c r="A29" s="70" t="s">
        <v>303</v>
      </c>
      <c r="B29" s="64">
        <f>IFERROR(INDEX(HTHome!$B:$B,MATCH(A29,HTHome!$A:$A,0)),"-")</f>
        <v>9</v>
      </c>
      <c r="C29" s="64">
        <f>IFERROR(INDEX(OGSHome!$D:$D,MATCH(A29,OGSHome!$A:$A,0)),"-")</f>
        <v>29</v>
      </c>
      <c r="D29" s="64">
        <f>IFERROR(INDEX(OGSHome!$E:$E,MATCH(A29,OGSHome!$A:$A,0)),"-")</f>
        <v>2</v>
      </c>
      <c r="E29" s="64">
        <f>IFERROR(INDEX(OGSHome!$F:$F,MATCH(A29,OGSHome!$A:$A,0)),"-")</f>
        <v>1</v>
      </c>
      <c r="F29" s="65">
        <f>IFERROR(INDEX(HTHome!$C:$C,MATCH(A29,HTHome!$A:$A,0)),"-")</f>
        <v>4</v>
      </c>
      <c r="G29" s="65">
        <f>IFERROR(INDEX(HTHome!$E:$E,MATCH(A29,HTHome!$A:$A,0)),"-")</f>
        <v>3</v>
      </c>
      <c r="H29" s="65">
        <f>IFERROR(INDEX(HTHome!$D:$D,MATCH(A29,HTHome!$A:$A,0)),"-")</f>
        <v>2</v>
      </c>
      <c r="I29" s="65">
        <f t="shared" si="0"/>
        <v>32</v>
      </c>
      <c r="J29" s="65">
        <f>IFERROR(INDEX(OGCHome!$Q:$Q,MATCH(A29,OGCHome!$A:$A,0)),"-")</f>
        <v>4</v>
      </c>
      <c r="K29" s="67">
        <f t="shared" si="1"/>
        <v>3.5555555555555554</v>
      </c>
      <c r="L29" s="67">
        <f>IFERROR(INDEX('HT(Away) %'!$K:$K,MATCH(A29,'HT(Away) %'!$A:$A,0)),"-")</f>
        <v>3.8</v>
      </c>
      <c r="M29" s="67">
        <f t="shared" si="2"/>
        <v>3.2222222222222219</v>
      </c>
      <c r="N29" s="67">
        <f>AVERAGE(IFERROR(INDEX('HT(Away) %'!$M:$M,MATCH(A29,'HT(Away) %'!$A:$A,0)),"-"),M29)</f>
        <v>3.161111111111111</v>
      </c>
    </row>
    <row r="30" spans="1:14" s="23" customFormat="1" ht="16.5" thickTop="1" thickBot="1" x14ac:dyDescent="0.3">
      <c r="A30" s="69" t="s">
        <v>291</v>
      </c>
      <c r="B30" s="64">
        <f>IFERROR(INDEX(HTHome!$B:$B,MATCH(A30,HTHome!$A:$A,0)),"-")</f>
        <v>10</v>
      </c>
      <c r="C30" s="64">
        <f>IFERROR(INDEX(OGSHome!$D:$D,MATCH(A30,OGSHome!$A:$A,0)),"-")</f>
        <v>28</v>
      </c>
      <c r="D30" s="64">
        <f>IFERROR(INDEX(OGSHome!$E:$E,MATCH(A30,OGSHome!$A:$A,0)),"-")</f>
        <v>3</v>
      </c>
      <c r="E30" s="64">
        <f>IFERROR(INDEX(OGSHome!$F:$F,MATCH(A30,OGSHome!$A:$A,0)),"-")</f>
        <v>0</v>
      </c>
      <c r="F30" s="65">
        <f>IFERROR(INDEX(HTHome!$C:$C,MATCH(A30,HTHome!$A:$A,0)),"-")</f>
        <v>5</v>
      </c>
      <c r="G30" s="65">
        <f>IFERROR(INDEX(HTHome!$E:$E,MATCH(A30,HTHome!$A:$A,0)),"-")</f>
        <v>2</v>
      </c>
      <c r="H30" s="65">
        <f>IFERROR(INDEX(HTHome!$D:$D,MATCH(A30,HTHome!$A:$A,0)),"-")</f>
        <v>3</v>
      </c>
      <c r="I30" s="65">
        <f t="shared" si="0"/>
        <v>31</v>
      </c>
      <c r="J30" s="65">
        <f>IFERROR(INDEX(OGCHome!$Q:$Q,MATCH(A30,OGCHome!$A:$A,0)),"-")</f>
        <v>3</v>
      </c>
      <c r="K30" s="67">
        <f t="shared" si="1"/>
        <v>3.1</v>
      </c>
      <c r="L30" s="67">
        <f>IFERROR(INDEX('HT(Away) %'!$K:$K,MATCH(A30,'HT(Away) %'!$A:$A,0)),"-")</f>
        <v>4.333333333333333</v>
      </c>
      <c r="M30" s="67">
        <f t="shared" si="2"/>
        <v>3.1</v>
      </c>
      <c r="N30" s="67">
        <f>AVERAGE(IFERROR(INDEX('HT(Away) %'!$M:$M,MATCH(A30,'HT(Away) %'!$A:$A,0)),"-"),M30)</f>
        <v>3.4388888888888882</v>
      </c>
    </row>
    <row r="31" spans="1:14" s="23" customFormat="1" ht="16.5" thickTop="1" thickBot="1" x14ac:dyDescent="0.3">
      <c r="A31" s="70" t="s">
        <v>307</v>
      </c>
      <c r="B31" s="64">
        <f>IFERROR(INDEX(HTHome!$B:$B,MATCH(A31,HTHome!$A:$A,0)),"-")</f>
        <v>9</v>
      </c>
      <c r="C31" s="64">
        <f>IFERROR(INDEX(OGSHome!$D:$D,MATCH(A31,OGSHome!$A:$A,0)),"-")</f>
        <v>73</v>
      </c>
      <c r="D31" s="64">
        <f>IFERROR(INDEX(OGSHome!$E:$E,MATCH(A31,OGSHome!$A:$A,0)),"-")</f>
        <v>0</v>
      </c>
      <c r="E31" s="64">
        <f>IFERROR(INDEX(OGSHome!$F:$F,MATCH(A31,OGSHome!$A:$A,0)),"-")</f>
        <v>0</v>
      </c>
      <c r="F31" s="65">
        <f>IFERROR(INDEX(HTHome!$C:$C,MATCH(A31,HTHome!$A:$A,0)),"-")</f>
        <v>0</v>
      </c>
      <c r="G31" s="65">
        <f>IFERROR(INDEX(HTHome!$E:$E,MATCH(A31,HTHome!$A:$A,0)),"-")</f>
        <v>1</v>
      </c>
      <c r="H31" s="65">
        <f>IFERROR(INDEX(HTHome!$D:$D,MATCH(A31,HTHome!$A:$A,0)),"-")</f>
        <v>8</v>
      </c>
      <c r="I31" s="65">
        <f t="shared" si="0"/>
        <v>73</v>
      </c>
      <c r="J31" s="65">
        <f>IFERROR(INDEX(OGCHome!$Q:$Q,MATCH(A31,OGCHome!$A:$A,0)),"-")</f>
        <v>2</v>
      </c>
      <c r="K31" s="67">
        <f t="shared" si="1"/>
        <v>8.1111111111111107</v>
      </c>
      <c r="L31" s="67">
        <f>IFERROR(INDEX('HT(Away) %'!$K:$K,MATCH(A31,'HT(Away) %'!$A:$A,0)),"-")</f>
        <v>1.9</v>
      </c>
      <c r="M31" s="67">
        <f t="shared" si="2"/>
        <v>7.7777777777777777</v>
      </c>
      <c r="N31" s="67">
        <f>AVERAGE(IFERROR(INDEX('HT(Away) %'!$M:$M,MATCH(A31,'HT(Away) %'!$A:$A,0)),"-"),M31)</f>
        <v>4.2388888888888889</v>
      </c>
    </row>
    <row r="32" spans="1:14" s="23" customFormat="1" ht="16.5" thickTop="1" thickBot="1" x14ac:dyDescent="0.3">
      <c r="A32" s="69" t="s">
        <v>310</v>
      </c>
      <c r="B32" s="64">
        <f>IFERROR(INDEX(HTHome!$B:$B,MATCH(A32,HTHome!$A:$A,0)),"-")</f>
        <v>10</v>
      </c>
      <c r="C32" s="64">
        <f>IFERROR(INDEX(OGSHome!$D:$D,MATCH(A32,OGSHome!$A:$A,0)),"-")</f>
        <v>34</v>
      </c>
      <c r="D32" s="64">
        <f>IFERROR(INDEX(OGSHome!$E:$E,MATCH(A32,OGSHome!$A:$A,0)),"-")</f>
        <v>1</v>
      </c>
      <c r="E32" s="64">
        <f>IFERROR(INDEX(OGSHome!$F:$F,MATCH(A32,OGSHome!$A:$A,0)),"-")</f>
        <v>0</v>
      </c>
      <c r="F32" s="65">
        <f>IFERROR(INDEX(HTHome!$C:$C,MATCH(A32,HTHome!$A:$A,0)),"-")</f>
        <v>1</v>
      </c>
      <c r="G32" s="65">
        <f>IFERROR(INDEX(HTHome!$E:$E,MATCH(A32,HTHome!$A:$A,0)),"-")</f>
        <v>3</v>
      </c>
      <c r="H32" s="65">
        <f>IFERROR(INDEX(HTHome!$D:$D,MATCH(A32,HTHome!$A:$A,0)),"-")</f>
        <v>6</v>
      </c>
      <c r="I32" s="65">
        <f t="shared" si="0"/>
        <v>35</v>
      </c>
      <c r="J32" s="65">
        <f>IFERROR(INDEX(OGCHome!$Q:$Q,MATCH(A32,OGCHome!$A:$A,0)),"-")</f>
        <v>3</v>
      </c>
      <c r="K32" s="67">
        <f t="shared" si="1"/>
        <v>3.5</v>
      </c>
      <c r="L32" s="67">
        <f>IFERROR(INDEX('HT(Away) %'!$K:$K,MATCH(A32,'HT(Away) %'!$A:$A,0)),"-")</f>
        <v>3.5555555555555554</v>
      </c>
      <c r="M32" s="67">
        <f t="shared" si="2"/>
        <v>3.0000000000000004</v>
      </c>
      <c r="N32" s="67">
        <f>AVERAGE(IFERROR(INDEX('HT(Away) %'!$M:$M,MATCH(A32,'HT(Away) %'!$A:$A,0)),"-"),M32)</f>
        <v>3.3333333333333335</v>
      </c>
    </row>
    <row r="33" spans="1:14" s="23" customFormat="1" ht="16.5" thickTop="1" thickBot="1" x14ac:dyDescent="0.3">
      <c r="A33" s="70" t="s">
        <v>292</v>
      </c>
      <c r="B33" s="64">
        <f>IFERROR(INDEX(HTHome!$B:$B,MATCH(A33,HTHome!$A:$A,0)),"-")</f>
        <v>10</v>
      </c>
      <c r="C33" s="64">
        <f>IFERROR(INDEX(OGSHome!$D:$D,MATCH(A33,OGSHome!$A:$A,0)),"-")</f>
        <v>33</v>
      </c>
      <c r="D33" s="64">
        <f>IFERROR(INDEX(OGSHome!$E:$E,MATCH(A33,OGSHome!$A:$A,0)),"-")</f>
        <v>0</v>
      </c>
      <c r="E33" s="64">
        <f>IFERROR(INDEX(OGSHome!$F:$F,MATCH(A33,OGSHome!$A:$A,0)),"-")</f>
        <v>3</v>
      </c>
      <c r="F33" s="65">
        <f>IFERROR(INDEX(HTHome!$C:$C,MATCH(A33,HTHome!$A:$A,0)),"-")</f>
        <v>4</v>
      </c>
      <c r="G33" s="65">
        <f>IFERROR(INDEX(HTHome!$E:$E,MATCH(A33,HTHome!$A:$A,0)),"-")</f>
        <v>2</v>
      </c>
      <c r="H33" s="65">
        <f>IFERROR(INDEX(HTHome!$D:$D,MATCH(A33,HTHome!$A:$A,0)),"-")</f>
        <v>4</v>
      </c>
      <c r="I33" s="65">
        <f t="shared" si="0"/>
        <v>36</v>
      </c>
      <c r="J33" s="65">
        <f>IFERROR(INDEX(OGCHome!$Q:$Q,MATCH(A33,OGCHome!$A:$A,0)),"-")</f>
        <v>3</v>
      </c>
      <c r="K33" s="67">
        <f t="shared" si="1"/>
        <v>3.6</v>
      </c>
      <c r="L33" s="67">
        <f>IFERROR(INDEX('HT(Away) %'!$K:$K,MATCH(A33,'HT(Away) %'!$A:$A,0)),"-")</f>
        <v>5</v>
      </c>
      <c r="M33" s="67">
        <f t="shared" si="2"/>
        <v>3.5</v>
      </c>
      <c r="N33" s="67">
        <f>AVERAGE(IFERROR(INDEX('HT(Away) %'!$M:$M,MATCH(A33,'HT(Away) %'!$A:$A,0)),"-"),M33)</f>
        <v>3.8055555555555554</v>
      </c>
    </row>
    <row r="34" spans="1:14" s="23" customFormat="1" ht="16.5" thickTop="1" thickBot="1" x14ac:dyDescent="0.3">
      <c r="A34" s="69" t="s">
        <v>294</v>
      </c>
      <c r="B34" s="64">
        <f>IFERROR(INDEX(HTHome!$B:$B,MATCH(A34,HTHome!$A:$A,0)),"-")</f>
        <v>9</v>
      </c>
      <c r="C34" s="64">
        <f>IFERROR(INDEX(OGSHome!$D:$D,MATCH(A34,OGSHome!$A:$A,0)),"-")</f>
        <v>29</v>
      </c>
      <c r="D34" s="64">
        <f>IFERROR(INDEX(OGSHome!$E:$E,MATCH(A34,OGSHome!$A:$A,0)),"-")</f>
        <v>2</v>
      </c>
      <c r="E34" s="64">
        <f>IFERROR(INDEX(OGSHome!$F:$F,MATCH(A34,OGSHome!$A:$A,0)),"-")</f>
        <v>1</v>
      </c>
      <c r="F34" s="65">
        <f>IFERROR(INDEX(HTHome!$C:$C,MATCH(A34,HTHome!$A:$A,0)),"-")</f>
        <v>4</v>
      </c>
      <c r="G34" s="65">
        <f>IFERROR(INDEX(HTHome!$E:$E,MATCH(A34,HTHome!$A:$A,0)),"-")</f>
        <v>1</v>
      </c>
      <c r="H34" s="65">
        <f>IFERROR(INDEX(HTHome!$D:$D,MATCH(A34,HTHome!$A:$A,0)),"-")</f>
        <v>4</v>
      </c>
      <c r="I34" s="65">
        <f t="shared" si="0"/>
        <v>32</v>
      </c>
      <c r="J34" s="65">
        <f>IFERROR(INDEX(OGCHome!$Q:$Q,MATCH(A34,OGCHome!$A:$A,0)),"-")</f>
        <v>2</v>
      </c>
      <c r="K34" s="67">
        <f t="shared" si="1"/>
        <v>3.5555555555555554</v>
      </c>
      <c r="L34" s="67">
        <f>IFERROR(INDEX('HT(Away) %'!$K:$K,MATCH(A34,'HT(Away) %'!$A:$A,0)),"-")</f>
        <v>3</v>
      </c>
      <c r="M34" s="67">
        <f t="shared" si="2"/>
        <v>3.6666666666666665</v>
      </c>
      <c r="N34" s="67">
        <f>AVERAGE(IFERROR(INDEX('HT(Away) %'!$M:$M,MATCH(A34,'HT(Away) %'!$A:$A,0)),"-"),M34)</f>
        <v>3.583333333333333</v>
      </c>
    </row>
    <row r="35" spans="1:14" s="23" customFormat="1" ht="16.5" thickTop="1" thickBot="1" x14ac:dyDescent="0.3">
      <c r="A35" s="70" t="s">
        <v>306</v>
      </c>
      <c r="B35" s="64">
        <f>IFERROR(INDEX(HTHome!$B:$B,MATCH(A35,HTHome!$A:$A,0)),"-")</f>
        <v>10</v>
      </c>
      <c r="C35" s="64">
        <f>IFERROR(INDEX(OGSHome!$D:$D,MATCH(A35,OGSHome!$A:$A,0)),"-")</f>
        <v>30</v>
      </c>
      <c r="D35" s="64">
        <f>IFERROR(INDEX(OGSHome!$E:$E,MATCH(A35,OGSHome!$A:$A,0)),"-")</f>
        <v>1</v>
      </c>
      <c r="E35" s="64">
        <f>IFERROR(INDEX(OGSHome!$F:$F,MATCH(A35,OGSHome!$A:$A,0)),"-")</f>
        <v>2</v>
      </c>
      <c r="F35" s="65">
        <f>IFERROR(INDEX(HTHome!$C:$C,MATCH(A35,HTHome!$A:$A,0)),"-")</f>
        <v>3</v>
      </c>
      <c r="G35" s="65">
        <f>IFERROR(INDEX(HTHome!$E:$E,MATCH(A35,HTHome!$A:$A,0)),"-")</f>
        <v>1</v>
      </c>
      <c r="H35" s="65">
        <f>IFERROR(INDEX(HTHome!$D:$D,MATCH(A35,HTHome!$A:$A,0)),"-")</f>
        <v>6</v>
      </c>
      <c r="I35" s="65">
        <f t="shared" si="0"/>
        <v>33</v>
      </c>
      <c r="J35" s="65">
        <f>IFERROR(INDEX(OGCHome!$Q:$Q,MATCH(A35,OGCHome!$A:$A,0)),"-")</f>
        <v>2</v>
      </c>
      <c r="K35" s="67">
        <f t="shared" si="1"/>
        <v>3.3</v>
      </c>
      <c r="L35" s="67">
        <f>IFERROR(INDEX('HT(Away) %'!$K:$K,MATCH(A35,'HT(Away) %'!$A:$A,0)),"-")</f>
        <v>5</v>
      </c>
      <c r="M35" s="67">
        <f t="shared" si="2"/>
        <v>3.2999999999999994</v>
      </c>
      <c r="N35" s="67">
        <f>AVERAGE(IFERROR(INDEX('HT(Away) %'!$M:$M,MATCH(A35,'HT(Away) %'!$A:$A,0)),"-"),M35)</f>
        <v>3.9833333333333325</v>
      </c>
    </row>
    <row r="36" spans="1:14" s="23" customFormat="1" ht="16.5" thickTop="1" thickBot="1" x14ac:dyDescent="0.3">
      <c r="A36" s="69" t="s">
        <v>299</v>
      </c>
      <c r="B36" s="64">
        <f>IFERROR(INDEX(HTHome!$B:$B,MATCH(A36,HTHome!$A:$A,0)),"-")</f>
        <v>10</v>
      </c>
      <c r="C36" s="64">
        <f>IFERROR(INDEX(OGSHome!$D:$D,MATCH(A36,OGSHome!$A:$A,0)),"-")</f>
        <v>23</v>
      </c>
      <c r="D36" s="64">
        <f>IFERROR(INDEX(OGSHome!$E:$E,MATCH(A36,OGSHome!$A:$A,0)),"-")</f>
        <v>1</v>
      </c>
      <c r="E36" s="64">
        <f>IFERROR(INDEX(OGSHome!$F:$F,MATCH(A36,OGSHome!$A:$A,0)),"-")</f>
        <v>5</v>
      </c>
      <c r="F36" s="65">
        <f>IFERROR(INDEX(HTHome!$C:$C,MATCH(A36,HTHome!$A:$A,0)),"-")</f>
        <v>5</v>
      </c>
      <c r="G36" s="65">
        <f>IFERROR(INDEX(HTHome!$E:$E,MATCH(A36,HTHome!$A:$A,0)),"-")</f>
        <v>3</v>
      </c>
      <c r="H36" s="65">
        <f>IFERROR(INDEX(HTHome!$D:$D,MATCH(A36,HTHome!$A:$A,0)),"-")</f>
        <v>2</v>
      </c>
      <c r="I36" s="65">
        <f t="shared" si="0"/>
        <v>29</v>
      </c>
      <c r="J36" s="65">
        <f>IFERROR(INDEX(OGCHome!$Q:$Q,MATCH(A36,OGCHome!$A:$A,0)),"-")</f>
        <v>2</v>
      </c>
      <c r="K36" s="67">
        <f t="shared" si="1"/>
        <v>2.9</v>
      </c>
      <c r="L36" s="67">
        <f>IFERROR(INDEX('HT(Away) %'!$K:$K,MATCH(A36,'HT(Away) %'!$A:$A,0)),"-")</f>
        <v>4.4444444444444446</v>
      </c>
      <c r="M36" s="67">
        <f t="shared" si="2"/>
        <v>2.9</v>
      </c>
      <c r="N36" s="67">
        <f>AVERAGE(IFERROR(INDEX('HT(Away) %'!$M:$M,MATCH(A36,'HT(Away) %'!$A:$A,0)),"-"),M36)</f>
        <v>3.0611111111111109</v>
      </c>
    </row>
    <row r="37" spans="1:14" s="23" customFormat="1" ht="16.5" thickTop="1" thickBot="1" x14ac:dyDescent="0.3">
      <c r="A37" s="70" t="s">
        <v>300</v>
      </c>
      <c r="B37" s="64">
        <f>IFERROR(INDEX(HTHome!$B:$B,MATCH(A37,HTHome!$A:$A,0)),"-")</f>
        <v>9</v>
      </c>
      <c r="C37" s="64">
        <f>IFERROR(INDEX(OGSHome!$D:$D,MATCH(A37,OGSHome!$A:$A,0)),"-")</f>
        <v>48</v>
      </c>
      <c r="D37" s="64">
        <f>IFERROR(INDEX(OGSHome!$E:$E,MATCH(A37,OGSHome!$A:$A,0)),"-")</f>
        <v>1</v>
      </c>
      <c r="E37" s="64">
        <f>IFERROR(INDEX(OGSHome!$F:$F,MATCH(A37,OGSHome!$A:$A,0)),"-")</f>
        <v>0</v>
      </c>
      <c r="F37" s="65">
        <f>IFERROR(INDEX(HTHome!$C:$C,MATCH(A37,HTHome!$A:$A,0)),"-")</f>
        <v>2</v>
      </c>
      <c r="G37" s="65">
        <f>IFERROR(INDEX(HTHome!$E:$E,MATCH(A37,HTHome!$A:$A,0)),"-")</f>
        <v>2</v>
      </c>
      <c r="H37" s="65">
        <f>IFERROR(INDEX(HTHome!$D:$D,MATCH(A37,HTHome!$A:$A,0)),"-")</f>
        <v>5</v>
      </c>
      <c r="I37" s="65">
        <f t="shared" si="0"/>
        <v>49</v>
      </c>
      <c r="J37" s="65">
        <f>IFERROR(INDEX(OGCHome!$Q:$Q,MATCH(A37,OGCHome!$A:$A,0)),"-")</f>
        <v>3</v>
      </c>
      <c r="K37" s="67">
        <f t="shared" si="1"/>
        <v>5.4444444444444446</v>
      </c>
      <c r="L37" s="67">
        <f>IFERROR(INDEX('HT(Away) %'!$K:$K,MATCH(A37,'HT(Away) %'!$A:$A,0)),"-")</f>
        <v>3.2</v>
      </c>
      <c r="M37" s="67">
        <f t="shared" si="2"/>
        <v>5.1111111111111116</v>
      </c>
      <c r="N37" s="67">
        <f>AVERAGE(IFERROR(INDEX('HT(Away) %'!$M:$M,MATCH(A37,'HT(Away) %'!$A:$A,0)),"-"),M37)</f>
        <v>3.9555555555555557</v>
      </c>
    </row>
    <row r="38" spans="1:14" s="23" customFormat="1" ht="16.5" thickTop="1" thickBot="1" x14ac:dyDescent="0.3">
      <c r="A38" s="69" t="s">
        <v>305</v>
      </c>
      <c r="B38" s="64">
        <f>IFERROR(INDEX(HTHome!$B:$B,MATCH(A38,HTHome!$A:$A,0)),"-")</f>
        <v>9</v>
      </c>
      <c r="C38" s="64">
        <f>IFERROR(INDEX(OGSHome!$D:$D,MATCH(A38,OGSHome!$A:$A,0)),"-")</f>
        <v>52</v>
      </c>
      <c r="D38" s="64">
        <f>IFERROR(INDEX(OGSHome!$E:$E,MATCH(A38,OGSHome!$A:$A,0)),"-")</f>
        <v>0</v>
      </c>
      <c r="E38" s="64">
        <f>IFERROR(INDEX(OGSHome!$F:$F,MATCH(A38,OGSHome!$A:$A,0)),"-")</f>
        <v>0</v>
      </c>
      <c r="F38" s="65">
        <f>IFERROR(INDEX(HTHome!$C:$C,MATCH(A38,HTHome!$A:$A,0)),"-")</f>
        <v>2</v>
      </c>
      <c r="G38" s="65">
        <f>IFERROR(INDEX(HTHome!$E:$E,MATCH(A38,HTHome!$A:$A,0)),"-")</f>
        <v>3</v>
      </c>
      <c r="H38" s="65">
        <f>IFERROR(INDEX(HTHome!$D:$D,MATCH(A38,HTHome!$A:$A,0)),"-")</f>
        <v>4</v>
      </c>
      <c r="I38" s="65">
        <f t="shared" si="0"/>
        <v>52</v>
      </c>
      <c r="J38" s="65">
        <f>IFERROR(INDEX(OGCHome!$Q:$Q,MATCH(A38,OGCHome!$A:$A,0)),"-")</f>
        <v>3</v>
      </c>
      <c r="K38" s="67">
        <f t="shared" si="1"/>
        <v>5.7777777777777777</v>
      </c>
      <c r="L38" s="67">
        <f>IFERROR(INDEX('HT(Away) %'!$K:$K,MATCH(A38,'HT(Away) %'!$A:$A,0)),"-")</f>
        <v>2.6</v>
      </c>
      <c r="M38" s="67">
        <f t="shared" si="2"/>
        <v>5.3333333333333339</v>
      </c>
      <c r="N38" s="67">
        <f>AVERAGE(IFERROR(INDEX('HT(Away) %'!$M:$M,MATCH(A38,'HT(Away) %'!$A:$A,0)),"-"),M38)</f>
        <v>3.7666666666666675</v>
      </c>
    </row>
    <row r="39" spans="1:14" s="23" customFormat="1" ht="16.5" thickTop="1" thickBot="1" x14ac:dyDescent="0.3">
      <c r="A39" s="70" t="s">
        <v>293</v>
      </c>
      <c r="B39" s="64">
        <f>IFERROR(INDEX(HTHome!$B:$B,MATCH(A39,HTHome!$A:$A,0)),"-")</f>
        <v>10</v>
      </c>
      <c r="C39" s="64">
        <f>IFERROR(INDEX(OGSHome!$D:$D,MATCH(A39,OGSHome!$A:$A,0)),"-")</f>
        <v>41</v>
      </c>
      <c r="D39" s="64">
        <f>IFERROR(INDEX(OGSHome!$E:$E,MATCH(A39,OGSHome!$A:$A,0)),"-")</f>
        <v>0</v>
      </c>
      <c r="E39" s="64">
        <f>IFERROR(INDEX(OGSHome!$F:$F,MATCH(A39,OGSHome!$A:$A,0)),"-")</f>
        <v>0</v>
      </c>
      <c r="F39" s="65">
        <f>IFERROR(INDEX(HTHome!$C:$C,MATCH(A39,HTHome!$A:$A,0)),"-")</f>
        <v>4</v>
      </c>
      <c r="G39" s="65">
        <f>IFERROR(INDEX(HTHome!$E:$E,MATCH(A39,HTHome!$A:$A,0)),"-")</f>
        <v>2</v>
      </c>
      <c r="H39" s="65">
        <f>IFERROR(INDEX(HTHome!$D:$D,MATCH(A39,HTHome!$A:$A,0)),"-")</f>
        <v>4</v>
      </c>
      <c r="I39" s="65">
        <f t="shared" si="0"/>
        <v>41</v>
      </c>
      <c r="J39" s="65">
        <f>IFERROR(INDEX(OGCHome!$Q:$Q,MATCH(A39,OGCHome!$A:$A,0)),"-")</f>
        <v>3</v>
      </c>
      <c r="K39" s="67">
        <f t="shared" si="1"/>
        <v>4.0999999999999996</v>
      </c>
      <c r="L39" s="67">
        <f>IFERROR(INDEX('HT(Away) %'!$K:$K,MATCH(A39,'HT(Away) %'!$A:$A,0)),"-")</f>
        <v>4.666666666666667</v>
      </c>
      <c r="M39" s="67">
        <f t="shared" si="2"/>
        <v>4</v>
      </c>
      <c r="N39" s="67">
        <f>AVERAGE(IFERROR(INDEX('HT(Away) %'!$M:$M,MATCH(A39,'HT(Away) %'!$A:$A,0)),"-"),M39)</f>
        <v>4.5555555555555554</v>
      </c>
    </row>
    <row r="40" spans="1:14" s="23" customFormat="1" ht="16.5" thickTop="1" thickBot="1" x14ac:dyDescent="0.3">
      <c r="A40" s="69" t="s">
        <v>296</v>
      </c>
      <c r="B40" s="64">
        <f>IFERROR(INDEX(HTHome!$B:$B,MATCH(A40,HTHome!$A:$A,0)),"-")</f>
        <v>9</v>
      </c>
      <c r="C40" s="64">
        <f>IFERROR(INDEX(OGSHome!$D:$D,MATCH(A40,OGSHome!$A:$A,0)),"-")</f>
        <v>30</v>
      </c>
      <c r="D40" s="64">
        <f>IFERROR(INDEX(OGSHome!$E:$E,MATCH(A40,OGSHome!$A:$A,0)),"-")</f>
        <v>1</v>
      </c>
      <c r="E40" s="64">
        <f>IFERROR(INDEX(OGSHome!$F:$F,MATCH(A40,OGSHome!$A:$A,0)),"-")</f>
        <v>2</v>
      </c>
      <c r="F40" s="65">
        <f>IFERROR(INDEX(HTHome!$C:$C,MATCH(A40,HTHome!$A:$A,0)),"-")</f>
        <v>5</v>
      </c>
      <c r="G40" s="65">
        <f>IFERROR(INDEX(HTHome!$E:$E,MATCH(A40,HTHome!$A:$A,0)),"-")</f>
        <v>1</v>
      </c>
      <c r="H40" s="65">
        <f>IFERROR(INDEX(HTHome!$D:$D,MATCH(A40,HTHome!$A:$A,0)),"-")</f>
        <v>3</v>
      </c>
      <c r="I40" s="65">
        <f t="shared" si="0"/>
        <v>33</v>
      </c>
      <c r="J40" s="65">
        <f>IFERROR(INDEX(OGCHome!$Q:$Q,MATCH(A40,OGCHome!$A:$A,0)),"-")</f>
        <v>2</v>
      </c>
      <c r="K40" s="67">
        <f t="shared" si="1"/>
        <v>3.6666666666666665</v>
      </c>
      <c r="L40" s="67">
        <f>IFERROR(INDEX('HT(Away) %'!$K:$K,MATCH(A40,'HT(Away) %'!$A:$A,0)),"-")</f>
        <v>3</v>
      </c>
      <c r="M40" s="67">
        <f t="shared" si="2"/>
        <v>3.8888888888888888</v>
      </c>
      <c r="N40" s="67">
        <f>AVERAGE(IFERROR(INDEX('HT(Away) %'!$M:$M,MATCH(A40,'HT(Away) %'!$A:$A,0)),"-"),M40)</f>
        <v>3.3944444444444444</v>
      </c>
    </row>
    <row r="41" spans="1:14" s="23" customFormat="1" ht="16.5" thickTop="1" thickBot="1" x14ac:dyDescent="0.3">
      <c r="A41" s="70" t="s">
        <v>295</v>
      </c>
      <c r="B41" s="64">
        <f>IFERROR(INDEX(HTHome!$B:$B,MATCH(A41,HTHome!$A:$A,0)),"-")</f>
        <v>9</v>
      </c>
      <c r="C41" s="64">
        <f>IFERROR(INDEX(OGSHome!$D:$D,MATCH(A41,OGSHome!$A:$A,0)),"-")</f>
        <v>36</v>
      </c>
      <c r="D41" s="64">
        <f>IFERROR(INDEX(OGSHome!$E:$E,MATCH(A41,OGSHome!$A:$A,0)),"-")</f>
        <v>0</v>
      </c>
      <c r="E41" s="64">
        <f>IFERROR(INDEX(OGSHome!$F:$F,MATCH(A41,OGSHome!$A:$A,0)),"-")</f>
        <v>3</v>
      </c>
      <c r="F41" s="65">
        <f>IFERROR(INDEX(HTHome!$C:$C,MATCH(A41,HTHome!$A:$A,0)),"-")</f>
        <v>3</v>
      </c>
      <c r="G41" s="65">
        <f>IFERROR(INDEX(HTHome!$E:$E,MATCH(A41,HTHome!$A:$A,0)),"-")</f>
        <v>2</v>
      </c>
      <c r="H41" s="65">
        <f>IFERROR(INDEX(HTHome!$D:$D,MATCH(A41,HTHome!$A:$A,0)),"-")</f>
        <v>4</v>
      </c>
      <c r="I41" s="65">
        <f t="shared" si="0"/>
        <v>39</v>
      </c>
      <c r="J41" s="65">
        <f>IFERROR(INDEX(OGCHome!$Q:$Q,MATCH(A41,OGCHome!$A:$A,0)),"-")</f>
        <v>2</v>
      </c>
      <c r="K41" s="67">
        <f t="shared" si="1"/>
        <v>4.333333333333333</v>
      </c>
      <c r="L41" s="67">
        <f>IFERROR(INDEX('HT(Away) %'!$K:$K,MATCH(A41,'HT(Away) %'!$A:$A,0)),"-")</f>
        <v>4.666666666666667</v>
      </c>
      <c r="M41" s="67">
        <f t="shared" si="2"/>
        <v>4.2222222222222214</v>
      </c>
      <c r="N41" s="67">
        <f>AVERAGE(IFERROR(INDEX('HT(Away) %'!$M:$M,MATCH(A41,'HT(Away) %'!$A:$A,0)),"-"),M41)</f>
        <v>4.3888888888888893</v>
      </c>
    </row>
    <row r="42" spans="1:14" s="23" customFormat="1" ht="16.5" thickTop="1" thickBot="1" x14ac:dyDescent="0.3">
      <c r="A42" s="69" t="s">
        <v>297</v>
      </c>
      <c r="B42" s="64">
        <f>IFERROR(INDEX(HTHome!$B:$B,MATCH(A42,HTHome!$A:$A,0)),"-")</f>
        <v>10</v>
      </c>
      <c r="C42" s="64">
        <f>IFERROR(INDEX(OGSHome!$D:$D,MATCH(A42,OGSHome!$A:$A,0)),"-")</f>
        <v>36</v>
      </c>
      <c r="D42" s="64">
        <f>IFERROR(INDEX(OGSHome!$E:$E,MATCH(A42,OGSHome!$A:$A,0)),"-")</f>
        <v>2</v>
      </c>
      <c r="E42" s="64">
        <f>IFERROR(INDEX(OGSHome!$F:$F,MATCH(A42,OGSHome!$A:$A,0)),"-")</f>
        <v>2</v>
      </c>
      <c r="F42" s="65">
        <f>IFERROR(INDEX(HTHome!$C:$C,MATCH(A42,HTHome!$A:$A,0)),"-")</f>
        <v>5</v>
      </c>
      <c r="G42" s="65">
        <f>IFERROR(INDEX(HTHome!$E:$E,MATCH(A42,HTHome!$A:$A,0)),"-")</f>
        <v>2</v>
      </c>
      <c r="H42" s="65">
        <f>IFERROR(INDEX(HTHome!$D:$D,MATCH(A42,HTHome!$A:$A,0)),"-")</f>
        <v>3</v>
      </c>
      <c r="I42" s="65">
        <f t="shared" ref="I42:I43" si="3">SUM(C42:E42)</f>
        <v>40</v>
      </c>
      <c r="J42" s="65">
        <f>IFERROR(INDEX(OGCHome!$Q:$Q,MATCH(A42,OGCHome!$A:$A,0)),"-")</f>
        <v>2</v>
      </c>
      <c r="K42" s="67">
        <f t="shared" ref="K42:K43" si="4">I42/B42</f>
        <v>4</v>
      </c>
      <c r="L42" s="67">
        <f>IFERROR(INDEX('HT(Away) %'!$K:$K,MATCH(A42,'HT(Away) %'!$A:$A,0)),"-")</f>
        <v>5.7777777777777777</v>
      </c>
      <c r="M42" s="67">
        <f t="shared" ref="M42:M43" si="5">(I42/B42)-(J42/B42)+(F42/B42)-(G42/B42)</f>
        <v>4.0999999999999996</v>
      </c>
      <c r="N42" s="67">
        <f>AVERAGE(IFERROR(INDEX('HT(Away) %'!$M:$M,MATCH(A42,'HT(Away) %'!$A:$A,0)),"-"),M42)</f>
        <v>4.4944444444444445</v>
      </c>
    </row>
    <row r="43" spans="1:14" s="23" customFormat="1" ht="16.5" thickTop="1" thickBot="1" x14ac:dyDescent="0.3">
      <c r="A43" s="70" t="s">
        <v>304</v>
      </c>
      <c r="B43" s="64">
        <f>IFERROR(INDEX(HTHome!$B:$B,MATCH(A43,HTHome!$A:$A,0)),"-")</f>
        <v>9</v>
      </c>
      <c r="C43" s="64">
        <f>IFERROR(INDEX(OGSHome!$D:$D,MATCH(A43,OGSHome!$A:$A,0)),"-")</f>
        <v>29</v>
      </c>
      <c r="D43" s="64">
        <f>IFERROR(INDEX(OGSHome!$E:$E,MATCH(A43,OGSHome!$A:$A,0)),"-")</f>
        <v>3</v>
      </c>
      <c r="E43" s="64">
        <f>IFERROR(INDEX(OGSHome!$F:$F,MATCH(A43,OGSHome!$A:$A,0)),"-")</f>
        <v>0</v>
      </c>
      <c r="F43" s="65">
        <f>IFERROR(INDEX(HTHome!$C:$C,MATCH(A43,HTHome!$A:$A,0)),"-")</f>
        <v>4</v>
      </c>
      <c r="G43" s="65">
        <f>IFERROR(INDEX(HTHome!$E:$E,MATCH(A43,HTHome!$A:$A,0)),"-")</f>
        <v>3</v>
      </c>
      <c r="H43" s="65">
        <f>IFERROR(INDEX(HTHome!$D:$D,MATCH(A43,HTHome!$A:$A,0)),"-")</f>
        <v>2</v>
      </c>
      <c r="I43" s="65">
        <f t="shared" si="3"/>
        <v>32</v>
      </c>
      <c r="J43" s="65">
        <f>IFERROR(INDEX(OGCHome!$Q:$Q,MATCH(A43,OGCHome!$A:$A,0)),"-")</f>
        <v>3</v>
      </c>
      <c r="K43" s="67">
        <f t="shared" si="4"/>
        <v>3.5555555555555554</v>
      </c>
      <c r="L43" s="67">
        <f>IFERROR(INDEX('HT(Away) %'!$K:$K,MATCH(A43,'HT(Away) %'!$A:$A,0)),"-")</f>
        <v>3.4</v>
      </c>
      <c r="M43" s="67">
        <f t="shared" si="5"/>
        <v>3.3333333333333326</v>
      </c>
      <c r="N43" s="67">
        <f>AVERAGE(IFERROR(INDEX('HT(Away) %'!$M:$M,MATCH(A43,'HT(Away) %'!$A:$A,0)),"-"),M43)</f>
        <v>3.316666666666666</v>
      </c>
    </row>
    <row r="44" spans="1:14" s="23" customFormat="1" ht="15.75" thickTop="1" x14ac:dyDescent="0.25">
      <c r="A44" s="22"/>
      <c r="B44" s="22"/>
      <c r="C44" s="22"/>
      <c r="D44" s="22"/>
      <c r="E44" s="22"/>
    </row>
    <row r="45" spans="1:14" s="23" customFormat="1" x14ac:dyDescent="0.25">
      <c r="A45" s="22"/>
      <c r="B45" s="22"/>
      <c r="C45" s="22"/>
      <c r="D45" s="22"/>
      <c r="E45" s="22"/>
    </row>
    <row r="46" spans="1:14" s="23" customFormat="1" x14ac:dyDescent="0.25">
      <c r="A46" s="22"/>
      <c r="B46" s="22"/>
      <c r="C46" s="22"/>
      <c r="D46" s="22"/>
      <c r="E46" s="22"/>
    </row>
    <row r="47" spans="1:14" s="23" customFormat="1" x14ac:dyDescent="0.25">
      <c r="A47" s="22"/>
      <c r="B47" s="22"/>
      <c r="C47" s="22"/>
      <c r="D47" s="22"/>
      <c r="E47" s="22"/>
    </row>
    <row r="48" spans="1:14" s="23" customFormat="1" x14ac:dyDescent="0.25">
      <c r="A48" s="22"/>
      <c r="B48" s="22"/>
      <c r="C48" s="22"/>
      <c r="D48" s="22"/>
      <c r="E48" s="22"/>
    </row>
    <row r="49" spans="1:5" s="23" customFormat="1" x14ac:dyDescent="0.25">
      <c r="A49" s="22"/>
      <c r="B49" s="22"/>
      <c r="C49" s="22"/>
      <c r="D49" s="22"/>
      <c r="E49" s="22"/>
    </row>
    <row r="50" spans="1:5" s="23" customFormat="1" x14ac:dyDescent="0.25">
      <c r="A50" s="22"/>
      <c r="B50" s="22"/>
      <c r="C50" s="22"/>
      <c r="D50" s="22"/>
      <c r="E50" s="22"/>
    </row>
    <row r="51" spans="1:5" s="23" customFormat="1" x14ac:dyDescent="0.25">
      <c r="A51" s="22"/>
      <c r="B51" s="22"/>
      <c r="C51" s="22"/>
      <c r="D51" s="22"/>
      <c r="E51" s="22"/>
    </row>
    <row r="52" spans="1:5" s="23" customFormat="1" x14ac:dyDescent="0.25">
      <c r="A52" s="22"/>
      <c r="B52" s="22"/>
      <c r="C52" s="22"/>
      <c r="D52" s="22"/>
      <c r="E52" s="22"/>
    </row>
    <row r="53" spans="1:5" s="23" customFormat="1" x14ac:dyDescent="0.25">
      <c r="A53" s="22"/>
      <c r="B53" s="22"/>
      <c r="C53" s="22"/>
      <c r="D53" s="22"/>
      <c r="E53" s="22"/>
    </row>
    <row r="54" spans="1:5" s="23" customFormat="1" x14ac:dyDescent="0.25">
      <c r="A54" s="22"/>
      <c r="B54" s="22"/>
      <c r="C54" s="22"/>
      <c r="D54" s="22"/>
      <c r="E54" s="22"/>
    </row>
    <row r="55" spans="1:5" s="23" customFormat="1" x14ac:dyDescent="0.25">
      <c r="A55" s="22"/>
      <c r="B55" s="22"/>
      <c r="C55" s="22"/>
      <c r="D55" s="22"/>
      <c r="E55" s="22"/>
    </row>
    <row r="56" spans="1:5" s="23" customFormat="1" x14ac:dyDescent="0.25">
      <c r="A56" s="22"/>
      <c r="B56" s="22"/>
      <c r="C56" s="22"/>
      <c r="D56" s="22"/>
      <c r="E56" s="22"/>
    </row>
    <row r="57" spans="1:5" s="23" customFormat="1" x14ac:dyDescent="0.25">
      <c r="A57" s="22"/>
      <c r="B57" s="22"/>
      <c r="C57" s="22"/>
      <c r="D57" s="22"/>
      <c r="E57" s="22"/>
    </row>
    <row r="58" spans="1:5" s="23" customFormat="1" x14ac:dyDescent="0.25">
      <c r="A58" s="22"/>
      <c r="B58" s="22"/>
      <c r="C58" s="22"/>
      <c r="D58" s="22"/>
      <c r="E58" s="22"/>
    </row>
    <row r="59" spans="1:5" s="23" customFormat="1" x14ac:dyDescent="0.25">
      <c r="A59" s="22"/>
      <c r="B59" s="22"/>
      <c r="C59" s="22"/>
      <c r="D59" s="22"/>
      <c r="E59" s="22"/>
    </row>
    <row r="60" spans="1:5" s="23" customFormat="1" x14ac:dyDescent="0.25">
      <c r="A60" s="22"/>
      <c r="B60" s="22"/>
      <c r="C60" s="22"/>
      <c r="D60" s="22"/>
      <c r="E60" s="22"/>
    </row>
    <row r="61" spans="1:5" s="23" customFormat="1" x14ac:dyDescent="0.25">
      <c r="A61" s="22"/>
      <c r="B61" s="22"/>
      <c r="C61" s="22"/>
      <c r="D61" s="22"/>
      <c r="E61" s="22"/>
    </row>
    <row r="62" spans="1:5" s="23" customFormat="1" x14ac:dyDescent="0.25">
      <c r="A62" s="22"/>
      <c r="B62" s="22"/>
      <c r="C62" s="22"/>
      <c r="D62" s="22"/>
      <c r="E62" s="22"/>
    </row>
    <row r="63" spans="1:5" s="23" customFormat="1" x14ac:dyDescent="0.25">
      <c r="A63" s="22"/>
      <c r="B63" s="22"/>
      <c r="C63" s="22"/>
      <c r="D63" s="22"/>
      <c r="E63" s="22"/>
    </row>
    <row r="64" spans="1:5" s="23" customFormat="1" x14ac:dyDescent="0.25">
      <c r="A64" s="22"/>
      <c r="B64" s="22"/>
      <c r="C64" s="22"/>
      <c r="D64" s="22"/>
      <c r="E64" s="22"/>
    </row>
    <row r="65" spans="1:5" s="23" customFormat="1" x14ac:dyDescent="0.25">
      <c r="A65" s="22"/>
      <c r="B65" s="22"/>
      <c r="C65" s="22"/>
      <c r="D65" s="22"/>
      <c r="E65" s="22"/>
    </row>
    <row r="66" spans="1:5" s="23" customFormat="1" x14ac:dyDescent="0.25">
      <c r="A66" s="22"/>
      <c r="B66" s="22"/>
      <c r="C66" s="22"/>
      <c r="D66" s="22"/>
      <c r="E66" s="22"/>
    </row>
    <row r="67" spans="1:5" s="23" customFormat="1" x14ac:dyDescent="0.25">
      <c r="A67" s="22"/>
      <c r="B67" s="22"/>
      <c r="C67" s="22"/>
      <c r="D67" s="22"/>
      <c r="E67" s="22"/>
    </row>
    <row r="68" spans="1:5" s="23" customFormat="1" x14ac:dyDescent="0.25">
      <c r="A68" s="22"/>
      <c r="B68" s="22"/>
      <c r="C68" s="22"/>
      <c r="D68" s="22"/>
      <c r="E68" s="22"/>
    </row>
    <row r="69" spans="1:5" s="23" customFormat="1" x14ac:dyDescent="0.25">
      <c r="A69" s="22"/>
      <c r="B69" s="22"/>
      <c r="C69" s="22"/>
      <c r="D69" s="22"/>
      <c r="E69" s="22"/>
    </row>
    <row r="70" spans="1:5" s="23" customFormat="1" x14ac:dyDescent="0.25">
      <c r="A70" s="22"/>
      <c r="B70" s="22"/>
      <c r="C70" s="22"/>
      <c r="D70" s="22"/>
      <c r="E70" s="22"/>
    </row>
    <row r="71" spans="1:5" s="23" customFormat="1" x14ac:dyDescent="0.25">
      <c r="A71" s="22"/>
      <c r="B71" s="22"/>
      <c r="C71" s="22"/>
      <c r="D71" s="22"/>
      <c r="E71" s="22"/>
    </row>
    <row r="72" spans="1:5" s="23" customFormat="1" x14ac:dyDescent="0.25">
      <c r="A72" s="22"/>
      <c r="B72" s="22"/>
      <c r="C72" s="22"/>
      <c r="D72" s="22"/>
      <c r="E72" s="22"/>
    </row>
    <row r="73" spans="1:5" s="23" customFormat="1" x14ac:dyDescent="0.25">
      <c r="A73" s="22"/>
      <c r="B73" s="22"/>
      <c r="C73" s="22"/>
      <c r="D73" s="22"/>
      <c r="E73" s="22"/>
    </row>
    <row r="74" spans="1:5" s="23" customFormat="1" x14ac:dyDescent="0.25">
      <c r="A74" s="22"/>
      <c r="B74" s="22"/>
      <c r="C74" s="22"/>
      <c r="D74" s="22"/>
      <c r="E74" s="22"/>
    </row>
    <row r="75" spans="1:5" s="23" customFormat="1" x14ac:dyDescent="0.25">
      <c r="A75" s="22"/>
      <c r="B75" s="22"/>
      <c r="C75" s="22"/>
      <c r="D75" s="22"/>
      <c r="E75" s="22"/>
    </row>
    <row r="76" spans="1:5" s="23" customFormat="1" x14ac:dyDescent="0.25">
      <c r="A76" s="22"/>
      <c r="B76" s="22"/>
      <c r="C76" s="22"/>
      <c r="D76" s="22"/>
      <c r="E76" s="22"/>
    </row>
    <row r="77" spans="1:5" s="23" customFormat="1" x14ac:dyDescent="0.25">
      <c r="A77" s="22"/>
      <c r="B77" s="22"/>
      <c r="C77" s="22"/>
      <c r="D77" s="22"/>
      <c r="E77" s="22"/>
    </row>
    <row r="78" spans="1:5" s="23" customFormat="1" x14ac:dyDescent="0.25">
      <c r="A78" s="22"/>
      <c r="B78" s="22"/>
      <c r="C78" s="22"/>
      <c r="D78" s="22"/>
      <c r="E78" s="22"/>
    </row>
    <row r="79" spans="1:5" s="23" customFormat="1" x14ac:dyDescent="0.25">
      <c r="A79" s="22"/>
      <c r="B79" s="22"/>
      <c r="C79" s="22"/>
      <c r="D79" s="22"/>
      <c r="E79" s="22"/>
    </row>
    <row r="80" spans="1:5" s="23" customFormat="1" x14ac:dyDescent="0.25">
      <c r="A80" s="22"/>
      <c r="B80" s="22"/>
      <c r="C80" s="22"/>
      <c r="D80" s="22"/>
      <c r="E80" s="22"/>
    </row>
    <row r="81" spans="1:5" s="23" customFormat="1" x14ac:dyDescent="0.25">
      <c r="A81" s="22"/>
      <c r="B81" s="22"/>
      <c r="C81" s="22"/>
      <c r="D81" s="22"/>
      <c r="E81" s="22"/>
    </row>
    <row r="82" spans="1:5" s="23" customFormat="1" x14ac:dyDescent="0.25">
      <c r="A82" s="22"/>
      <c r="B82" s="22"/>
      <c r="C82" s="22"/>
      <c r="D82" s="22"/>
      <c r="E82" s="22"/>
    </row>
    <row r="83" spans="1:5" s="23" customFormat="1" x14ac:dyDescent="0.25">
      <c r="A83" s="22"/>
      <c r="B83" s="22"/>
      <c r="C83" s="22"/>
      <c r="D83" s="22"/>
      <c r="E83" s="22"/>
    </row>
    <row r="84" spans="1:5" s="23" customFormat="1" x14ac:dyDescent="0.25">
      <c r="A84" s="22"/>
      <c r="B84" s="22"/>
      <c r="C84" s="22"/>
      <c r="D84" s="22"/>
      <c r="E84" s="22"/>
    </row>
    <row r="85" spans="1:5" s="23" customFormat="1" x14ac:dyDescent="0.25">
      <c r="A85" s="22"/>
      <c r="B85" s="22"/>
      <c r="C85" s="22"/>
      <c r="D85" s="22"/>
      <c r="E85" s="22"/>
    </row>
    <row r="86" spans="1:5" s="23" customFormat="1" x14ac:dyDescent="0.25">
      <c r="A86" s="22"/>
      <c r="B86" s="22"/>
      <c r="C86" s="22"/>
      <c r="D86" s="22"/>
      <c r="E86" s="22"/>
    </row>
    <row r="87" spans="1:5" s="23" customFormat="1" x14ac:dyDescent="0.25">
      <c r="A87" s="22"/>
      <c r="B87" s="22"/>
      <c r="C87" s="22"/>
      <c r="D87" s="22"/>
      <c r="E87" s="22"/>
    </row>
    <row r="88" spans="1:5" s="23" customFormat="1" x14ac:dyDescent="0.25">
      <c r="A88" s="22"/>
      <c r="B88" s="22"/>
      <c r="C88" s="22"/>
      <c r="D88" s="22"/>
      <c r="E88" s="22"/>
    </row>
    <row r="89" spans="1:5" s="23" customFormat="1" x14ac:dyDescent="0.25">
      <c r="A89" s="22"/>
      <c r="B89" s="22"/>
      <c r="C89" s="22"/>
      <c r="D89" s="22"/>
      <c r="E89" s="22"/>
    </row>
    <row r="90" spans="1:5" s="23" customFormat="1" x14ac:dyDescent="0.25">
      <c r="A90" s="22"/>
      <c r="B90" s="22"/>
      <c r="C90" s="22"/>
      <c r="D90" s="22"/>
      <c r="E90" s="22"/>
    </row>
    <row r="91" spans="1:5" s="23" customFormat="1" x14ac:dyDescent="0.25">
      <c r="A91" s="22"/>
      <c r="B91" s="22"/>
      <c r="C91" s="22"/>
      <c r="D91" s="22"/>
      <c r="E91" s="22"/>
    </row>
    <row r="92" spans="1:5" s="23" customFormat="1" x14ac:dyDescent="0.25">
      <c r="A92" s="22"/>
      <c r="B92" s="22"/>
      <c r="C92" s="22"/>
      <c r="D92" s="22"/>
      <c r="E92" s="22"/>
    </row>
    <row r="93" spans="1:5" s="23" customFormat="1" x14ac:dyDescent="0.25">
      <c r="A93" s="22"/>
      <c r="B93" s="22"/>
      <c r="C93" s="22"/>
      <c r="D93" s="22"/>
      <c r="E93" s="22"/>
    </row>
    <row r="94" spans="1:5" s="23" customFormat="1" x14ac:dyDescent="0.25">
      <c r="A94" s="22"/>
      <c r="B94" s="22"/>
      <c r="C94" s="22"/>
      <c r="D94" s="22"/>
      <c r="E94" s="22"/>
    </row>
    <row r="95" spans="1:5" s="23" customFormat="1" x14ac:dyDescent="0.25">
      <c r="A95" s="22"/>
      <c r="B95" s="22"/>
      <c r="C95" s="22"/>
      <c r="D95" s="22"/>
      <c r="E95" s="22"/>
    </row>
    <row r="96" spans="1:5" s="23" customFormat="1" x14ac:dyDescent="0.25">
      <c r="A96" s="22"/>
      <c r="B96" s="22"/>
      <c r="C96" s="22"/>
      <c r="D96" s="22"/>
      <c r="E96" s="22"/>
    </row>
    <row r="97" spans="1:5" s="23" customFormat="1" x14ac:dyDescent="0.25">
      <c r="A97" s="22"/>
      <c r="B97" s="22"/>
      <c r="C97" s="22"/>
      <c r="D97" s="22"/>
      <c r="E97" s="22"/>
    </row>
    <row r="98" spans="1:5" s="23" customFormat="1" x14ac:dyDescent="0.25">
      <c r="A98" s="22"/>
      <c r="B98" s="22"/>
      <c r="C98" s="22"/>
      <c r="D98" s="22"/>
      <c r="E98" s="22"/>
    </row>
    <row r="99" spans="1:5" s="23" customFormat="1" x14ac:dyDescent="0.25">
      <c r="A99" s="22"/>
      <c r="B99" s="22"/>
      <c r="C99" s="22"/>
      <c r="D99" s="22"/>
      <c r="E99" s="22"/>
    </row>
    <row r="100" spans="1:5" s="23" customFormat="1" x14ac:dyDescent="0.25">
      <c r="A100" s="22"/>
      <c r="B100" s="22"/>
      <c r="C100" s="22"/>
      <c r="D100" s="22"/>
      <c r="E100" s="22"/>
    </row>
    <row r="101" spans="1:5" s="23" customFormat="1" x14ac:dyDescent="0.25">
      <c r="A101" s="22"/>
      <c r="B101" s="22"/>
      <c r="C101" s="22"/>
      <c r="D101" s="22"/>
      <c r="E101" s="22"/>
    </row>
    <row r="102" spans="1:5" s="23" customFormat="1" x14ac:dyDescent="0.25">
      <c r="A102" s="22"/>
      <c r="B102" s="22"/>
      <c r="C102" s="22"/>
      <c r="D102" s="22"/>
      <c r="E102" s="22"/>
    </row>
    <row r="103" spans="1:5" s="23" customFormat="1" x14ac:dyDescent="0.25">
      <c r="A103" s="22"/>
      <c r="B103" s="22"/>
      <c r="C103" s="22"/>
      <c r="D103" s="22"/>
      <c r="E103" s="22"/>
    </row>
    <row r="104" spans="1:5" s="23" customFormat="1" x14ac:dyDescent="0.25">
      <c r="A104" s="22"/>
      <c r="B104" s="22"/>
      <c r="C104" s="22"/>
      <c r="D104" s="22"/>
      <c r="E104" s="22"/>
    </row>
    <row r="105" spans="1:5" s="23" customFormat="1" x14ac:dyDescent="0.25">
      <c r="A105" s="22"/>
      <c r="B105" s="22"/>
      <c r="C105" s="22"/>
      <c r="D105" s="22"/>
      <c r="E105" s="22"/>
    </row>
    <row r="106" spans="1:5" s="23" customFormat="1" x14ac:dyDescent="0.25">
      <c r="A106" s="22"/>
      <c r="B106" s="22"/>
      <c r="C106" s="22"/>
      <c r="D106" s="22"/>
      <c r="E106" s="22"/>
    </row>
    <row r="107" spans="1:5" s="23" customFormat="1" x14ac:dyDescent="0.25">
      <c r="A107" s="22"/>
      <c r="B107" s="22"/>
      <c r="C107" s="22"/>
      <c r="D107" s="22"/>
      <c r="E107" s="22"/>
    </row>
    <row r="108" spans="1:5" s="23" customFormat="1" x14ac:dyDescent="0.25">
      <c r="A108" s="22"/>
      <c r="B108" s="22"/>
      <c r="C108" s="22"/>
      <c r="D108" s="22"/>
      <c r="E108" s="22"/>
    </row>
    <row r="109" spans="1:5" s="23" customFormat="1" x14ac:dyDescent="0.25">
      <c r="A109" s="22"/>
      <c r="B109" s="22"/>
      <c r="C109" s="22"/>
      <c r="D109" s="22"/>
      <c r="E109" s="22"/>
    </row>
    <row r="110" spans="1:5" s="23" customFormat="1" x14ac:dyDescent="0.25">
      <c r="A110" s="22"/>
      <c r="B110" s="22"/>
      <c r="C110" s="22"/>
      <c r="D110" s="22"/>
      <c r="E110" s="22"/>
    </row>
    <row r="111" spans="1:5" s="23" customFormat="1" x14ac:dyDescent="0.25">
      <c r="A111" s="22"/>
      <c r="B111" s="22"/>
      <c r="C111" s="22"/>
      <c r="D111" s="22"/>
      <c r="E111" s="22"/>
    </row>
    <row r="112" spans="1:5" s="23" customFormat="1" x14ac:dyDescent="0.25">
      <c r="A112" s="22"/>
      <c r="B112" s="22"/>
      <c r="C112" s="22"/>
      <c r="D112" s="22"/>
      <c r="E112" s="22"/>
    </row>
    <row r="113" spans="1:5" s="23" customFormat="1" x14ac:dyDescent="0.25">
      <c r="A113" s="22"/>
      <c r="B113" s="22"/>
      <c r="C113" s="22"/>
      <c r="D113" s="22"/>
      <c r="E113" s="22"/>
    </row>
    <row r="114" spans="1:5" s="23" customFormat="1" x14ac:dyDescent="0.25">
      <c r="A114" s="22"/>
      <c r="B114" s="22"/>
      <c r="C114" s="22"/>
      <c r="D114" s="22"/>
      <c r="E114" s="22"/>
    </row>
    <row r="115" spans="1:5" s="23" customFormat="1" x14ac:dyDescent="0.25">
      <c r="A115" s="22"/>
      <c r="B115" s="22"/>
      <c r="C115" s="22"/>
      <c r="D115" s="22"/>
      <c r="E115" s="22"/>
    </row>
    <row r="116" spans="1:5" s="23" customFormat="1" x14ac:dyDescent="0.25">
      <c r="A116" s="22"/>
      <c r="B116" s="22"/>
      <c r="C116" s="22"/>
      <c r="D116" s="22"/>
      <c r="E116" s="22"/>
    </row>
    <row r="117" spans="1:5" s="23" customFormat="1" x14ac:dyDescent="0.25">
      <c r="A117" s="22"/>
      <c r="B117" s="22"/>
      <c r="C117" s="22"/>
      <c r="D117" s="22"/>
      <c r="E117" s="22"/>
    </row>
    <row r="118" spans="1:5" s="23" customFormat="1" x14ac:dyDescent="0.25">
      <c r="A118" s="22"/>
      <c r="B118" s="22"/>
      <c r="C118" s="22"/>
      <c r="D118" s="22"/>
      <c r="E118" s="22"/>
    </row>
    <row r="119" spans="1:5" s="23" customFormat="1" x14ac:dyDescent="0.25">
      <c r="A119" s="22"/>
      <c r="B119" s="22"/>
      <c r="C119" s="22"/>
      <c r="D119" s="22"/>
      <c r="E119" s="22"/>
    </row>
    <row r="120" spans="1:5" s="23" customFormat="1" x14ac:dyDescent="0.25">
      <c r="A120" s="22"/>
      <c r="B120" s="22"/>
      <c r="C120" s="22"/>
      <c r="D120" s="22"/>
      <c r="E120" s="22"/>
    </row>
    <row r="121" spans="1:5" s="23" customFormat="1" x14ac:dyDescent="0.25">
      <c r="A121" s="22"/>
      <c r="B121" s="22"/>
      <c r="C121" s="22"/>
      <c r="D121" s="22"/>
      <c r="E121" s="22"/>
    </row>
    <row r="122" spans="1:5" s="23" customFormat="1" x14ac:dyDescent="0.25">
      <c r="A122" s="22"/>
      <c r="B122" s="22"/>
      <c r="C122" s="22"/>
      <c r="D122" s="22"/>
      <c r="E122" s="22"/>
    </row>
    <row r="123" spans="1:5" s="23" customFormat="1" x14ac:dyDescent="0.25">
      <c r="A123" s="22"/>
      <c r="B123" s="22"/>
      <c r="C123" s="22"/>
      <c r="D123" s="22"/>
      <c r="E123" s="22"/>
    </row>
    <row r="124" spans="1:5" s="23" customFormat="1" x14ac:dyDescent="0.25">
      <c r="A124" s="22"/>
      <c r="B124" s="22"/>
      <c r="C124" s="22"/>
      <c r="D124" s="22"/>
      <c r="E124" s="22"/>
    </row>
    <row r="125" spans="1:5" s="23" customFormat="1" x14ac:dyDescent="0.25">
      <c r="A125" s="22"/>
      <c r="B125" s="22"/>
      <c r="C125" s="22"/>
      <c r="D125" s="22"/>
      <c r="E125" s="22"/>
    </row>
    <row r="126" spans="1:5" s="23" customFormat="1" x14ac:dyDescent="0.25">
      <c r="A126" s="22"/>
      <c r="B126" s="22"/>
      <c r="C126" s="22"/>
      <c r="D126" s="22"/>
      <c r="E126" s="22"/>
    </row>
    <row r="127" spans="1:5" s="23" customFormat="1" x14ac:dyDescent="0.25">
      <c r="A127" s="22"/>
      <c r="B127" s="22"/>
      <c r="C127" s="22"/>
      <c r="D127" s="22"/>
      <c r="E127" s="22"/>
    </row>
  </sheetData>
  <sheetProtection selectLockedCells="1"/>
  <autoFilter ref="A1:N41" xr:uid="{00000000-0009-0000-0000-000002000000}">
    <sortState xmlns:xlrd2="http://schemas.microsoft.com/office/spreadsheetml/2017/richdata2" ref="A2:N41">
      <sortCondition descending="1" ref="K1"/>
    </sortState>
  </autoFilter>
  <conditionalFormatting sqref="K2:K43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4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3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27"/>
  <sheetViews>
    <sheetView showGridLines="0" zoomScale="90" zoomScaleNormal="90" workbookViewId="0">
      <selection activeCell="L53" sqref="L5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3" customWidth="1"/>
    <col min="8" max="8" width="11.85546875" style="23" customWidth="1"/>
    <col min="9" max="9" width="10.7109375" style="23" customWidth="1"/>
    <col min="10" max="10" width="10.5703125" style="23" customWidth="1"/>
    <col min="11" max="12" width="11.140625" style="23" customWidth="1"/>
    <col min="13" max="14" width="12.42578125" style="23" customWidth="1"/>
    <col min="15" max="17" width="9.140625" style="23"/>
  </cols>
  <sheetData>
    <row r="1" spans="1:14" s="23" customFormat="1" ht="59.25" customHeight="1" thickTop="1" thickBot="1" x14ac:dyDescent="0.3">
      <c r="A1" s="68" t="s">
        <v>233</v>
      </c>
      <c r="B1" s="66" t="s">
        <v>234</v>
      </c>
      <c r="C1" s="66" t="s">
        <v>46</v>
      </c>
      <c r="D1" s="66" t="s">
        <v>47</v>
      </c>
      <c r="E1" s="66" t="s">
        <v>48</v>
      </c>
      <c r="F1" s="66" t="s">
        <v>133</v>
      </c>
      <c r="G1" s="66" t="s">
        <v>134</v>
      </c>
      <c r="H1" s="66" t="s">
        <v>137</v>
      </c>
      <c r="I1" s="66" t="s">
        <v>123</v>
      </c>
      <c r="J1" s="66" t="s">
        <v>122</v>
      </c>
      <c r="K1" s="66" t="s">
        <v>230</v>
      </c>
      <c r="L1" s="63" t="s">
        <v>229</v>
      </c>
      <c r="M1" s="66" t="s">
        <v>235</v>
      </c>
      <c r="N1" s="66" t="s">
        <v>232</v>
      </c>
    </row>
    <row r="2" spans="1:14" s="23" customFormat="1" ht="16.5" thickTop="1" thickBot="1" x14ac:dyDescent="0.3">
      <c r="A2" s="69" t="s">
        <v>287</v>
      </c>
      <c r="B2" s="64">
        <f>IFERROR(INDEX(HTAway!$B:$B,MATCH(A2,HTAway!$A:$A,0)),"-")</f>
        <v>8</v>
      </c>
      <c r="C2" s="64" t="str">
        <f>IFERROR(INDEX(OGSAway!$D:$D,MATCH(A2,OGSAway!$A:$A,0)),"-")</f>
        <v>24</v>
      </c>
      <c r="D2" s="64">
        <f>IFERROR(INDEX(OGSAway!$E:$E,MATCH(A2,OGSAway!$A:$A,0)),"-")</f>
        <v>1</v>
      </c>
      <c r="E2" s="64">
        <f>IFERROR(INDEX(OGSAway!$F:$F,MATCH(A2,OGSAway!$A:$A,0)),"-")</f>
        <v>0</v>
      </c>
      <c r="F2" s="65">
        <f>IFERROR(INDEX(HTAway!$C:$C,MATCH(A2,HTAway!$A:$A,0)),"-")</f>
        <v>1</v>
      </c>
      <c r="G2" s="65">
        <f>IFERROR(INDEX(HTAway!$E:$E,MATCH(A2,HTAway!$A:$A,0)),"-")</f>
        <v>4</v>
      </c>
      <c r="H2" s="65">
        <f>IFERROR(INDEX(HTAway!$D:$D,MATCH(A2,HTAway!$A:$A,0)),"-")</f>
        <v>3</v>
      </c>
      <c r="I2" s="65">
        <f t="shared" ref="I2:I41" si="0">SUM(C2:E2)</f>
        <v>1</v>
      </c>
      <c r="J2" s="65">
        <f>IFERROR(INDEX(OGCAway!$Q:$Q,MATCH(A2,OGCAway!$A:$A,0)),"-")</f>
        <v>4</v>
      </c>
      <c r="K2" s="67">
        <f t="shared" ref="K2:K41" si="1">I2/B2</f>
        <v>0.125</v>
      </c>
      <c r="L2" s="67">
        <f>IFERROR(INDEX('HT(Home) %'!$K:$K,MATCH(A2,'HT(Home) %'!$A:$A,0)),"-")</f>
        <v>3.625</v>
      </c>
      <c r="M2" s="67">
        <f t="shared" ref="M2:M41" si="2">(I2/B2)-(J2/B2)+(F2/B2)-(G2/B2)</f>
        <v>-0.75</v>
      </c>
      <c r="N2" s="67">
        <f>AVERAGE(IFERROR(INDEX('HT(Home) %'!$M:$M,MATCH(A2,'HT(Home) %'!$A:$A,0)),"-"),M2)</f>
        <v>1.125</v>
      </c>
    </row>
    <row r="3" spans="1:14" s="23" customFormat="1" ht="16.5" thickTop="1" thickBot="1" x14ac:dyDescent="0.3">
      <c r="A3" s="70" t="s">
        <v>290</v>
      </c>
      <c r="B3" s="64">
        <f>IFERROR(INDEX(HTAway!$B:$B,MATCH(A3,HTAway!$A:$A,0)),"-")</f>
        <v>8</v>
      </c>
      <c r="C3" s="64" t="str">
        <f>IFERROR(INDEX(OGSAway!$D:$D,MATCH(A3,OGSAway!$A:$A,0)),"-")</f>
        <v>18</v>
      </c>
      <c r="D3" s="64">
        <f>IFERROR(INDEX(OGSAway!$E:$E,MATCH(A3,OGSAway!$A:$A,0)),"-")</f>
        <v>2</v>
      </c>
      <c r="E3" s="64">
        <f>IFERROR(INDEX(OGSAway!$F:$F,MATCH(A3,OGSAway!$A:$A,0)),"-")</f>
        <v>0</v>
      </c>
      <c r="F3" s="65">
        <f>IFERROR(INDEX(HTAway!$C:$C,MATCH(A3,HTAway!$A:$A,0)),"-")</f>
        <v>0</v>
      </c>
      <c r="G3" s="65">
        <f>IFERROR(INDEX(HTAway!$E:$E,MATCH(A3,HTAway!$A:$A,0)),"-")</f>
        <v>5</v>
      </c>
      <c r="H3" s="65">
        <f>IFERROR(INDEX(HTAway!$D:$D,MATCH(A3,HTAway!$A:$A,0)),"-")</f>
        <v>3</v>
      </c>
      <c r="I3" s="65">
        <f t="shared" si="0"/>
        <v>2</v>
      </c>
      <c r="J3" s="65">
        <f>IFERROR(INDEX(OGCAway!$Q:$Q,MATCH(A3,OGCAway!$A:$A,0)),"-")</f>
        <v>3</v>
      </c>
      <c r="K3" s="67">
        <f t="shared" si="1"/>
        <v>0.25</v>
      </c>
      <c r="L3" s="67">
        <f>IFERROR(INDEX('HT(Home) %'!$K:$K,MATCH(A3,'HT(Home) %'!$A:$A,0)),"-")</f>
        <v>2.875</v>
      </c>
      <c r="M3" s="67">
        <f t="shared" si="2"/>
        <v>-0.75</v>
      </c>
      <c r="N3" s="67">
        <f>AVERAGE(IFERROR(INDEX('HT(Home) %'!$M:$M,MATCH(A3,'HT(Home) %'!$A:$A,0)),"-"),M3)</f>
        <v>0.625</v>
      </c>
    </row>
    <row r="4" spans="1:14" s="23" customFormat="1" ht="16.5" thickTop="1" thickBot="1" x14ac:dyDescent="0.3">
      <c r="A4" s="69" t="s">
        <v>274</v>
      </c>
      <c r="B4" s="64">
        <f>IFERROR(INDEX(HTAway!$B:$B,MATCH(A4,HTAway!$A:$A,0)),"-")</f>
        <v>7</v>
      </c>
      <c r="C4" s="64" t="str">
        <f>IFERROR(INDEX(OGSAway!$D:$D,MATCH(A4,OGSAway!$A:$A,0)),"-")</f>
        <v>10</v>
      </c>
      <c r="D4" s="64">
        <f>IFERROR(INDEX(OGSAway!$E:$E,MATCH(A4,OGSAway!$A:$A,0)),"-")</f>
        <v>2</v>
      </c>
      <c r="E4" s="64">
        <f>IFERROR(INDEX(OGSAway!$F:$F,MATCH(A4,OGSAway!$A:$A,0)),"-")</f>
        <v>1</v>
      </c>
      <c r="F4" s="65">
        <f>IFERROR(INDEX(HTAway!$C:$C,MATCH(A4,HTAway!$A:$A,0)),"-")</f>
        <v>3</v>
      </c>
      <c r="G4" s="65">
        <f>IFERROR(INDEX(HTAway!$E:$E,MATCH(A4,HTAway!$A:$A,0)),"-")</f>
        <v>1</v>
      </c>
      <c r="H4" s="65">
        <f>IFERROR(INDEX(HTAway!$D:$D,MATCH(A4,HTAway!$A:$A,0)),"-")</f>
        <v>3</v>
      </c>
      <c r="I4" s="65">
        <f t="shared" si="0"/>
        <v>3</v>
      </c>
      <c r="J4" s="65">
        <f>IFERROR(INDEX(OGCAway!$Q:$Q,MATCH(A4,OGCAway!$A:$A,0)),"-")</f>
        <v>1</v>
      </c>
      <c r="K4" s="67">
        <f t="shared" si="1"/>
        <v>0.42857142857142855</v>
      </c>
      <c r="L4" s="67">
        <f>IFERROR(INDEX('HT(Home) %'!$K:$K,MATCH(A4,'HT(Home) %'!$A:$A,0)),"-")</f>
        <v>3.75</v>
      </c>
      <c r="M4" s="67">
        <f t="shared" si="2"/>
        <v>0.5714285714285714</v>
      </c>
      <c r="N4" s="67">
        <f>AVERAGE(IFERROR(INDEX('HT(Home) %'!$M:$M,MATCH(A4,'HT(Home) %'!$A:$A,0)),"-"),M4)</f>
        <v>2.2232142857142856</v>
      </c>
    </row>
    <row r="5" spans="1:14" s="23" customFormat="1" ht="16.5" thickTop="1" thickBot="1" x14ac:dyDescent="0.3">
      <c r="A5" s="70" t="s">
        <v>275</v>
      </c>
      <c r="B5" s="64">
        <f>IFERROR(INDEX(HTAway!$B:$B,MATCH(A5,HTAway!$A:$A,0)),"-")</f>
        <v>7</v>
      </c>
      <c r="C5" s="64" t="str">
        <f>IFERROR(INDEX(OGSAway!$D:$D,MATCH(A5,OGSAway!$A:$A,0)),"-")</f>
        <v>17</v>
      </c>
      <c r="D5" s="64">
        <f>IFERROR(INDEX(OGSAway!$E:$E,MATCH(A5,OGSAway!$A:$A,0)),"-")</f>
        <v>1</v>
      </c>
      <c r="E5" s="64">
        <f>IFERROR(INDEX(OGSAway!$F:$F,MATCH(A5,OGSAway!$A:$A,0)),"-")</f>
        <v>2</v>
      </c>
      <c r="F5" s="65">
        <f>IFERROR(INDEX(HTAway!$C:$C,MATCH(A5,HTAway!$A:$A,0)),"-")</f>
        <v>3</v>
      </c>
      <c r="G5" s="65">
        <f>IFERROR(INDEX(HTAway!$E:$E,MATCH(A5,HTAway!$A:$A,0)),"-")</f>
        <v>2</v>
      </c>
      <c r="H5" s="65">
        <f>IFERROR(INDEX(HTAway!$D:$D,MATCH(A5,HTAway!$A:$A,0)),"-")</f>
        <v>2</v>
      </c>
      <c r="I5" s="65">
        <f t="shared" si="0"/>
        <v>3</v>
      </c>
      <c r="J5" s="65">
        <f>IFERROR(INDEX(OGCAway!$Q:$Q,MATCH(A5,OGCAway!$A:$A,0)),"-")</f>
        <v>2</v>
      </c>
      <c r="K5" s="67">
        <f t="shared" si="1"/>
        <v>0.42857142857142855</v>
      </c>
      <c r="L5" s="67">
        <f>IFERROR(INDEX('HT(Home) %'!$K:$K,MATCH(A5,'HT(Home) %'!$A:$A,0)),"-")</f>
        <v>4.25</v>
      </c>
      <c r="M5" s="67">
        <f t="shared" si="2"/>
        <v>0.2857142857142857</v>
      </c>
      <c r="N5" s="67">
        <f>AVERAGE(IFERROR(INDEX('HT(Home) %'!$M:$M,MATCH(A5,'HT(Home) %'!$A:$A,0)),"-"),M5)</f>
        <v>2.3928571428571428</v>
      </c>
    </row>
    <row r="6" spans="1:14" s="23" customFormat="1" ht="16.5" thickTop="1" thickBot="1" x14ac:dyDescent="0.3">
      <c r="A6" s="69" t="s">
        <v>282</v>
      </c>
      <c r="B6" s="64">
        <f>IFERROR(INDEX(HTAway!$B:$B,MATCH(A6,HTAway!$A:$A,0)),"-")</f>
        <v>8</v>
      </c>
      <c r="C6" s="64" t="str">
        <f>IFERROR(INDEX(OGSAway!$D:$D,MATCH(A6,OGSAway!$A:$A,0)),"-")</f>
        <v>20</v>
      </c>
      <c r="D6" s="64">
        <f>IFERROR(INDEX(OGSAway!$E:$E,MATCH(A6,OGSAway!$A:$A,0)),"-")</f>
        <v>2</v>
      </c>
      <c r="E6" s="64">
        <f>IFERROR(INDEX(OGSAway!$F:$F,MATCH(A6,OGSAway!$A:$A,0)),"-")</f>
        <v>1</v>
      </c>
      <c r="F6" s="65">
        <f>IFERROR(INDEX(HTAway!$C:$C,MATCH(A6,HTAway!$A:$A,0)),"-")</f>
        <v>3</v>
      </c>
      <c r="G6" s="65">
        <f>IFERROR(INDEX(HTAway!$E:$E,MATCH(A6,HTAway!$A:$A,0)),"-")</f>
        <v>1</v>
      </c>
      <c r="H6" s="65">
        <f>IFERROR(INDEX(HTAway!$D:$D,MATCH(A6,HTAway!$A:$A,0)),"-")</f>
        <v>4</v>
      </c>
      <c r="I6" s="65">
        <f t="shared" si="0"/>
        <v>3</v>
      </c>
      <c r="J6" s="65">
        <f>IFERROR(INDEX(OGCAway!$Q:$Q,MATCH(A6,OGCAway!$A:$A,0)),"-")</f>
        <v>1</v>
      </c>
      <c r="K6" s="67">
        <f t="shared" si="1"/>
        <v>0.375</v>
      </c>
      <c r="L6" s="67">
        <f>IFERROR(INDEX('HT(Home) %'!$K:$K,MATCH(A6,'HT(Home) %'!$A:$A,0)),"-")</f>
        <v>3.25</v>
      </c>
      <c r="M6" s="67">
        <f t="shared" si="2"/>
        <v>0.5</v>
      </c>
      <c r="N6" s="67">
        <f>AVERAGE(IFERROR(INDEX('HT(Home) %'!$M:$M,MATCH(A6,'HT(Home) %'!$A:$A,0)),"-"),M6)</f>
        <v>1.9375</v>
      </c>
    </row>
    <row r="7" spans="1:14" s="23" customFormat="1" ht="16.5" thickTop="1" thickBot="1" x14ac:dyDescent="0.3">
      <c r="A7" s="70" t="s">
        <v>288</v>
      </c>
      <c r="B7" s="64">
        <f>IFERROR(INDEX(HTAway!$B:$B,MATCH(A7,HTAway!$A:$A,0)),"-")</f>
        <v>7</v>
      </c>
      <c r="C7" s="64" t="str">
        <f>IFERROR(INDEX(OGSAway!$D:$D,MATCH(A7,OGSAway!$A:$A,0)),"-")</f>
        <v>34</v>
      </c>
      <c r="D7" s="64">
        <f>IFERROR(INDEX(OGSAway!$E:$E,MATCH(A7,OGSAway!$A:$A,0)),"-")</f>
        <v>0</v>
      </c>
      <c r="E7" s="64">
        <f>IFERROR(INDEX(OGSAway!$F:$F,MATCH(A7,OGSAway!$A:$A,0)),"-")</f>
        <v>3</v>
      </c>
      <c r="F7" s="65">
        <f>IFERROR(INDEX(HTAway!$C:$C,MATCH(A7,HTAway!$A:$A,0)),"-")</f>
        <v>2</v>
      </c>
      <c r="G7" s="65">
        <f>IFERROR(INDEX(HTAway!$E:$E,MATCH(A7,HTAway!$A:$A,0)),"-")</f>
        <v>1</v>
      </c>
      <c r="H7" s="65">
        <f>IFERROR(INDEX(HTAway!$D:$D,MATCH(A7,HTAway!$A:$A,0)),"-")</f>
        <v>4</v>
      </c>
      <c r="I7" s="65">
        <f t="shared" si="0"/>
        <v>3</v>
      </c>
      <c r="J7" s="65">
        <f>IFERROR(INDEX(OGCAway!$Q:$Q,MATCH(A7,OGCAway!$A:$A,0)),"-")</f>
        <v>1</v>
      </c>
      <c r="K7" s="67">
        <f t="shared" si="1"/>
        <v>0.42857142857142855</v>
      </c>
      <c r="L7" s="67">
        <f>IFERROR(INDEX('HT(Home) %'!$K:$K,MATCH(A7,'HT(Home) %'!$A:$A,0)),"-")</f>
        <v>3.625</v>
      </c>
      <c r="M7" s="67">
        <f t="shared" si="2"/>
        <v>0.42857142857142855</v>
      </c>
      <c r="N7" s="67">
        <f>AVERAGE(IFERROR(INDEX('HT(Home) %'!$M:$M,MATCH(A7,'HT(Home) %'!$A:$A,0)),"-"),M7)</f>
        <v>1.7142857142857142</v>
      </c>
    </row>
    <row r="8" spans="1:14" s="23" customFormat="1" ht="16.5" thickTop="1" thickBot="1" x14ac:dyDescent="0.3">
      <c r="A8" s="69" t="s">
        <v>273</v>
      </c>
      <c r="B8" s="64">
        <f>IFERROR(INDEX(HTAway!$B:$B,MATCH(A8,HTAway!$A:$A,0)),"-")</f>
        <v>7</v>
      </c>
      <c r="C8" s="64" t="str">
        <f>IFERROR(INDEX(OGSAway!$D:$D,MATCH(A8,OGSAway!$A:$A,0)),"-")</f>
        <v>49</v>
      </c>
      <c r="D8" s="64">
        <f>IFERROR(INDEX(OGSAway!$E:$E,MATCH(A8,OGSAway!$A:$A,0)),"-")</f>
        <v>1</v>
      </c>
      <c r="E8" s="64">
        <f>IFERROR(INDEX(OGSAway!$F:$F,MATCH(A8,OGSAway!$A:$A,0)),"-")</f>
        <v>0</v>
      </c>
      <c r="F8" s="65">
        <f>IFERROR(INDEX(HTAway!$C:$C,MATCH(A8,HTAway!$A:$A,0)),"-")</f>
        <v>1</v>
      </c>
      <c r="G8" s="65">
        <f>IFERROR(INDEX(HTAway!$E:$E,MATCH(A8,HTAway!$A:$A,0)),"-")</f>
        <v>3</v>
      </c>
      <c r="H8" s="65">
        <f>IFERROR(INDEX(HTAway!$D:$D,MATCH(A8,HTAway!$A:$A,0)),"-")</f>
        <v>3</v>
      </c>
      <c r="I8" s="65">
        <f t="shared" si="0"/>
        <v>1</v>
      </c>
      <c r="J8" s="65">
        <f>IFERROR(INDEX(OGCAway!$Q:$Q,MATCH(A8,OGCAway!$A:$A,0)),"-")</f>
        <v>3</v>
      </c>
      <c r="K8" s="67">
        <f t="shared" si="1"/>
        <v>0.14285714285714285</v>
      </c>
      <c r="L8" s="67">
        <f>IFERROR(INDEX('HT(Home) %'!$K:$K,MATCH(A8,'HT(Home) %'!$A:$A,0)),"-")</f>
        <v>5.8888888888888893</v>
      </c>
      <c r="M8" s="67">
        <f t="shared" si="2"/>
        <v>-0.5714285714285714</v>
      </c>
      <c r="N8" s="67">
        <f>AVERAGE(IFERROR(INDEX('HT(Home) %'!$M:$M,MATCH(A8,'HT(Home) %'!$A:$A,0)),"-"),M8)</f>
        <v>2.4920634920634925</v>
      </c>
    </row>
    <row r="9" spans="1:14" s="23" customFormat="1" ht="16.5" thickTop="1" thickBot="1" x14ac:dyDescent="0.3">
      <c r="A9" s="70" t="s">
        <v>281</v>
      </c>
      <c r="B9" s="64">
        <f>IFERROR(INDEX(HTAway!$B:$B,MATCH(A9,HTAway!$A:$A,0)),"-")</f>
        <v>8</v>
      </c>
      <c r="C9" s="64" t="str">
        <f>IFERROR(INDEX(OGSAway!$D:$D,MATCH(A9,OGSAway!$A:$A,0)),"-")</f>
        <v>5</v>
      </c>
      <c r="D9" s="64">
        <f>IFERROR(INDEX(OGSAway!$E:$E,MATCH(A9,OGSAway!$A:$A,0)),"-")</f>
        <v>3</v>
      </c>
      <c r="E9" s="64">
        <f>IFERROR(INDEX(OGSAway!$F:$F,MATCH(A9,OGSAway!$A:$A,0)),"-")</f>
        <v>0</v>
      </c>
      <c r="F9" s="65">
        <f>IFERROR(INDEX(HTAway!$C:$C,MATCH(A9,HTAway!$A:$A,0)),"-")</f>
        <v>2</v>
      </c>
      <c r="G9" s="65">
        <f>IFERROR(INDEX(HTAway!$E:$E,MATCH(A9,HTAway!$A:$A,0)),"-")</f>
        <v>3</v>
      </c>
      <c r="H9" s="65">
        <f>IFERROR(INDEX(HTAway!$D:$D,MATCH(A9,HTAway!$A:$A,0)),"-")</f>
        <v>3</v>
      </c>
      <c r="I9" s="65">
        <f t="shared" si="0"/>
        <v>3</v>
      </c>
      <c r="J9" s="65">
        <f>IFERROR(INDEX(OGCAway!$Q:$Q,MATCH(A9,OGCAway!$A:$A,0)),"-")</f>
        <v>4</v>
      </c>
      <c r="K9" s="67">
        <f t="shared" si="1"/>
        <v>0.375</v>
      </c>
      <c r="L9" s="67">
        <f>IFERROR(INDEX('HT(Home) %'!$K:$K,MATCH(A9,'HT(Home) %'!$A:$A,0)),"-")</f>
        <v>8.875</v>
      </c>
      <c r="M9" s="67">
        <f t="shared" si="2"/>
        <v>-0.25</v>
      </c>
      <c r="N9" s="67">
        <f>AVERAGE(IFERROR(INDEX('HT(Home) %'!$M:$M,MATCH(A9,'HT(Home) %'!$A:$A,0)),"-"),M9)</f>
        <v>4.25</v>
      </c>
    </row>
    <row r="10" spans="1:14" s="23" customFormat="1" ht="16.5" thickTop="1" thickBot="1" x14ac:dyDescent="0.3">
      <c r="A10" s="69" t="s">
        <v>272</v>
      </c>
      <c r="B10" s="64">
        <f>IFERROR(INDEX(HTAway!$B:$B,MATCH(A10,HTAway!$A:$A,0)),"-")</f>
        <v>8</v>
      </c>
      <c r="C10" s="64" t="str">
        <f>IFERROR(INDEX(OGSAway!$D:$D,MATCH(A10,OGSAway!$A:$A,0)),"-")</f>
        <v>25</v>
      </c>
      <c r="D10" s="64">
        <f>IFERROR(INDEX(OGSAway!$E:$E,MATCH(A10,OGSAway!$A:$A,0)),"-")</f>
        <v>1</v>
      </c>
      <c r="E10" s="64">
        <f>IFERROR(INDEX(OGSAway!$F:$F,MATCH(A10,OGSAway!$A:$A,0)),"-")</f>
        <v>3</v>
      </c>
      <c r="F10" s="65">
        <f>IFERROR(INDEX(HTAway!$C:$C,MATCH(A10,HTAway!$A:$A,0)),"-")</f>
        <v>2</v>
      </c>
      <c r="G10" s="65">
        <f>IFERROR(INDEX(HTAway!$E:$E,MATCH(A10,HTAway!$A:$A,0)),"-")</f>
        <v>1</v>
      </c>
      <c r="H10" s="65">
        <f>IFERROR(INDEX(HTAway!$D:$D,MATCH(A10,HTAway!$A:$A,0)),"-")</f>
        <v>5</v>
      </c>
      <c r="I10" s="65">
        <f t="shared" si="0"/>
        <v>4</v>
      </c>
      <c r="J10" s="65">
        <f>IFERROR(INDEX(OGCAway!$Q:$Q,MATCH(A10,OGCAway!$A:$A,0)),"-")</f>
        <v>2</v>
      </c>
      <c r="K10" s="67">
        <f t="shared" si="1"/>
        <v>0.5</v>
      </c>
      <c r="L10" s="67">
        <f>IFERROR(INDEX('HT(Home) %'!$K:$K,MATCH(A10,'HT(Home) %'!$A:$A,0)),"-")</f>
        <v>7.75</v>
      </c>
      <c r="M10" s="67">
        <f t="shared" si="2"/>
        <v>0.375</v>
      </c>
      <c r="N10" s="67">
        <f>AVERAGE(IFERROR(INDEX('HT(Home) %'!$M:$M,MATCH(A10,'HT(Home) %'!$A:$A,0)),"-"),M10)</f>
        <v>4</v>
      </c>
    </row>
    <row r="11" spans="1:14" s="23" customFormat="1" ht="16.5" thickTop="1" thickBot="1" x14ac:dyDescent="0.3">
      <c r="A11" s="70" t="s">
        <v>289</v>
      </c>
      <c r="B11" s="64">
        <f>IFERROR(INDEX(HTAway!$B:$B,MATCH(A11,HTAway!$A:$A,0)),"-")</f>
        <v>8</v>
      </c>
      <c r="C11" s="64" t="str">
        <f>IFERROR(INDEX(OGSAway!$D:$D,MATCH(A11,OGSAway!$A:$A,0)),"-")</f>
        <v>-</v>
      </c>
      <c r="D11" s="64">
        <f>IFERROR(INDEX(OGSAway!$E:$E,MATCH(A11,OGSAway!$A:$A,0)),"-")</f>
        <v>0</v>
      </c>
      <c r="E11" s="64">
        <f>IFERROR(INDEX(OGSAway!$F:$F,MATCH(A11,OGSAway!$A:$A,0)),"-")</f>
        <v>0</v>
      </c>
      <c r="F11" s="65">
        <f>IFERROR(INDEX(HTAway!$C:$C,MATCH(A11,HTAway!$A:$A,0)),"-")</f>
        <v>0</v>
      </c>
      <c r="G11" s="65">
        <f>IFERROR(INDEX(HTAway!$E:$E,MATCH(A11,HTAway!$A:$A,0)),"-")</f>
        <v>7</v>
      </c>
      <c r="H11" s="65">
        <f>IFERROR(INDEX(HTAway!$D:$D,MATCH(A11,HTAway!$A:$A,0)),"-")</f>
        <v>1</v>
      </c>
      <c r="I11" s="65">
        <f t="shared" si="0"/>
        <v>0</v>
      </c>
      <c r="J11" s="65">
        <f>IFERROR(INDEX(OGCAway!$Q:$Q,MATCH(A11,OGCAway!$A:$A,0)),"-")</f>
        <v>7</v>
      </c>
      <c r="K11" s="67">
        <f t="shared" si="1"/>
        <v>0</v>
      </c>
      <c r="L11" s="67">
        <f>IFERROR(INDEX('HT(Home) %'!$K:$K,MATCH(A11,'HT(Home) %'!$A:$A,0)),"-")</f>
        <v>1.1428571428571428</v>
      </c>
      <c r="M11" s="67">
        <f t="shared" si="2"/>
        <v>-1.75</v>
      </c>
      <c r="N11" s="67">
        <f>AVERAGE(IFERROR(INDEX('HT(Home) %'!$M:$M,MATCH(A11,'HT(Home) %'!$A:$A,0)),"-"),M11)</f>
        <v>-0.58928571428571441</v>
      </c>
    </row>
    <row r="12" spans="1:14" s="23" customFormat="1" ht="16.5" thickTop="1" thickBot="1" x14ac:dyDescent="0.3">
      <c r="A12" s="69" t="s">
        <v>286</v>
      </c>
      <c r="B12" s="64">
        <f>IFERROR(INDEX(HTAway!$B:$B,MATCH(A12,HTAway!$A:$A,0)),"-")</f>
        <v>9</v>
      </c>
      <c r="C12" s="64" t="str">
        <f>IFERROR(INDEX(OGSAway!$D:$D,MATCH(A12,OGSAway!$A:$A,0)),"-")</f>
        <v>42</v>
      </c>
      <c r="D12" s="64">
        <f>IFERROR(INDEX(OGSAway!$E:$E,MATCH(A12,OGSAway!$A:$A,0)),"-")</f>
        <v>0</v>
      </c>
      <c r="E12" s="64">
        <f>IFERROR(INDEX(OGSAway!$F:$F,MATCH(A12,OGSAway!$A:$A,0)),"-")</f>
        <v>1</v>
      </c>
      <c r="F12" s="65">
        <f>IFERROR(INDEX(HTAway!$C:$C,MATCH(A12,HTAway!$A:$A,0)),"-")</f>
        <v>3</v>
      </c>
      <c r="G12" s="65">
        <f>IFERROR(INDEX(HTAway!$E:$E,MATCH(A12,HTAway!$A:$A,0)),"-")</f>
        <v>2</v>
      </c>
      <c r="H12" s="65">
        <f>IFERROR(INDEX(HTAway!$D:$D,MATCH(A12,HTAway!$A:$A,0)),"-")</f>
        <v>4</v>
      </c>
      <c r="I12" s="65">
        <f t="shared" si="0"/>
        <v>1</v>
      </c>
      <c r="J12" s="65">
        <f>IFERROR(INDEX(OGCAway!$Q:$Q,MATCH(A12,OGCAway!$A:$A,0)),"-")</f>
        <v>2</v>
      </c>
      <c r="K12" s="67">
        <f t="shared" si="1"/>
        <v>0.1111111111111111</v>
      </c>
      <c r="L12" s="67">
        <f>IFERROR(INDEX('HT(Home) %'!$K:$K,MATCH(A12,'HT(Home) %'!$A:$A,0)),"-")</f>
        <v>7.7142857142857144</v>
      </c>
      <c r="M12" s="67">
        <f t="shared" si="2"/>
        <v>0</v>
      </c>
      <c r="N12" s="67">
        <f>AVERAGE(IFERROR(INDEX('HT(Home) %'!$M:$M,MATCH(A12,'HT(Home) %'!$A:$A,0)),"-"),M12)</f>
        <v>4</v>
      </c>
    </row>
    <row r="13" spans="1:14" s="23" customFormat="1" ht="16.5" thickTop="1" thickBot="1" x14ac:dyDescent="0.3">
      <c r="A13" s="70" t="s">
        <v>284</v>
      </c>
      <c r="B13" s="64">
        <f>IFERROR(INDEX(HTAway!$B:$B,MATCH(A13,HTAway!$A:$A,0)),"-")</f>
        <v>8</v>
      </c>
      <c r="C13" s="64" t="str">
        <f>IFERROR(INDEX(OGSAway!$D:$D,MATCH(A13,OGSAway!$A:$A,0)),"-")</f>
        <v>44</v>
      </c>
      <c r="D13" s="64">
        <f>IFERROR(INDEX(OGSAway!$E:$E,MATCH(A13,OGSAway!$A:$A,0)),"-")</f>
        <v>1</v>
      </c>
      <c r="E13" s="64">
        <f>IFERROR(INDEX(OGSAway!$F:$F,MATCH(A13,OGSAway!$A:$A,0)),"-")</f>
        <v>0</v>
      </c>
      <c r="F13" s="65">
        <f>IFERROR(INDEX(HTAway!$C:$C,MATCH(A13,HTAway!$A:$A,0)),"-")</f>
        <v>0</v>
      </c>
      <c r="G13" s="65">
        <f>IFERROR(INDEX(HTAway!$E:$E,MATCH(A13,HTAway!$A:$A,0)),"-")</f>
        <v>3</v>
      </c>
      <c r="H13" s="65">
        <f>IFERROR(INDEX(HTAway!$D:$D,MATCH(A13,HTAway!$A:$A,0)),"-")</f>
        <v>5</v>
      </c>
      <c r="I13" s="65">
        <f t="shared" si="0"/>
        <v>1</v>
      </c>
      <c r="J13" s="65">
        <f>IFERROR(INDEX(OGCAway!$Q:$Q,MATCH(A13,OGCAway!$A:$A,0)),"-")</f>
        <v>4</v>
      </c>
      <c r="K13" s="67">
        <f t="shared" si="1"/>
        <v>0.125</v>
      </c>
      <c r="L13" s="67">
        <f>IFERROR(INDEX('HT(Home) %'!$K:$K,MATCH(A13,'HT(Home) %'!$A:$A,0)),"-")</f>
        <v>1.375</v>
      </c>
      <c r="M13" s="67">
        <f t="shared" si="2"/>
        <v>-0.75</v>
      </c>
      <c r="N13" s="67">
        <f>AVERAGE(IFERROR(INDEX('HT(Home) %'!$M:$M,MATCH(A13,'HT(Home) %'!$A:$A,0)),"-"),M13)</f>
        <v>0.375</v>
      </c>
    </row>
    <row r="14" spans="1:14" s="23" customFormat="1" ht="16.5" thickTop="1" thickBot="1" x14ac:dyDescent="0.3">
      <c r="A14" s="69" t="s">
        <v>280</v>
      </c>
      <c r="B14" s="64">
        <f>IFERROR(INDEX(HTAway!$B:$B,MATCH(A14,HTAway!$A:$A,0)),"-")</f>
        <v>8</v>
      </c>
      <c r="C14" s="64" t="str">
        <f>IFERROR(INDEX(OGSAway!$D:$D,MATCH(A14,OGSAway!$A:$A,0)),"-")</f>
        <v>28</v>
      </c>
      <c r="D14" s="64">
        <f>IFERROR(INDEX(OGSAway!$E:$E,MATCH(A14,OGSAway!$A:$A,0)),"-")</f>
        <v>0</v>
      </c>
      <c r="E14" s="64">
        <f>IFERROR(INDEX(OGSAway!$F:$F,MATCH(A14,OGSAway!$A:$A,0)),"-")</f>
        <v>2</v>
      </c>
      <c r="F14" s="65">
        <f>IFERROR(INDEX(HTAway!$C:$C,MATCH(A14,HTAway!$A:$A,0)),"-")</f>
        <v>3</v>
      </c>
      <c r="G14" s="65">
        <f>IFERROR(INDEX(HTAway!$E:$E,MATCH(A14,HTAway!$A:$A,0)),"-")</f>
        <v>3</v>
      </c>
      <c r="H14" s="65">
        <f>IFERROR(INDEX(HTAway!$D:$D,MATCH(A14,HTAway!$A:$A,0)),"-")</f>
        <v>2</v>
      </c>
      <c r="I14" s="65">
        <f t="shared" si="0"/>
        <v>2</v>
      </c>
      <c r="J14" s="65">
        <f>IFERROR(INDEX(OGCAway!$Q:$Q,MATCH(A14,OGCAway!$A:$A,0)),"-")</f>
        <v>4</v>
      </c>
      <c r="K14" s="67">
        <f t="shared" si="1"/>
        <v>0.25</v>
      </c>
      <c r="L14" s="67">
        <f>IFERROR(INDEX('HT(Home) %'!$K:$K,MATCH(A14,'HT(Home) %'!$A:$A,0)),"-")</f>
        <v>1</v>
      </c>
      <c r="M14" s="67">
        <f t="shared" si="2"/>
        <v>-0.25</v>
      </c>
      <c r="N14" s="67">
        <f>AVERAGE(IFERROR(INDEX('HT(Home) %'!$M:$M,MATCH(A14,'HT(Home) %'!$A:$A,0)),"-"),M14)</f>
        <v>0</v>
      </c>
    </row>
    <row r="15" spans="1:14" s="23" customFormat="1" ht="16.5" thickTop="1" thickBot="1" x14ac:dyDescent="0.3">
      <c r="A15" s="70" t="s">
        <v>277</v>
      </c>
      <c r="B15" s="64">
        <f>IFERROR(INDEX(HTAway!$B:$B,MATCH(A15,HTAway!$A:$A,0)),"-")</f>
        <v>8</v>
      </c>
      <c r="C15" s="64" t="str">
        <f>IFERROR(INDEX(OGSAway!$D:$D,MATCH(A15,OGSAway!$A:$A,0)),"-")</f>
        <v>52</v>
      </c>
      <c r="D15" s="64">
        <f>IFERROR(INDEX(OGSAway!$E:$E,MATCH(A15,OGSAway!$A:$A,0)),"-")</f>
        <v>0</v>
      </c>
      <c r="E15" s="64">
        <f>IFERROR(INDEX(OGSAway!$F:$F,MATCH(A15,OGSAway!$A:$A,0)),"-")</f>
        <v>2</v>
      </c>
      <c r="F15" s="65">
        <f>IFERROR(INDEX(HTAway!$C:$C,MATCH(A15,HTAway!$A:$A,0)),"-")</f>
        <v>2</v>
      </c>
      <c r="G15" s="65">
        <f>IFERROR(INDEX(HTAway!$E:$E,MATCH(A15,HTAway!$A:$A,0)),"-")</f>
        <v>1</v>
      </c>
      <c r="H15" s="65">
        <f>IFERROR(INDEX(HTAway!$D:$D,MATCH(A15,HTAway!$A:$A,0)),"-")</f>
        <v>5</v>
      </c>
      <c r="I15" s="65">
        <f t="shared" si="0"/>
        <v>2</v>
      </c>
      <c r="J15" s="65">
        <f>IFERROR(INDEX(OGCAway!$Q:$Q,MATCH(A15,OGCAway!$A:$A,0)),"-")</f>
        <v>1</v>
      </c>
      <c r="K15" s="67">
        <f t="shared" si="1"/>
        <v>0.25</v>
      </c>
      <c r="L15" s="67">
        <f>IFERROR(INDEX('HT(Home) %'!$K:$K,MATCH(A15,'HT(Home) %'!$A:$A,0)),"-")</f>
        <v>3.7142857142857144</v>
      </c>
      <c r="M15" s="67">
        <f t="shared" si="2"/>
        <v>0.25</v>
      </c>
      <c r="N15" s="67">
        <f>AVERAGE(IFERROR(INDEX('HT(Home) %'!$M:$M,MATCH(A15,'HT(Home) %'!$A:$A,0)),"-"),M15)</f>
        <v>1.9107142857142858</v>
      </c>
    </row>
    <row r="16" spans="1:14" s="23" customFormat="1" ht="16.5" thickTop="1" thickBot="1" x14ac:dyDescent="0.3">
      <c r="A16" s="69" t="s">
        <v>278</v>
      </c>
      <c r="B16" s="64">
        <f>IFERROR(INDEX(HTAway!$B:$B,MATCH(A16,HTAway!$A:$A,0)),"-")</f>
        <v>8</v>
      </c>
      <c r="C16" s="64" t="str">
        <f>IFERROR(INDEX(OGSAway!$D:$D,MATCH(A16,OGSAway!$A:$A,0)),"-")</f>
        <v>30</v>
      </c>
      <c r="D16" s="64">
        <f>IFERROR(INDEX(OGSAway!$E:$E,MATCH(A16,OGSAway!$A:$A,0)),"-")</f>
        <v>2</v>
      </c>
      <c r="E16" s="64">
        <f>IFERROR(INDEX(OGSAway!$F:$F,MATCH(A16,OGSAway!$A:$A,0)),"-")</f>
        <v>1</v>
      </c>
      <c r="F16" s="65">
        <f>IFERROR(INDEX(HTAway!$C:$C,MATCH(A16,HTAway!$A:$A,0)),"-")</f>
        <v>1</v>
      </c>
      <c r="G16" s="65">
        <f>IFERROR(INDEX(HTAway!$E:$E,MATCH(A16,HTAway!$A:$A,0)),"-")</f>
        <v>2</v>
      </c>
      <c r="H16" s="65">
        <f>IFERROR(INDEX(HTAway!$D:$D,MATCH(A16,HTAway!$A:$A,0)),"-")</f>
        <v>5</v>
      </c>
      <c r="I16" s="65">
        <f t="shared" si="0"/>
        <v>3</v>
      </c>
      <c r="J16" s="65">
        <f>IFERROR(INDEX(OGCAway!$Q:$Q,MATCH(A16,OGCAway!$A:$A,0)),"-")</f>
        <v>1</v>
      </c>
      <c r="K16" s="67">
        <f t="shared" si="1"/>
        <v>0.375</v>
      </c>
      <c r="L16" s="67">
        <f>IFERROR(INDEX('HT(Home) %'!$K:$K,MATCH(A16,'HT(Home) %'!$A:$A,0)),"-")</f>
        <v>4.375</v>
      </c>
      <c r="M16" s="67">
        <f t="shared" si="2"/>
        <v>0.125</v>
      </c>
      <c r="N16" s="67">
        <f>AVERAGE(IFERROR(INDEX('HT(Home) %'!$M:$M,MATCH(A16,'HT(Home) %'!$A:$A,0)),"-"),M16)</f>
        <v>2.375</v>
      </c>
    </row>
    <row r="17" spans="1:14" s="23" customFormat="1" ht="16.5" thickTop="1" thickBot="1" x14ac:dyDescent="0.3">
      <c r="A17" s="70" t="s">
        <v>271</v>
      </c>
      <c r="B17" s="64">
        <f>IFERROR(INDEX(HTAway!$B:$B,MATCH(A17,HTAway!$A:$A,0)),"-")</f>
        <v>9</v>
      </c>
      <c r="C17" s="64" t="str">
        <f>IFERROR(INDEX(OGSAway!$D:$D,MATCH(A17,OGSAway!$A:$A,0)),"-")</f>
        <v>39</v>
      </c>
      <c r="D17" s="64">
        <f>IFERROR(INDEX(OGSAway!$E:$E,MATCH(A17,OGSAway!$A:$A,0)),"-")</f>
        <v>1</v>
      </c>
      <c r="E17" s="64">
        <f>IFERROR(INDEX(OGSAway!$F:$F,MATCH(A17,OGSAway!$A:$A,0)),"-")</f>
        <v>2</v>
      </c>
      <c r="F17" s="65">
        <f>IFERROR(INDEX(HTAway!$C:$C,MATCH(A17,HTAway!$A:$A,0)),"-")</f>
        <v>3</v>
      </c>
      <c r="G17" s="65">
        <f>IFERROR(INDEX(HTAway!$E:$E,MATCH(A17,HTAway!$A:$A,0)),"-")</f>
        <v>2</v>
      </c>
      <c r="H17" s="65">
        <f>IFERROR(INDEX(HTAway!$D:$D,MATCH(A17,HTAway!$A:$A,0)),"-")</f>
        <v>4</v>
      </c>
      <c r="I17" s="65">
        <f t="shared" si="0"/>
        <v>3</v>
      </c>
      <c r="J17" s="65">
        <f>IFERROR(INDEX(OGCAway!$Q:$Q,MATCH(A17,OGCAway!$A:$A,0)),"-")</f>
        <v>3</v>
      </c>
      <c r="K17" s="67">
        <f t="shared" si="1"/>
        <v>0.33333333333333331</v>
      </c>
      <c r="L17" s="67">
        <f>IFERROR(INDEX('HT(Home) %'!$K:$K,MATCH(A17,'HT(Home) %'!$A:$A,0)),"-")</f>
        <v>3.4285714285714284</v>
      </c>
      <c r="M17" s="67">
        <f t="shared" si="2"/>
        <v>0.1111111111111111</v>
      </c>
      <c r="N17" s="67">
        <f>AVERAGE(IFERROR(INDEX('HT(Home) %'!$M:$M,MATCH(A17,'HT(Home) %'!$A:$A,0)),"-"),M17)</f>
        <v>1.76984126984127</v>
      </c>
    </row>
    <row r="18" spans="1:14" s="23" customFormat="1" ht="16.5" thickTop="1" thickBot="1" x14ac:dyDescent="0.3">
      <c r="A18" s="69" t="s">
        <v>276</v>
      </c>
      <c r="B18" s="64">
        <f>IFERROR(INDEX(HTAway!$B:$B,MATCH(A18,HTAway!$A:$A,0)),"-")</f>
        <v>8</v>
      </c>
      <c r="C18" s="64" t="str">
        <f>IFERROR(INDEX(OGSAway!$D:$D,MATCH(A18,OGSAway!$A:$A,0)),"-")</f>
        <v>34</v>
      </c>
      <c r="D18" s="64">
        <f>IFERROR(INDEX(OGSAway!$E:$E,MATCH(A18,OGSAway!$A:$A,0)),"-")</f>
        <v>1</v>
      </c>
      <c r="E18" s="64">
        <f>IFERROR(INDEX(OGSAway!$F:$F,MATCH(A18,OGSAway!$A:$A,0)),"-")</f>
        <v>0</v>
      </c>
      <c r="F18" s="65">
        <f>IFERROR(INDEX(HTAway!$C:$C,MATCH(A18,HTAway!$A:$A,0)),"-")</f>
        <v>3</v>
      </c>
      <c r="G18" s="65">
        <f>IFERROR(INDEX(HTAway!$E:$E,MATCH(A18,HTAway!$A:$A,0)),"-")</f>
        <v>1</v>
      </c>
      <c r="H18" s="65">
        <f>IFERROR(INDEX(HTAway!$D:$D,MATCH(A18,HTAway!$A:$A,0)),"-")</f>
        <v>4</v>
      </c>
      <c r="I18" s="65">
        <f t="shared" si="0"/>
        <v>1</v>
      </c>
      <c r="J18" s="65">
        <f>IFERROR(INDEX(OGCAway!$Q:$Q,MATCH(A18,OGCAway!$A:$A,0)),"-")</f>
        <v>3</v>
      </c>
      <c r="K18" s="67">
        <f t="shared" si="1"/>
        <v>0.125</v>
      </c>
      <c r="L18" s="67">
        <f>IFERROR(INDEX('HT(Home) %'!$K:$K,MATCH(A18,'HT(Home) %'!$A:$A,0)),"-")</f>
        <v>3.125</v>
      </c>
      <c r="M18" s="67">
        <f t="shared" si="2"/>
        <v>0</v>
      </c>
      <c r="N18" s="67">
        <f>AVERAGE(IFERROR(INDEX('HT(Home) %'!$M:$M,MATCH(A18,'HT(Home) %'!$A:$A,0)),"-"),M18)</f>
        <v>1.8125</v>
      </c>
    </row>
    <row r="19" spans="1:14" s="23" customFormat="1" ht="16.5" thickTop="1" thickBot="1" x14ac:dyDescent="0.3">
      <c r="A19" s="70" t="s">
        <v>283</v>
      </c>
      <c r="B19" s="64">
        <f>IFERROR(INDEX(HTAway!$B:$B,MATCH(A19,HTAway!$A:$A,0)),"-")</f>
        <v>7</v>
      </c>
      <c r="C19" s="64" t="str">
        <f>IFERROR(INDEX(OGSAway!$D:$D,MATCH(A19,OGSAway!$A:$A,0)),"-")</f>
        <v>-</v>
      </c>
      <c r="D19" s="64">
        <f>IFERROR(INDEX(OGSAway!$E:$E,MATCH(A19,OGSAway!$A:$A,0)),"-")</f>
        <v>0</v>
      </c>
      <c r="E19" s="64">
        <f>IFERROR(INDEX(OGSAway!$F:$F,MATCH(A19,OGSAway!$A:$A,0)),"-")</f>
        <v>0</v>
      </c>
      <c r="F19" s="65">
        <f>IFERROR(INDEX(HTAway!$C:$C,MATCH(A19,HTAway!$A:$A,0)),"-")</f>
        <v>0</v>
      </c>
      <c r="G19" s="65">
        <f>IFERROR(INDEX(HTAway!$E:$E,MATCH(A19,HTAway!$A:$A,0)),"-")</f>
        <v>4</v>
      </c>
      <c r="H19" s="65">
        <f>IFERROR(INDEX(HTAway!$D:$D,MATCH(A19,HTAway!$A:$A,0)),"-")</f>
        <v>3</v>
      </c>
      <c r="I19" s="65">
        <f t="shared" si="0"/>
        <v>0</v>
      </c>
      <c r="J19" s="65">
        <f>IFERROR(INDEX(OGCAway!$Q:$Q,MATCH(A19,OGCAway!$A:$A,0)),"-")</f>
        <v>5</v>
      </c>
      <c r="K19" s="67">
        <f t="shared" si="1"/>
        <v>0</v>
      </c>
      <c r="L19" s="67">
        <f>IFERROR(INDEX('HT(Home) %'!$K:$K,MATCH(A19,'HT(Home) %'!$A:$A,0)),"-")</f>
        <v>7.25</v>
      </c>
      <c r="M19" s="67">
        <f t="shared" si="2"/>
        <v>-1.2857142857142856</v>
      </c>
      <c r="N19" s="67">
        <f>AVERAGE(IFERROR(INDEX('HT(Home) %'!$M:$M,MATCH(A19,'HT(Home) %'!$A:$A,0)),"-"),M19)</f>
        <v>2.8571428571428572</v>
      </c>
    </row>
    <row r="20" spans="1:14" s="23" customFormat="1" ht="16.5" thickTop="1" thickBot="1" x14ac:dyDescent="0.3">
      <c r="A20" s="69" t="s">
        <v>279</v>
      </c>
      <c r="B20" s="64">
        <f>IFERROR(INDEX(HTAway!$B:$B,MATCH(A20,HTAway!$A:$A,0)),"-")</f>
        <v>9</v>
      </c>
      <c r="C20" s="64" t="str">
        <f>IFERROR(INDEX(OGSAway!$D:$D,MATCH(A20,OGSAway!$A:$A,0)),"-")</f>
        <v>43</v>
      </c>
      <c r="D20" s="64">
        <f>IFERROR(INDEX(OGSAway!$E:$E,MATCH(A20,OGSAway!$A:$A,0)),"-")</f>
        <v>1</v>
      </c>
      <c r="E20" s="64">
        <f>IFERROR(INDEX(OGSAway!$F:$F,MATCH(A20,OGSAway!$A:$A,0)),"-")</f>
        <v>0</v>
      </c>
      <c r="F20" s="65">
        <f>IFERROR(INDEX(HTAway!$C:$C,MATCH(A20,HTAway!$A:$A,0)),"-")</f>
        <v>1</v>
      </c>
      <c r="G20" s="65">
        <f>IFERROR(INDEX(HTAway!$E:$E,MATCH(A20,HTAway!$A:$A,0)),"-")</f>
        <v>4</v>
      </c>
      <c r="H20" s="65">
        <f>IFERROR(INDEX(HTAway!$D:$D,MATCH(A20,HTAway!$A:$A,0)),"-")</f>
        <v>4</v>
      </c>
      <c r="I20" s="65">
        <f t="shared" si="0"/>
        <v>1</v>
      </c>
      <c r="J20" s="65">
        <f>IFERROR(INDEX(OGCAway!$Q:$Q,MATCH(A20,OGCAway!$A:$A,0)),"-")</f>
        <v>5</v>
      </c>
      <c r="K20" s="67">
        <f t="shared" si="1"/>
        <v>0.1111111111111111</v>
      </c>
      <c r="L20" s="67">
        <f>IFERROR(INDEX('HT(Home) %'!$K:$K,MATCH(A20,'HT(Home) %'!$A:$A,0)),"-")</f>
        <v>4.8571428571428568</v>
      </c>
      <c r="M20" s="67">
        <f t="shared" si="2"/>
        <v>-0.77777777777777779</v>
      </c>
      <c r="N20" s="67">
        <f>AVERAGE(IFERROR(INDEX('HT(Home) %'!$M:$M,MATCH(A20,'HT(Home) %'!$A:$A,0)),"-"),M20)</f>
        <v>1.9682539682539684</v>
      </c>
    </row>
    <row r="21" spans="1:14" s="23" customFormat="1" ht="16.5" thickTop="1" thickBot="1" x14ac:dyDescent="0.3">
      <c r="A21" s="70" t="s">
        <v>285</v>
      </c>
      <c r="B21" s="64">
        <f>IFERROR(INDEX(HTAway!$B:$B,MATCH(A21,HTAway!$A:$A,0)),"-")</f>
        <v>7</v>
      </c>
      <c r="C21" s="64" t="str">
        <f>IFERROR(INDEX(OGSAway!$D:$D,MATCH(A21,OGSAway!$A:$A,0)),"-")</f>
        <v>25</v>
      </c>
      <c r="D21" s="64">
        <f>IFERROR(INDEX(OGSAway!$E:$E,MATCH(A21,OGSAway!$A:$A,0)),"-")</f>
        <v>2</v>
      </c>
      <c r="E21" s="64">
        <f>IFERROR(INDEX(OGSAway!$F:$F,MATCH(A21,OGSAway!$A:$A,0)),"-")</f>
        <v>2</v>
      </c>
      <c r="F21" s="65">
        <f>IFERROR(INDEX(HTAway!$C:$C,MATCH(A21,HTAway!$A:$A,0)),"-")</f>
        <v>1</v>
      </c>
      <c r="G21" s="65">
        <f>IFERROR(INDEX(HTAway!$E:$E,MATCH(A21,HTAway!$A:$A,0)),"-")</f>
        <v>1</v>
      </c>
      <c r="H21" s="65">
        <f>IFERROR(INDEX(HTAway!$D:$D,MATCH(A21,HTAway!$A:$A,0)),"-")</f>
        <v>5</v>
      </c>
      <c r="I21" s="65">
        <f t="shared" si="0"/>
        <v>4</v>
      </c>
      <c r="J21" s="65">
        <f>IFERROR(INDEX(OGCAway!$Q:$Q,MATCH(A21,OGCAway!$A:$A,0)),"-")</f>
        <v>0</v>
      </c>
      <c r="K21" s="67">
        <f t="shared" si="1"/>
        <v>0.5714285714285714</v>
      </c>
      <c r="L21" s="67">
        <f>IFERROR(INDEX('HT(Home) %'!$K:$K,MATCH(A21,'HT(Home) %'!$A:$A,0)),"-")</f>
        <v>5.8888888888888893</v>
      </c>
      <c r="M21" s="67">
        <f t="shared" si="2"/>
        <v>0.5714285714285714</v>
      </c>
      <c r="N21" s="67">
        <f>AVERAGE(IFERROR(INDEX('HT(Home) %'!$M:$M,MATCH(A21,'HT(Home) %'!$A:$A,0)),"-"),M21)</f>
        <v>2.6746031746031744</v>
      </c>
    </row>
    <row r="22" spans="1:14" s="23" customFormat="1" ht="16.5" thickTop="1" thickBot="1" x14ac:dyDescent="0.3">
      <c r="A22" s="69" t="s">
        <v>301</v>
      </c>
      <c r="B22" s="64">
        <f>IFERROR(INDEX(HTAway!$B:$B,MATCH(A22,HTAway!$A:$A,0)),"-")</f>
        <v>9</v>
      </c>
      <c r="C22" s="64">
        <f>IFERROR(INDEX(OGSAway!$D:$D,MATCH(A22,OGSAway!$A:$A,0)),"-")</f>
        <v>16</v>
      </c>
      <c r="D22" s="64">
        <f>IFERROR(INDEX(OGSAway!$E:$E,MATCH(A22,OGSAway!$A:$A,0)),"-")</f>
        <v>1</v>
      </c>
      <c r="E22" s="64">
        <f>IFERROR(INDEX(OGSAway!$F:$F,MATCH(A22,OGSAway!$A:$A,0)),"-")</f>
        <v>1</v>
      </c>
      <c r="F22" s="65">
        <f>IFERROR(INDEX(HTAway!$C:$C,MATCH(A22,HTAway!$A:$A,0)),"-")</f>
        <v>1</v>
      </c>
      <c r="G22" s="65">
        <f>IFERROR(INDEX(HTAway!$E:$E,MATCH(A22,HTAway!$A:$A,0)),"-")</f>
        <v>5</v>
      </c>
      <c r="H22" s="65">
        <f>IFERROR(INDEX(HTAway!$D:$D,MATCH(A22,HTAway!$A:$A,0)),"-")</f>
        <v>3</v>
      </c>
      <c r="I22" s="65">
        <f t="shared" si="0"/>
        <v>18</v>
      </c>
      <c r="J22" s="65">
        <f>IFERROR(INDEX(OGCAway!$Q:$Q,MATCH(A22,OGCAway!$A:$A,0)),"-")</f>
        <v>5</v>
      </c>
      <c r="K22" s="67">
        <f t="shared" si="1"/>
        <v>2</v>
      </c>
      <c r="L22" s="67">
        <f>IFERROR(INDEX('HT(Home) %'!$K:$K,MATCH(A22,'HT(Home) %'!$A:$A,0)),"-")</f>
        <v>4.0999999999999996</v>
      </c>
      <c r="M22" s="67">
        <f t="shared" si="2"/>
        <v>1</v>
      </c>
      <c r="N22" s="67">
        <f>AVERAGE(IFERROR(INDEX('HT(Home) %'!$M:$M,MATCH(A22,'HT(Home) %'!$A:$A,0)),"-"),M22)</f>
        <v>2.2999999999999998</v>
      </c>
    </row>
    <row r="23" spans="1:14" s="23" customFormat="1" ht="16.5" thickTop="1" thickBot="1" x14ac:dyDescent="0.3">
      <c r="A23" s="70" t="s">
        <v>311</v>
      </c>
      <c r="B23" s="64">
        <f>IFERROR(INDEX(HTAway!$B:$B,MATCH(A23,HTAway!$A:$A,0)),"-")</f>
        <v>9</v>
      </c>
      <c r="C23" s="64">
        <f>IFERROR(INDEX(OGSAway!$D:$D,MATCH(A23,OGSAway!$A:$A,0)),"-")</f>
        <v>24</v>
      </c>
      <c r="D23" s="64">
        <f>IFERROR(INDEX(OGSAway!$E:$E,MATCH(A23,OGSAway!$A:$A,0)),"-")</f>
        <v>1</v>
      </c>
      <c r="E23" s="64">
        <f>IFERROR(INDEX(OGSAway!$F:$F,MATCH(A23,OGSAway!$A:$A,0)),"-")</f>
        <v>1</v>
      </c>
      <c r="F23" s="65">
        <f>IFERROR(INDEX(HTAway!$C:$C,MATCH(A23,HTAway!$A:$A,0)),"-")</f>
        <v>4</v>
      </c>
      <c r="G23" s="65">
        <f>IFERROR(INDEX(HTAway!$E:$E,MATCH(A23,HTAway!$A:$A,0)),"-")</f>
        <v>3</v>
      </c>
      <c r="H23" s="65">
        <f>IFERROR(INDEX(HTAway!$D:$D,MATCH(A23,HTAway!$A:$A,0)),"-")</f>
        <v>2</v>
      </c>
      <c r="I23" s="65">
        <f t="shared" si="0"/>
        <v>26</v>
      </c>
      <c r="J23" s="65">
        <f>IFERROR(INDEX(OGCAway!$Q:$Q,MATCH(A23,OGCAway!$A:$A,0)),"-")</f>
        <v>3</v>
      </c>
      <c r="K23" s="67">
        <f t="shared" si="1"/>
        <v>2.8888888888888888</v>
      </c>
      <c r="L23" s="67">
        <f>IFERROR(INDEX('HT(Home) %'!$K:$K,MATCH(A23,'HT(Home) %'!$A:$A,0)),"-")</f>
        <v>4.5555555555555554</v>
      </c>
      <c r="M23" s="67">
        <f t="shared" si="2"/>
        <v>2.6666666666666665</v>
      </c>
      <c r="N23" s="67">
        <f>AVERAGE(IFERROR(INDEX('HT(Home) %'!$M:$M,MATCH(A23,'HT(Home) %'!$A:$A,0)),"-"),M23)</f>
        <v>3.2777777777777777</v>
      </c>
    </row>
    <row r="24" spans="1:14" s="23" customFormat="1" ht="16.5" thickTop="1" thickBot="1" x14ac:dyDescent="0.3">
      <c r="A24" s="69" t="s">
        <v>308</v>
      </c>
      <c r="B24" s="64">
        <f>IFERROR(INDEX(HTAway!$B:$B,MATCH(A24,HTAway!$A:$A,0)),"-")</f>
        <v>10</v>
      </c>
      <c r="C24" s="64">
        <f>IFERROR(INDEX(OGSAway!$D:$D,MATCH(A24,OGSAway!$A:$A,0)),"-")</f>
        <v>28</v>
      </c>
      <c r="D24" s="64">
        <f>IFERROR(INDEX(OGSAway!$E:$E,MATCH(A24,OGSAway!$A:$A,0)),"-")</f>
        <v>1</v>
      </c>
      <c r="E24" s="64">
        <f>IFERROR(INDEX(OGSAway!$F:$F,MATCH(A24,OGSAway!$A:$A,0)),"-")</f>
        <v>0</v>
      </c>
      <c r="F24" s="65">
        <f>IFERROR(INDEX(HTAway!$C:$C,MATCH(A24,HTAway!$A:$A,0)),"-")</f>
        <v>3</v>
      </c>
      <c r="G24" s="65">
        <f>IFERROR(INDEX(HTAway!$E:$E,MATCH(A24,HTAway!$A:$A,0)),"-")</f>
        <v>5</v>
      </c>
      <c r="H24" s="65">
        <f>IFERROR(INDEX(HTAway!$D:$D,MATCH(A24,HTAway!$A:$A,0)),"-")</f>
        <v>2</v>
      </c>
      <c r="I24" s="65">
        <f t="shared" si="0"/>
        <v>29</v>
      </c>
      <c r="J24" s="65">
        <f>IFERROR(INDEX(OGCAway!$Q:$Q,MATCH(A24,OGCAway!$A:$A,0)),"-")</f>
        <v>5</v>
      </c>
      <c r="K24" s="67">
        <f t="shared" si="1"/>
        <v>2.9</v>
      </c>
      <c r="L24" s="67">
        <f>IFERROR(INDEX('HT(Home) %'!$K:$K,MATCH(A24,'HT(Home) %'!$A:$A,0)),"-")</f>
        <v>2.5555555555555554</v>
      </c>
      <c r="M24" s="67">
        <f t="shared" si="2"/>
        <v>2.1999999999999997</v>
      </c>
      <c r="N24" s="67">
        <f>AVERAGE(IFERROR(INDEX('HT(Home) %'!$M:$M,MATCH(A24,'HT(Home) %'!$A:$A,0)),"-"),M24)</f>
        <v>2.322222222222222</v>
      </c>
    </row>
    <row r="25" spans="1:14" s="23" customFormat="1" ht="16.5" thickTop="1" thickBot="1" x14ac:dyDescent="0.3">
      <c r="A25" s="70" t="s">
        <v>302</v>
      </c>
      <c r="B25" s="64">
        <f>IFERROR(INDEX(HTAway!$B:$B,MATCH(A25,HTAway!$A:$A,0)),"-")</f>
        <v>9</v>
      </c>
      <c r="C25" s="64">
        <f>IFERROR(INDEX(OGSAway!$D:$D,MATCH(A25,OGSAway!$A:$A,0)),"-")</f>
        <v>44</v>
      </c>
      <c r="D25" s="64">
        <f>IFERROR(INDEX(OGSAway!$E:$E,MATCH(A25,OGSAway!$A:$A,0)),"-")</f>
        <v>0</v>
      </c>
      <c r="E25" s="64">
        <f>IFERROR(INDEX(OGSAway!$F:$F,MATCH(A25,OGSAway!$A:$A,0)),"-")</f>
        <v>0</v>
      </c>
      <c r="F25" s="65">
        <f>IFERROR(INDEX(HTAway!$C:$C,MATCH(A25,HTAway!$A:$A,0)),"-")</f>
        <v>1</v>
      </c>
      <c r="G25" s="65">
        <f>IFERROR(INDEX(HTAway!$E:$E,MATCH(A25,HTAway!$A:$A,0)),"-")</f>
        <v>6</v>
      </c>
      <c r="H25" s="65">
        <f>IFERROR(INDEX(HTAway!$D:$D,MATCH(A25,HTAway!$A:$A,0)),"-")</f>
        <v>2</v>
      </c>
      <c r="I25" s="65">
        <f t="shared" si="0"/>
        <v>44</v>
      </c>
      <c r="J25" s="65">
        <f>IFERROR(INDEX(OGCAway!$Q:$Q,MATCH(A25,OGCAway!$A:$A,0)),"-")</f>
        <v>6</v>
      </c>
      <c r="K25" s="67">
        <f t="shared" si="1"/>
        <v>4.8888888888888893</v>
      </c>
      <c r="L25" s="67">
        <f>IFERROR(INDEX('HT(Home) %'!$K:$K,MATCH(A25,'HT(Home) %'!$A:$A,0)),"-")</f>
        <v>3.6</v>
      </c>
      <c r="M25" s="67">
        <f t="shared" si="2"/>
        <v>3.6666666666666665</v>
      </c>
      <c r="N25" s="67">
        <f>AVERAGE(IFERROR(INDEX('HT(Home) %'!$M:$M,MATCH(A25,'HT(Home) %'!$A:$A,0)),"-"),M25)</f>
        <v>3.5333333333333332</v>
      </c>
    </row>
    <row r="26" spans="1:14" s="23" customFormat="1" ht="16.5" thickTop="1" thickBot="1" x14ac:dyDescent="0.3">
      <c r="A26" s="69" t="s">
        <v>312</v>
      </c>
      <c r="B26" s="64">
        <f>IFERROR(INDEX(HTAway!$B:$B,MATCH(A26,HTAway!$A:$A,0)),"-")</f>
        <v>10</v>
      </c>
      <c r="C26" s="64">
        <f>IFERROR(INDEX(OGSAway!$D:$D,MATCH(A26,OGSAway!$A:$A,0)),"-")</f>
        <v>28</v>
      </c>
      <c r="D26" s="64">
        <f>IFERROR(INDEX(OGSAway!$E:$E,MATCH(A26,OGSAway!$A:$A,0)),"-")</f>
        <v>1</v>
      </c>
      <c r="E26" s="64">
        <f>IFERROR(INDEX(OGSAway!$F:$F,MATCH(A26,OGSAway!$A:$A,0)),"-")</f>
        <v>0</v>
      </c>
      <c r="F26" s="65">
        <f>IFERROR(INDEX(HTAway!$C:$C,MATCH(A26,HTAway!$A:$A,0)),"-")</f>
        <v>3</v>
      </c>
      <c r="G26" s="65">
        <f>IFERROR(INDEX(HTAway!$E:$E,MATCH(A26,HTAway!$A:$A,0)),"-")</f>
        <v>3</v>
      </c>
      <c r="H26" s="65">
        <f>IFERROR(INDEX(HTAway!$D:$D,MATCH(A26,HTAway!$A:$A,0)),"-")</f>
        <v>4</v>
      </c>
      <c r="I26" s="65">
        <f t="shared" si="0"/>
        <v>29</v>
      </c>
      <c r="J26" s="65">
        <f>IFERROR(INDEX(OGCAway!$Q:$Q,MATCH(A26,OGCAway!$A:$A,0)),"-")</f>
        <v>3</v>
      </c>
      <c r="K26" s="67">
        <f t="shared" si="1"/>
        <v>2.9</v>
      </c>
      <c r="L26" s="67">
        <f>IFERROR(INDEX('HT(Home) %'!$K:$K,MATCH(A26,'HT(Home) %'!$A:$A,0)),"-")</f>
        <v>5</v>
      </c>
      <c r="M26" s="67">
        <f t="shared" si="2"/>
        <v>2.6</v>
      </c>
      <c r="N26" s="67">
        <f>AVERAGE(IFERROR(INDEX('HT(Home) %'!$M:$M,MATCH(A26,'HT(Home) %'!$A:$A,0)),"-"),M26)</f>
        <v>3.3</v>
      </c>
    </row>
    <row r="27" spans="1:14" s="23" customFormat="1" ht="16.5" thickTop="1" thickBot="1" x14ac:dyDescent="0.3">
      <c r="A27" s="70" t="s">
        <v>298</v>
      </c>
      <c r="B27" s="64">
        <f>IFERROR(INDEX(HTAway!$B:$B,MATCH(A27,HTAway!$A:$A,0)),"-")</f>
        <v>10</v>
      </c>
      <c r="C27" s="64">
        <f>IFERROR(INDEX(OGSAway!$D:$D,MATCH(A27,OGSAway!$A:$A,0)),"-")</f>
        <v>26</v>
      </c>
      <c r="D27" s="64">
        <f>IFERROR(INDEX(OGSAway!$E:$E,MATCH(A27,OGSAway!$A:$A,0)),"-")</f>
        <v>1</v>
      </c>
      <c r="E27" s="64">
        <f>IFERROR(INDEX(OGSAway!$F:$F,MATCH(A27,OGSAway!$A:$A,0)),"-")</f>
        <v>1</v>
      </c>
      <c r="F27" s="65">
        <f>IFERROR(INDEX(HTAway!$C:$C,MATCH(A27,HTAway!$A:$A,0)),"-")</f>
        <v>2</v>
      </c>
      <c r="G27" s="65">
        <f>IFERROR(INDEX(HTAway!$E:$E,MATCH(A27,HTAway!$A:$A,0)),"-")</f>
        <v>3</v>
      </c>
      <c r="H27" s="65">
        <f>IFERROR(INDEX(HTAway!$D:$D,MATCH(A27,HTAway!$A:$A,0)),"-")</f>
        <v>5</v>
      </c>
      <c r="I27" s="65">
        <f t="shared" si="0"/>
        <v>28</v>
      </c>
      <c r="J27" s="65">
        <f>IFERROR(INDEX(OGCAway!$Q:$Q,MATCH(A27,OGCAway!$A:$A,0)),"-")</f>
        <v>4</v>
      </c>
      <c r="K27" s="67">
        <f t="shared" si="1"/>
        <v>2.8</v>
      </c>
      <c r="L27" s="67">
        <f>IFERROR(INDEX('HT(Home) %'!$K:$K,MATCH(A27,'HT(Home) %'!$A:$A,0)),"-")</f>
        <v>3.1111111111111112</v>
      </c>
      <c r="M27" s="67">
        <f t="shared" si="2"/>
        <v>2.3000000000000003</v>
      </c>
      <c r="N27" s="67">
        <f>AVERAGE(IFERROR(INDEX('HT(Home) %'!$M:$M,MATCH(A27,'HT(Home) %'!$A:$A,0)),"-"),M27)</f>
        <v>2.6500000000000004</v>
      </c>
    </row>
    <row r="28" spans="1:14" s="23" customFormat="1" ht="16.5" thickTop="1" thickBot="1" x14ac:dyDescent="0.3">
      <c r="A28" s="69" t="s">
        <v>309</v>
      </c>
      <c r="B28" s="64">
        <f>IFERROR(INDEX(HTAway!$B:$B,MATCH(A28,HTAway!$A:$A,0)),"-")</f>
        <v>9</v>
      </c>
      <c r="C28" s="64">
        <f>IFERROR(INDEX(OGSAway!$D:$D,MATCH(A28,OGSAway!$A:$A,0)),"-")</f>
        <v>24</v>
      </c>
      <c r="D28" s="64">
        <f>IFERROR(INDEX(OGSAway!$E:$E,MATCH(A28,OGSAway!$A:$A,0)),"-")</f>
        <v>1</v>
      </c>
      <c r="E28" s="64">
        <f>IFERROR(INDEX(OGSAway!$F:$F,MATCH(A28,OGSAway!$A:$A,0)),"-")</f>
        <v>1</v>
      </c>
      <c r="F28" s="65">
        <f>IFERROR(INDEX(HTAway!$C:$C,MATCH(A28,HTAway!$A:$A,0)),"-")</f>
        <v>2</v>
      </c>
      <c r="G28" s="65">
        <f>IFERROR(INDEX(HTAway!$E:$E,MATCH(A28,HTAway!$A:$A,0)),"-")</f>
        <v>6</v>
      </c>
      <c r="H28" s="65">
        <f>IFERROR(INDEX(HTAway!$D:$D,MATCH(A28,HTAway!$A:$A,0)),"-")</f>
        <v>1</v>
      </c>
      <c r="I28" s="65">
        <f t="shared" si="0"/>
        <v>26</v>
      </c>
      <c r="J28" s="65">
        <f>IFERROR(INDEX(OGCAway!$Q:$Q,MATCH(A28,OGCAway!$A:$A,0)),"-")</f>
        <v>6</v>
      </c>
      <c r="K28" s="67">
        <f t="shared" si="1"/>
        <v>2.8888888888888888</v>
      </c>
      <c r="L28" s="67">
        <f>IFERROR(INDEX('HT(Home) %'!$K:$K,MATCH(A28,'HT(Home) %'!$A:$A,0)),"-")</f>
        <v>4.0999999999999996</v>
      </c>
      <c r="M28" s="67">
        <f t="shared" si="2"/>
        <v>1.7777777777777781</v>
      </c>
      <c r="N28" s="67">
        <f>AVERAGE(IFERROR(INDEX('HT(Home) %'!$M:$M,MATCH(A28,'HT(Home) %'!$A:$A,0)),"-"),M28)</f>
        <v>3.1888888888888891</v>
      </c>
    </row>
    <row r="29" spans="1:14" s="23" customFormat="1" ht="16.5" thickTop="1" thickBot="1" x14ac:dyDescent="0.3">
      <c r="A29" s="70" t="s">
        <v>303</v>
      </c>
      <c r="B29" s="64">
        <f>IFERROR(INDEX(HTAway!$B:$B,MATCH(A29,HTAway!$A:$A,0)),"-")</f>
        <v>10</v>
      </c>
      <c r="C29" s="64">
        <f>IFERROR(INDEX(OGSAway!$D:$D,MATCH(A29,OGSAway!$A:$A,0)),"-")</f>
        <v>36</v>
      </c>
      <c r="D29" s="64">
        <f>IFERROR(INDEX(OGSAway!$E:$E,MATCH(A29,OGSAway!$A:$A,0)),"-")</f>
        <v>2</v>
      </c>
      <c r="E29" s="64">
        <f>IFERROR(INDEX(OGSAway!$F:$F,MATCH(A29,OGSAway!$A:$A,0)),"-")</f>
        <v>0</v>
      </c>
      <c r="F29" s="65">
        <f>IFERROR(INDEX(HTAway!$C:$C,MATCH(A29,HTAway!$A:$A,0)),"-")</f>
        <v>2</v>
      </c>
      <c r="G29" s="65">
        <f>IFERROR(INDEX(HTAway!$E:$E,MATCH(A29,HTAway!$A:$A,0)),"-")</f>
        <v>4</v>
      </c>
      <c r="H29" s="65">
        <f>IFERROR(INDEX(HTAway!$D:$D,MATCH(A29,HTAway!$A:$A,0)),"-")</f>
        <v>4</v>
      </c>
      <c r="I29" s="65">
        <f t="shared" si="0"/>
        <v>38</v>
      </c>
      <c r="J29" s="65">
        <f>IFERROR(INDEX(OGCAway!$Q:$Q,MATCH(A29,OGCAway!$A:$A,0)),"-")</f>
        <v>5</v>
      </c>
      <c r="K29" s="67">
        <f t="shared" si="1"/>
        <v>3.8</v>
      </c>
      <c r="L29" s="67">
        <f>IFERROR(INDEX('HT(Home) %'!$K:$K,MATCH(A29,'HT(Home) %'!$A:$A,0)),"-")</f>
        <v>3.5555555555555554</v>
      </c>
      <c r="M29" s="67">
        <f t="shared" si="2"/>
        <v>3.1</v>
      </c>
      <c r="N29" s="67">
        <f>AVERAGE(IFERROR(INDEX('HT(Home) %'!$M:$M,MATCH(A29,'HT(Home) %'!$A:$A,0)),"-"),M29)</f>
        <v>3.161111111111111</v>
      </c>
    </row>
    <row r="30" spans="1:14" s="23" customFormat="1" ht="16.5" thickTop="1" thickBot="1" x14ac:dyDescent="0.3">
      <c r="A30" s="69" t="s">
        <v>291</v>
      </c>
      <c r="B30" s="64">
        <f>IFERROR(INDEX(HTAway!$B:$B,MATCH(A30,HTAway!$A:$A,0)),"-")</f>
        <v>9</v>
      </c>
      <c r="C30" s="64">
        <f>IFERROR(INDEX(OGSAway!$D:$D,MATCH(A30,OGSAway!$A:$A,0)),"-")</f>
        <v>37</v>
      </c>
      <c r="D30" s="64">
        <f>IFERROR(INDEX(OGSAway!$E:$E,MATCH(A30,OGSAway!$A:$A,0)),"-")</f>
        <v>1</v>
      </c>
      <c r="E30" s="64">
        <f>IFERROR(INDEX(OGSAway!$F:$F,MATCH(A30,OGSAway!$A:$A,0)),"-")</f>
        <v>1</v>
      </c>
      <c r="F30" s="65">
        <f>IFERROR(INDEX(HTAway!$C:$C,MATCH(A30,HTAway!$A:$A,0)),"-")</f>
        <v>3</v>
      </c>
      <c r="G30" s="65">
        <f>IFERROR(INDEX(HTAway!$E:$E,MATCH(A30,HTAway!$A:$A,0)),"-")</f>
        <v>4</v>
      </c>
      <c r="H30" s="65">
        <f>IFERROR(INDEX(HTAway!$D:$D,MATCH(A30,HTAway!$A:$A,0)),"-")</f>
        <v>2</v>
      </c>
      <c r="I30" s="65">
        <f t="shared" si="0"/>
        <v>39</v>
      </c>
      <c r="J30" s="65">
        <f>IFERROR(INDEX(OGCAway!$Q:$Q,MATCH(A30,OGCAway!$A:$A,0)),"-")</f>
        <v>4</v>
      </c>
      <c r="K30" s="67">
        <f t="shared" si="1"/>
        <v>4.333333333333333</v>
      </c>
      <c r="L30" s="67">
        <f>IFERROR(INDEX('HT(Home) %'!$K:$K,MATCH(A30,'HT(Home) %'!$A:$A,0)),"-")</f>
        <v>3.1</v>
      </c>
      <c r="M30" s="67">
        <f t="shared" si="2"/>
        <v>3.7777777777777768</v>
      </c>
      <c r="N30" s="67">
        <f>AVERAGE(IFERROR(INDEX('HT(Home) %'!$M:$M,MATCH(A30,'HT(Home) %'!$A:$A,0)),"-"),M30)</f>
        <v>3.4388888888888882</v>
      </c>
    </row>
    <row r="31" spans="1:14" s="23" customFormat="1" ht="16.5" thickTop="1" thickBot="1" x14ac:dyDescent="0.3">
      <c r="A31" s="70" t="s">
        <v>307</v>
      </c>
      <c r="B31" s="64">
        <f>IFERROR(INDEX(HTAway!$B:$B,MATCH(A31,HTAway!$A:$A,0)),"-")</f>
        <v>10</v>
      </c>
      <c r="C31" s="64">
        <f>IFERROR(INDEX(OGSAway!$D:$D,MATCH(A31,OGSAway!$A:$A,0)),"-")</f>
        <v>17</v>
      </c>
      <c r="D31" s="64">
        <f>IFERROR(INDEX(OGSAway!$E:$E,MATCH(A31,OGSAway!$A:$A,0)),"-")</f>
        <v>1</v>
      </c>
      <c r="E31" s="64">
        <f>IFERROR(INDEX(OGSAway!$F:$F,MATCH(A31,OGSAway!$A:$A,0)),"-")</f>
        <v>1</v>
      </c>
      <c r="F31" s="65">
        <f>IFERROR(INDEX(HTAway!$C:$C,MATCH(A31,HTAway!$A:$A,0)),"-")</f>
        <v>1</v>
      </c>
      <c r="G31" s="65">
        <f>IFERROR(INDEX(HTAway!$E:$E,MATCH(A31,HTAway!$A:$A,0)),"-")</f>
        <v>7</v>
      </c>
      <c r="H31" s="65">
        <f>IFERROR(INDEX(HTAway!$D:$D,MATCH(A31,HTAway!$A:$A,0)),"-")</f>
        <v>2</v>
      </c>
      <c r="I31" s="65">
        <f t="shared" si="0"/>
        <v>19</v>
      </c>
      <c r="J31" s="65">
        <f>IFERROR(INDEX(OGCAway!$Q:$Q,MATCH(A31,OGCAway!$A:$A,0)),"-")</f>
        <v>6</v>
      </c>
      <c r="K31" s="67">
        <f t="shared" si="1"/>
        <v>1.9</v>
      </c>
      <c r="L31" s="67">
        <f>IFERROR(INDEX('HT(Home) %'!$K:$K,MATCH(A31,'HT(Home) %'!$A:$A,0)),"-")</f>
        <v>8.1111111111111107</v>
      </c>
      <c r="M31" s="67">
        <f t="shared" si="2"/>
        <v>0.7</v>
      </c>
      <c r="N31" s="67">
        <f>AVERAGE(IFERROR(INDEX('HT(Home) %'!$M:$M,MATCH(A31,'HT(Home) %'!$A:$A,0)),"-"),M31)</f>
        <v>4.2388888888888889</v>
      </c>
    </row>
    <row r="32" spans="1:14" s="23" customFormat="1" ht="16.5" thickTop="1" thickBot="1" x14ac:dyDescent="0.3">
      <c r="A32" s="69" t="s">
        <v>310</v>
      </c>
      <c r="B32" s="64">
        <f>IFERROR(INDEX(HTAway!$B:$B,MATCH(A32,HTAway!$A:$A,0)),"-")</f>
        <v>9</v>
      </c>
      <c r="C32" s="64">
        <f>IFERROR(INDEX(OGSAway!$D:$D,MATCH(A32,OGSAway!$A:$A,0)),"-")</f>
        <v>29</v>
      </c>
      <c r="D32" s="64">
        <f>IFERROR(INDEX(OGSAway!$E:$E,MATCH(A32,OGSAway!$A:$A,0)),"-")</f>
        <v>2</v>
      </c>
      <c r="E32" s="64">
        <f>IFERROR(INDEX(OGSAway!$F:$F,MATCH(A32,OGSAway!$A:$A,0)),"-")</f>
        <v>1</v>
      </c>
      <c r="F32" s="65">
        <f>IFERROR(INDEX(HTAway!$C:$C,MATCH(A32,HTAway!$A:$A,0)),"-")</f>
        <v>3</v>
      </c>
      <c r="G32" s="65">
        <f>IFERROR(INDEX(HTAway!$E:$E,MATCH(A32,HTAway!$A:$A,0)),"-")</f>
        <v>1</v>
      </c>
      <c r="H32" s="65">
        <f>IFERROR(INDEX(HTAway!$D:$D,MATCH(A32,HTAway!$A:$A,0)),"-")</f>
        <v>5</v>
      </c>
      <c r="I32" s="65">
        <f t="shared" si="0"/>
        <v>32</v>
      </c>
      <c r="J32" s="65">
        <f>IFERROR(INDEX(OGCAway!$Q:$Q,MATCH(A32,OGCAway!$A:$A,0)),"-")</f>
        <v>1</v>
      </c>
      <c r="K32" s="67">
        <f t="shared" si="1"/>
        <v>3.5555555555555554</v>
      </c>
      <c r="L32" s="67">
        <f>IFERROR(INDEX('HT(Home) %'!$K:$K,MATCH(A32,'HT(Home) %'!$A:$A,0)),"-")</f>
        <v>3.5</v>
      </c>
      <c r="M32" s="67">
        <f t="shared" si="2"/>
        <v>3.6666666666666665</v>
      </c>
      <c r="N32" s="67">
        <f>AVERAGE(IFERROR(INDEX('HT(Home) %'!$M:$M,MATCH(A32,'HT(Home) %'!$A:$A,0)),"-"),M32)</f>
        <v>3.3333333333333335</v>
      </c>
    </row>
    <row r="33" spans="1:14" s="23" customFormat="1" ht="16.5" thickTop="1" thickBot="1" x14ac:dyDescent="0.3">
      <c r="A33" s="70" t="s">
        <v>292</v>
      </c>
      <c r="B33" s="64">
        <f>IFERROR(INDEX(HTAway!$B:$B,MATCH(A33,HTAway!$A:$A,0)),"-")</f>
        <v>9</v>
      </c>
      <c r="C33" s="64">
        <f>IFERROR(INDEX(OGSAway!$D:$D,MATCH(A33,OGSAway!$A:$A,0)),"-")</f>
        <v>45</v>
      </c>
      <c r="D33" s="64">
        <f>IFERROR(INDEX(OGSAway!$E:$E,MATCH(A33,OGSAway!$A:$A,0)),"-")</f>
        <v>0</v>
      </c>
      <c r="E33" s="64">
        <f>IFERROR(INDEX(OGSAway!$F:$F,MATCH(A33,OGSAway!$A:$A,0)),"-")</f>
        <v>0</v>
      </c>
      <c r="F33" s="65">
        <f>IFERROR(INDEX(HTAway!$C:$C,MATCH(A33,HTAway!$A:$A,0)),"-")</f>
        <v>1</v>
      </c>
      <c r="G33" s="65">
        <f>IFERROR(INDEX(HTAway!$E:$E,MATCH(A33,HTAway!$A:$A,0)),"-")</f>
        <v>4</v>
      </c>
      <c r="H33" s="65">
        <f>IFERROR(INDEX(HTAway!$D:$D,MATCH(A33,HTAway!$A:$A,0)),"-")</f>
        <v>4</v>
      </c>
      <c r="I33" s="65">
        <f t="shared" si="0"/>
        <v>45</v>
      </c>
      <c r="J33" s="65">
        <f>IFERROR(INDEX(OGCAway!$Q:$Q,MATCH(A33,OGCAway!$A:$A,0)),"-")</f>
        <v>5</v>
      </c>
      <c r="K33" s="67">
        <f t="shared" si="1"/>
        <v>5</v>
      </c>
      <c r="L33" s="67">
        <f>IFERROR(INDEX('HT(Home) %'!$K:$K,MATCH(A33,'HT(Home) %'!$A:$A,0)),"-")</f>
        <v>3.6</v>
      </c>
      <c r="M33" s="67">
        <f t="shared" si="2"/>
        <v>4.1111111111111107</v>
      </c>
      <c r="N33" s="67">
        <f>AVERAGE(IFERROR(INDEX('HT(Home) %'!$M:$M,MATCH(A33,'HT(Home) %'!$A:$A,0)),"-"),M33)</f>
        <v>3.8055555555555554</v>
      </c>
    </row>
    <row r="34" spans="1:14" s="23" customFormat="1" ht="16.5" thickTop="1" thickBot="1" x14ac:dyDescent="0.3">
      <c r="A34" s="69" t="s">
        <v>294</v>
      </c>
      <c r="B34" s="64">
        <f>IFERROR(INDEX(HTAway!$B:$B,MATCH(A34,HTAway!$A:$A,0)),"-")</f>
        <v>10</v>
      </c>
      <c r="C34" s="64">
        <f>IFERROR(INDEX(OGSAway!$D:$D,MATCH(A34,OGSAway!$A:$A,0)),"-")</f>
        <v>26</v>
      </c>
      <c r="D34" s="64">
        <f>IFERROR(INDEX(OGSAway!$E:$E,MATCH(A34,OGSAway!$A:$A,0)),"-")</f>
        <v>1</v>
      </c>
      <c r="E34" s="64">
        <f>IFERROR(INDEX(OGSAway!$F:$F,MATCH(A34,OGSAway!$A:$A,0)),"-")</f>
        <v>3</v>
      </c>
      <c r="F34" s="65">
        <f>IFERROR(INDEX(HTAway!$C:$C,MATCH(A34,HTAway!$A:$A,0)),"-")</f>
        <v>5</v>
      </c>
      <c r="G34" s="65">
        <f>IFERROR(INDEX(HTAway!$E:$E,MATCH(A34,HTAway!$A:$A,0)),"-")</f>
        <v>0</v>
      </c>
      <c r="H34" s="65">
        <f>IFERROR(INDEX(HTAway!$D:$D,MATCH(A34,HTAway!$A:$A,0)),"-")</f>
        <v>5</v>
      </c>
      <c r="I34" s="65">
        <f t="shared" si="0"/>
        <v>30</v>
      </c>
      <c r="J34" s="65">
        <f>IFERROR(INDEX(OGCAway!$Q:$Q,MATCH(A34,OGCAway!$A:$A,0)),"-")</f>
        <v>0</v>
      </c>
      <c r="K34" s="67">
        <f t="shared" si="1"/>
        <v>3</v>
      </c>
      <c r="L34" s="67">
        <f>IFERROR(INDEX('HT(Home) %'!$K:$K,MATCH(A34,'HT(Home) %'!$A:$A,0)),"-")</f>
        <v>3.5555555555555554</v>
      </c>
      <c r="M34" s="67">
        <f t="shared" si="2"/>
        <v>3.5</v>
      </c>
      <c r="N34" s="67">
        <f>AVERAGE(IFERROR(INDEX('HT(Home) %'!$M:$M,MATCH(A34,'HT(Home) %'!$A:$A,0)),"-"),M34)</f>
        <v>3.583333333333333</v>
      </c>
    </row>
    <row r="35" spans="1:14" s="23" customFormat="1" ht="16.5" thickTop="1" thickBot="1" x14ac:dyDescent="0.3">
      <c r="A35" s="70" t="s">
        <v>306</v>
      </c>
      <c r="B35" s="64">
        <f>IFERROR(INDEX(HTAway!$B:$B,MATCH(A35,HTAway!$A:$A,0)),"-")</f>
        <v>9</v>
      </c>
      <c r="C35" s="64">
        <f>IFERROR(INDEX(OGSAway!$D:$D,MATCH(A35,OGSAway!$A:$A,0)),"-")</f>
        <v>43</v>
      </c>
      <c r="D35" s="64">
        <f>IFERROR(INDEX(OGSAway!$E:$E,MATCH(A35,OGSAway!$A:$A,0)),"-")</f>
        <v>1</v>
      </c>
      <c r="E35" s="64">
        <f>IFERROR(INDEX(OGSAway!$F:$F,MATCH(A35,OGSAway!$A:$A,0)),"-")</f>
        <v>1</v>
      </c>
      <c r="F35" s="65">
        <f>IFERROR(INDEX(HTAway!$C:$C,MATCH(A35,HTAway!$A:$A,0)),"-")</f>
        <v>1</v>
      </c>
      <c r="G35" s="65">
        <f>IFERROR(INDEX(HTAway!$E:$E,MATCH(A35,HTAway!$A:$A,0)),"-")</f>
        <v>2</v>
      </c>
      <c r="H35" s="65">
        <f>IFERROR(INDEX(HTAway!$D:$D,MATCH(A35,HTAway!$A:$A,0)),"-")</f>
        <v>6</v>
      </c>
      <c r="I35" s="65">
        <f t="shared" si="0"/>
        <v>45</v>
      </c>
      <c r="J35" s="65">
        <f>IFERROR(INDEX(OGCAway!$Q:$Q,MATCH(A35,OGCAway!$A:$A,0)),"-")</f>
        <v>2</v>
      </c>
      <c r="K35" s="67">
        <f t="shared" si="1"/>
        <v>5</v>
      </c>
      <c r="L35" s="67">
        <f>IFERROR(INDEX('HT(Home) %'!$K:$K,MATCH(A35,'HT(Home) %'!$A:$A,0)),"-")</f>
        <v>3.3</v>
      </c>
      <c r="M35" s="67">
        <f t="shared" si="2"/>
        <v>4.6666666666666661</v>
      </c>
      <c r="N35" s="67">
        <f>AVERAGE(IFERROR(INDEX('HT(Home) %'!$M:$M,MATCH(A35,'HT(Home) %'!$A:$A,0)),"-"),M35)</f>
        <v>3.9833333333333325</v>
      </c>
    </row>
    <row r="36" spans="1:14" s="23" customFormat="1" ht="16.5" thickTop="1" thickBot="1" x14ac:dyDescent="0.3">
      <c r="A36" s="69" t="s">
        <v>299</v>
      </c>
      <c r="B36" s="64">
        <f>IFERROR(INDEX(HTAway!$B:$B,MATCH(A36,HTAway!$A:$A,0)),"-")</f>
        <v>9</v>
      </c>
      <c r="C36" s="64">
        <f>IFERROR(INDEX(OGSAway!$D:$D,MATCH(A36,OGSAway!$A:$A,0)),"-")</f>
        <v>40</v>
      </c>
      <c r="D36" s="64">
        <f>IFERROR(INDEX(OGSAway!$E:$E,MATCH(A36,OGSAway!$A:$A,0)),"-")</f>
        <v>0</v>
      </c>
      <c r="E36" s="64">
        <f>IFERROR(INDEX(OGSAway!$F:$F,MATCH(A36,OGSAway!$A:$A,0)),"-")</f>
        <v>0</v>
      </c>
      <c r="F36" s="65">
        <f>IFERROR(INDEX(HTAway!$C:$C,MATCH(A36,HTAway!$A:$A,0)),"-")</f>
        <v>0</v>
      </c>
      <c r="G36" s="65">
        <f>IFERROR(INDEX(HTAway!$E:$E,MATCH(A36,HTAway!$A:$A,0)),"-")</f>
        <v>5</v>
      </c>
      <c r="H36" s="65">
        <f>IFERROR(INDEX(HTAway!$D:$D,MATCH(A36,HTAway!$A:$A,0)),"-")</f>
        <v>4</v>
      </c>
      <c r="I36" s="65">
        <f t="shared" si="0"/>
        <v>40</v>
      </c>
      <c r="J36" s="65">
        <f>IFERROR(INDEX(OGCAway!$Q:$Q,MATCH(A36,OGCAway!$A:$A,0)),"-")</f>
        <v>6</v>
      </c>
      <c r="K36" s="67">
        <f t="shared" si="1"/>
        <v>4.4444444444444446</v>
      </c>
      <c r="L36" s="67">
        <f>IFERROR(INDEX('HT(Home) %'!$K:$K,MATCH(A36,'HT(Home) %'!$A:$A,0)),"-")</f>
        <v>2.9</v>
      </c>
      <c r="M36" s="67">
        <f t="shared" si="2"/>
        <v>3.2222222222222223</v>
      </c>
      <c r="N36" s="67">
        <f>AVERAGE(IFERROR(INDEX('HT(Home) %'!$M:$M,MATCH(A36,'HT(Home) %'!$A:$A,0)),"-"),M36)</f>
        <v>3.0611111111111109</v>
      </c>
    </row>
    <row r="37" spans="1:14" s="23" customFormat="1" ht="16.5" thickTop="1" thickBot="1" x14ac:dyDescent="0.3">
      <c r="A37" s="70" t="s">
        <v>300</v>
      </c>
      <c r="B37" s="64">
        <f>IFERROR(INDEX(HTAway!$B:$B,MATCH(A37,HTAway!$A:$A,0)),"-")</f>
        <v>10</v>
      </c>
      <c r="C37" s="64">
        <f>IFERROR(INDEX(OGSAway!$D:$D,MATCH(A37,OGSAway!$A:$A,0)),"-")</f>
        <v>30</v>
      </c>
      <c r="D37" s="64">
        <f>IFERROR(INDEX(OGSAway!$E:$E,MATCH(A37,OGSAway!$A:$A,0)),"-")</f>
        <v>1</v>
      </c>
      <c r="E37" s="64">
        <f>IFERROR(INDEX(OGSAway!$F:$F,MATCH(A37,OGSAway!$A:$A,0)),"-")</f>
        <v>1</v>
      </c>
      <c r="F37" s="65">
        <f>IFERROR(INDEX(HTAway!$C:$C,MATCH(A37,HTAway!$A:$A,0)),"-")</f>
        <v>3</v>
      </c>
      <c r="G37" s="65">
        <f>IFERROR(INDEX(HTAway!$E:$E,MATCH(A37,HTAway!$A:$A,0)),"-")</f>
        <v>3</v>
      </c>
      <c r="H37" s="65">
        <f>IFERROR(INDEX(HTAway!$D:$D,MATCH(A37,HTAway!$A:$A,0)),"-")</f>
        <v>4</v>
      </c>
      <c r="I37" s="65">
        <f t="shared" si="0"/>
        <v>32</v>
      </c>
      <c r="J37" s="65">
        <f>IFERROR(INDEX(OGCAway!$Q:$Q,MATCH(A37,OGCAway!$A:$A,0)),"-")</f>
        <v>4</v>
      </c>
      <c r="K37" s="67">
        <f t="shared" si="1"/>
        <v>3.2</v>
      </c>
      <c r="L37" s="67">
        <f>IFERROR(INDEX('HT(Home) %'!$K:$K,MATCH(A37,'HT(Home) %'!$A:$A,0)),"-")</f>
        <v>5.4444444444444446</v>
      </c>
      <c r="M37" s="67">
        <f t="shared" si="2"/>
        <v>2.8000000000000003</v>
      </c>
      <c r="N37" s="67">
        <f>AVERAGE(IFERROR(INDEX('HT(Home) %'!$M:$M,MATCH(A37,'HT(Home) %'!$A:$A,0)),"-"),M37)</f>
        <v>3.9555555555555557</v>
      </c>
    </row>
    <row r="38" spans="1:14" s="23" customFormat="1" ht="16.5" thickTop="1" thickBot="1" x14ac:dyDescent="0.3">
      <c r="A38" s="69" t="s">
        <v>305</v>
      </c>
      <c r="B38" s="64">
        <f>IFERROR(INDEX(HTAway!$B:$B,MATCH(A38,HTAway!$A:$A,0)),"-")</f>
        <v>10</v>
      </c>
      <c r="C38" s="64">
        <f>IFERROR(INDEX(OGSAway!$D:$D,MATCH(A38,OGSAway!$A:$A,0)),"-")</f>
        <v>24</v>
      </c>
      <c r="D38" s="64">
        <f>IFERROR(INDEX(OGSAway!$E:$E,MATCH(A38,OGSAway!$A:$A,0)),"-")</f>
        <v>1</v>
      </c>
      <c r="E38" s="64">
        <f>IFERROR(INDEX(OGSAway!$F:$F,MATCH(A38,OGSAway!$A:$A,0)),"-")</f>
        <v>1</v>
      </c>
      <c r="F38" s="65">
        <f>IFERROR(INDEX(HTAway!$C:$C,MATCH(A38,HTAway!$A:$A,0)),"-")</f>
        <v>2</v>
      </c>
      <c r="G38" s="65">
        <f>IFERROR(INDEX(HTAway!$E:$E,MATCH(A38,HTAway!$A:$A,0)),"-")</f>
        <v>3</v>
      </c>
      <c r="H38" s="65">
        <f>IFERROR(INDEX(HTAway!$D:$D,MATCH(A38,HTAway!$A:$A,0)),"-")</f>
        <v>5</v>
      </c>
      <c r="I38" s="65">
        <f t="shared" si="0"/>
        <v>26</v>
      </c>
      <c r="J38" s="65">
        <f>IFERROR(INDEX(OGCAway!$Q:$Q,MATCH(A38,OGCAway!$A:$A,0)),"-")</f>
        <v>3</v>
      </c>
      <c r="K38" s="67">
        <f t="shared" si="1"/>
        <v>2.6</v>
      </c>
      <c r="L38" s="67">
        <f>IFERROR(INDEX('HT(Home) %'!$K:$K,MATCH(A38,'HT(Home) %'!$A:$A,0)),"-")</f>
        <v>5.7777777777777777</v>
      </c>
      <c r="M38" s="67">
        <f t="shared" si="2"/>
        <v>2.2000000000000006</v>
      </c>
      <c r="N38" s="67">
        <f>AVERAGE(IFERROR(INDEX('HT(Home) %'!$M:$M,MATCH(A38,'HT(Home) %'!$A:$A,0)),"-"),M38)</f>
        <v>3.7666666666666675</v>
      </c>
    </row>
    <row r="39" spans="1:14" s="23" customFormat="1" ht="16.5" thickTop="1" thickBot="1" x14ac:dyDescent="0.3">
      <c r="A39" s="70" t="s">
        <v>293</v>
      </c>
      <c r="B39" s="64">
        <f>IFERROR(INDEX(HTAway!$B:$B,MATCH(A39,HTAway!$A:$A,0)),"-")</f>
        <v>9</v>
      </c>
      <c r="C39" s="64">
        <f>IFERROR(INDEX(OGSAway!$D:$D,MATCH(A39,OGSAway!$A:$A,0)),"-")</f>
        <v>41</v>
      </c>
      <c r="D39" s="64">
        <f>IFERROR(INDEX(OGSAway!$E:$E,MATCH(A39,OGSAway!$A:$A,0)),"-")</f>
        <v>0</v>
      </c>
      <c r="E39" s="64">
        <f>IFERROR(INDEX(OGSAway!$F:$F,MATCH(A39,OGSAway!$A:$A,0)),"-")</f>
        <v>1</v>
      </c>
      <c r="F39" s="65">
        <f>IFERROR(INDEX(HTAway!$C:$C,MATCH(A39,HTAway!$A:$A,0)),"-")</f>
        <v>4</v>
      </c>
      <c r="G39" s="65">
        <f>IFERROR(INDEX(HTAway!$E:$E,MATCH(A39,HTAway!$A:$A,0)),"-")</f>
        <v>0</v>
      </c>
      <c r="H39" s="65">
        <f>IFERROR(INDEX(HTAway!$D:$D,MATCH(A39,HTAway!$A:$A,0)),"-")</f>
        <v>5</v>
      </c>
      <c r="I39" s="65">
        <f t="shared" si="0"/>
        <v>42</v>
      </c>
      <c r="J39" s="65">
        <f>IFERROR(INDEX(OGCAway!$Q:$Q,MATCH(A39,OGCAway!$A:$A,0)),"-")</f>
        <v>0</v>
      </c>
      <c r="K39" s="67">
        <f t="shared" si="1"/>
        <v>4.666666666666667</v>
      </c>
      <c r="L39" s="67">
        <f>IFERROR(INDEX('HT(Home) %'!$K:$K,MATCH(A39,'HT(Home) %'!$A:$A,0)),"-")</f>
        <v>4.0999999999999996</v>
      </c>
      <c r="M39" s="67">
        <f t="shared" si="2"/>
        <v>5.1111111111111116</v>
      </c>
      <c r="N39" s="67">
        <f>AVERAGE(IFERROR(INDEX('HT(Home) %'!$M:$M,MATCH(A39,'HT(Home) %'!$A:$A,0)),"-"),M39)</f>
        <v>4.5555555555555554</v>
      </c>
    </row>
    <row r="40" spans="1:14" s="23" customFormat="1" ht="16.5" thickTop="1" thickBot="1" x14ac:dyDescent="0.3">
      <c r="A40" s="69" t="s">
        <v>296</v>
      </c>
      <c r="B40" s="64">
        <f>IFERROR(INDEX(HTAway!$B:$B,MATCH(A40,HTAway!$A:$A,0)),"-")</f>
        <v>10</v>
      </c>
      <c r="C40" s="64">
        <f>IFERROR(INDEX(OGSAway!$D:$D,MATCH(A40,OGSAway!$A:$A,0)),"-")</f>
        <v>29</v>
      </c>
      <c r="D40" s="64">
        <f>IFERROR(INDEX(OGSAway!$E:$E,MATCH(A40,OGSAway!$A:$A,0)),"-")</f>
        <v>1</v>
      </c>
      <c r="E40" s="64">
        <f>IFERROR(INDEX(OGSAway!$F:$F,MATCH(A40,OGSAway!$A:$A,0)),"-")</f>
        <v>0</v>
      </c>
      <c r="F40" s="65">
        <f>IFERROR(INDEX(HTAway!$C:$C,MATCH(A40,HTAway!$A:$A,0)),"-")</f>
        <v>2</v>
      </c>
      <c r="G40" s="65">
        <f>IFERROR(INDEX(HTAway!$E:$E,MATCH(A40,HTAway!$A:$A,0)),"-")</f>
        <v>1</v>
      </c>
      <c r="H40" s="65">
        <f>IFERROR(INDEX(HTAway!$D:$D,MATCH(A40,HTAway!$A:$A,0)),"-")</f>
        <v>7</v>
      </c>
      <c r="I40" s="65">
        <f t="shared" si="0"/>
        <v>30</v>
      </c>
      <c r="J40" s="65">
        <f>IFERROR(INDEX(OGCAway!$Q:$Q,MATCH(A40,OGCAway!$A:$A,0)),"-")</f>
        <v>2</v>
      </c>
      <c r="K40" s="67">
        <f t="shared" si="1"/>
        <v>3</v>
      </c>
      <c r="L40" s="67">
        <f>IFERROR(INDEX('HT(Home) %'!$K:$K,MATCH(A40,'HT(Home) %'!$A:$A,0)),"-")</f>
        <v>3.6666666666666665</v>
      </c>
      <c r="M40" s="67">
        <f t="shared" si="2"/>
        <v>2.9</v>
      </c>
      <c r="N40" s="67">
        <f>AVERAGE(IFERROR(INDEX('HT(Home) %'!$M:$M,MATCH(A40,'HT(Home) %'!$A:$A,0)),"-"),M40)</f>
        <v>3.3944444444444444</v>
      </c>
    </row>
    <row r="41" spans="1:14" s="23" customFormat="1" ht="16.5" thickTop="1" thickBot="1" x14ac:dyDescent="0.3">
      <c r="A41" s="70" t="s">
        <v>295</v>
      </c>
      <c r="B41" s="64">
        <f>IFERROR(INDEX(HTAway!$B:$B,MATCH(A41,HTAway!$A:$A,0)),"-")</f>
        <v>9</v>
      </c>
      <c r="C41" s="64">
        <f>IFERROR(INDEX(OGSAway!$D:$D,MATCH(A41,OGSAway!$A:$A,0)),"-")</f>
        <v>40</v>
      </c>
      <c r="D41" s="64">
        <f>IFERROR(INDEX(OGSAway!$E:$E,MATCH(A41,OGSAway!$A:$A,0)),"-")</f>
        <v>2</v>
      </c>
      <c r="E41" s="64">
        <f>IFERROR(INDEX(OGSAway!$F:$F,MATCH(A41,OGSAway!$A:$A,0)),"-")</f>
        <v>0</v>
      </c>
      <c r="F41" s="65">
        <f>IFERROR(INDEX(HTAway!$C:$C,MATCH(A41,HTAway!$A:$A,0)),"-")</f>
        <v>2</v>
      </c>
      <c r="G41" s="65">
        <f>IFERROR(INDEX(HTAway!$E:$E,MATCH(A41,HTAway!$A:$A,0)),"-")</f>
        <v>1</v>
      </c>
      <c r="H41" s="65">
        <f>IFERROR(INDEX(HTAway!$D:$D,MATCH(A41,HTAway!$A:$A,0)),"-")</f>
        <v>6</v>
      </c>
      <c r="I41" s="65">
        <f t="shared" si="0"/>
        <v>42</v>
      </c>
      <c r="J41" s="65">
        <f>IFERROR(INDEX(OGCAway!$Q:$Q,MATCH(A41,OGCAway!$A:$A,0)),"-")</f>
        <v>2</v>
      </c>
      <c r="K41" s="67">
        <f t="shared" si="1"/>
        <v>4.666666666666667</v>
      </c>
      <c r="L41" s="67">
        <f>IFERROR(INDEX('HT(Home) %'!$K:$K,MATCH(A41,'HT(Home) %'!$A:$A,0)),"-")</f>
        <v>4.333333333333333</v>
      </c>
      <c r="M41" s="67">
        <f t="shared" si="2"/>
        <v>4.5555555555555562</v>
      </c>
      <c r="N41" s="67">
        <f>AVERAGE(IFERROR(INDEX('HT(Home) %'!$M:$M,MATCH(A41,'HT(Home) %'!$A:$A,0)),"-"),M41)</f>
        <v>4.3888888888888893</v>
      </c>
    </row>
    <row r="42" spans="1:14" s="23" customFormat="1" ht="16.5" thickTop="1" thickBot="1" x14ac:dyDescent="0.3">
      <c r="A42" s="69" t="s">
        <v>297</v>
      </c>
      <c r="B42" s="64">
        <f>IFERROR(INDEX(HTAway!$B:$B,MATCH(A42,HTAway!$A:$A,0)),"-")</f>
        <v>9</v>
      </c>
      <c r="C42" s="64">
        <f>IFERROR(INDEX(OGSAway!$D:$D,MATCH(A42,OGSAway!$A:$A,0)),"-")</f>
        <v>50</v>
      </c>
      <c r="D42" s="64">
        <f>IFERROR(INDEX(OGSAway!$E:$E,MATCH(A42,OGSAway!$A:$A,0)),"-")</f>
        <v>0</v>
      </c>
      <c r="E42" s="64">
        <f>IFERROR(INDEX(OGSAway!$F:$F,MATCH(A42,OGSAway!$A:$A,0)),"-")</f>
        <v>2</v>
      </c>
      <c r="F42" s="65">
        <f>IFERROR(INDEX(HTAway!$C:$C,MATCH(A42,HTAway!$A:$A,0)),"-")</f>
        <v>2</v>
      </c>
      <c r="G42" s="65">
        <f>IFERROR(INDEX(HTAway!$E:$E,MATCH(A42,HTAway!$A:$A,0)),"-")</f>
        <v>5</v>
      </c>
      <c r="H42" s="65">
        <f>IFERROR(INDEX(HTAway!$D:$D,MATCH(A42,HTAway!$A:$A,0)),"-")</f>
        <v>2</v>
      </c>
      <c r="I42" s="65">
        <f t="shared" ref="I42:I43" si="3">SUM(C42:E42)</f>
        <v>52</v>
      </c>
      <c r="J42" s="65">
        <f>IFERROR(INDEX(OGCAway!$Q:$Q,MATCH(A42,OGCAway!$A:$A,0)),"-")</f>
        <v>5</v>
      </c>
      <c r="K42" s="67">
        <f t="shared" ref="K42:K43" si="4">I42/B42</f>
        <v>5.7777777777777777</v>
      </c>
      <c r="L42" s="67">
        <f>IFERROR(INDEX('HT(Home) %'!$K:$K,MATCH(A42,'HT(Home) %'!$A:$A,0)),"-")</f>
        <v>4</v>
      </c>
      <c r="M42" s="67">
        <f t="shared" ref="M42:M43" si="5">(I42/B42)-(J42/B42)+(F42/B42)-(G42/B42)</f>
        <v>4.8888888888888893</v>
      </c>
      <c r="N42" s="67">
        <f>AVERAGE(IFERROR(INDEX('HT(Home) %'!$M:$M,MATCH(A42,'HT(Home) %'!$A:$A,0)),"-"),M42)</f>
        <v>4.4944444444444445</v>
      </c>
    </row>
    <row r="43" spans="1:14" s="23" customFormat="1" ht="16.5" thickTop="1" thickBot="1" x14ac:dyDescent="0.3">
      <c r="A43" s="70" t="s">
        <v>304</v>
      </c>
      <c r="B43" s="64">
        <f>IFERROR(INDEX(HTAway!$B:$B,MATCH(A43,HTAway!$A:$A,0)),"-")</f>
        <v>10</v>
      </c>
      <c r="C43" s="64">
        <f>IFERROR(INDEX(OGSAway!$D:$D,MATCH(A43,OGSAway!$A:$A,0)),"-")</f>
        <v>32</v>
      </c>
      <c r="D43" s="64">
        <f>IFERROR(INDEX(OGSAway!$E:$E,MATCH(A43,OGSAway!$A:$A,0)),"-")</f>
        <v>1</v>
      </c>
      <c r="E43" s="64">
        <f>IFERROR(INDEX(OGSAway!$F:$F,MATCH(A43,OGSAway!$A:$A,0)),"-")</f>
        <v>1</v>
      </c>
      <c r="F43" s="65">
        <f>IFERROR(INDEX(HTAway!$C:$C,MATCH(A43,HTAway!$A:$A,0)),"-")</f>
        <v>3</v>
      </c>
      <c r="G43" s="65">
        <f>IFERROR(INDEX(HTAway!$E:$E,MATCH(A43,HTAway!$A:$A,0)),"-")</f>
        <v>2</v>
      </c>
      <c r="H43" s="65">
        <f>IFERROR(INDEX(HTAway!$D:$D,MATCH(A43,HTAway!$A:$A,0)),"-")</f>
        <v>5</v>
      </c>
      <c r="I43" s="65">
        <f t="shared" si="3"/>
        <v>34</v>
      </c>
      <c r="J43" s="65">
        <f>IFERROR(INDEX(OGCAway!$Q:$Q,MATCH(A43,OGCAway!$A:$A,0)),"-")</f>
        <v>2</v>
      </c>
      <c r="K43" s="67">
        <f t="shared" si="4"/>
        <v>3.4</v>
      </c>
      <c r="L43" s="67">
        <f>IFERROR(INDEX('HT(Home) %'!$K:$K,MATCH(A43,'HT(Home) %'!$A:$A,0)),"-")</f>
        <v>3.5555555555555554</v>
      </c>
      <c r="M43" s="67">
        <f t="shared" si="5"/>
        <v>3.2999999999999994</v>
      </c>
      <c r="N43" s="67">
        <f>AVERAGE(IFERROR(INDEX('HT(Home) %'!$M:$M,MATCH(A43,'HT(Home) %'!$A:$A,0)),"-"),M43)</f>
        <v>3.316666666666666</v>
      </c>
    </row>
    <row r="44" spans="1:14" s="23" customFormat="1" ht="15.75" thickTop="1" x14ac:dyDescent="0.25">
      <c r="A44" s="22"/>
      <c r="B44" s="22"/>
      <c r="C44" s="22"/>
      <c r="D44" s="22"/>
      <c r="E44" s="22"/>
    </row>
    <row r="45" spans="1:14" s="23" customFormat="1" x14ac:dyDescent="0.25">
      <c r="A45" s="22"/>
      <c r="B45" s="22"/>
      <c r="C45" s="22"/>
      <c r="D45" s="22"/>
      <c r="E45" s="22"/>
    </row>
    <row r="46" spans="1:14" s="23" customFormat="1" x14ac:dyDescent="0.25">
      <c r="A46" s="22"/>
      <c r="B46" s="22"/>
      <c r="C46" s="22"/>
      <c r="D46" s="22"/>
      <c r="E46" s="22"/>
    </row>
    <row r="47" spans="1:14" s="23" customFormat="1" x14ac:dyDescent="0.25">
      <c r="A47" s="22"/>
      <c r="B47" s="22"/>
      <c r="C47" s="22"/>
      <c r="D47" s="22"/>
      <c r="E47" s="22"/>
    </row>
    <row r="48" spans="1:14" s="23" customFormat="1" x14ac:dyDescent="0.25">
      <c r="A48" s="22"/>
      <c r="B48" s="22"/>
      <c r="C48" s="22"/>
      <c r="D48" s="22"/>
      <c r="E48" s="22"/>
    </row>
    <row r="49" spans="1:5" s="23" customFormat="1" x14ac:dyDescent="0.25">
      <c r="A49" s="22"/>
      <c r="B49" s="22"/>
      <c r="C49" s="22"/>
      <c r="D49" s="22"/>
      <c r="E49" s="22"/>
    </row>
    <row r="50" spans="1:5" s="23" customFormat="1" x14ac:dyDescent="0.25">
      <c r="A50" s="22"/>
      <c r="B50" s="22"/>
      <c r="C50" s="22"/>
      <c r="D50" s="22"/>
      <c r="E50" s="22"/>
    </row>
    <row r="51" spans="1:5" s="23" customFormat="1" x14ac:dyDescent="0.25">
      <c r="A51" s="22"/>
      <c r="B51" s="22"/>
      <c r="C51" s="22"/>
      <c r="D51" s="22"/>
      <c r="E51" s="22"/>
    </row>
    <row r="52" spans="1:5" s="23" customFormat="1" x14ac:dyDescent="0.25">
      <c r="A52" s="22"/>
      <c r="B52" s="22"/>
      <c r="C52" s="22"/>
      <c r="D52" s="22"/>
      <c r="E52" s="22"/>
    </row>
    <row r="53" spans="1:5" s="23" customFormat="1" x14ac:dyDescent="0.25">
      <c r="A53" s="22"/>
      <c r="B53" s="22"/>
      <c r="C53" s="22"/>
      <c r="D53" s="22"/>
      <c r="E53" s="22"/>
    </row>
    <row r="54" spans="1:5" s="23" customFormat="1" x14ac:dyDescent="0.25">
      <c r="A54" s="22"/>
      <c r="B54" s="22"/>
      <c r="C54" s="22"/>
      <c r="D54" s="22"/>
      <c r="E54" s="22"/>
    </row>
    <row r="55" spans="1:5" s="23" customFormat="1" x14ac:dyDescent="0.25">
      <c r="A55" s="22"/>
      <c r="B55" s="22"/>
      <c r="C55" s="22"/>
      <c r="D55" s="22"/>
      <c r="E55" s="22"/>
    </row>
    <row r="56" spans="1:5" s="23" customFormat="1" x14ac:dyDescent="0.25">
      <c r="A56" s="22"/>
      <c r="B56" s="22"/>
      <c r="C56" s="22"/>
      <c r="D56" s="22"/>
      <c r="E56" s="22"/>
    </row>
    <row r="57" spans="1:5" s="23" customFormat="1" x14ac:dyDescent="0.25">
      <c r="A57" s="22"/>
      <c r="B57" s="22"/>
      <c r="C57" s="22"/>
      <c r="D57" s="22"/>
      <c r="E57" s="22"/>
    </row>
    <row r="58" spans="1:5" s="23" customFormat="1" x14ac:dyDescent="0.25">
      <c r="A58" s="22"/>
      <c r="B58" s="22"/>
      <c r="C58" s="22"/>
      <c r="D58" s="22"/>
      <c r="E58" s="22"/>
    </row>
    <row r="59" spans="1:5" s="23" customFormat="1" x14ac:dyDescent="0.25">
      <c r="A59" s="22"/>
      <c r="B59" s="22"/>
      <c r="C59" s="22"/>
      <c r="D59" s="22"/>
      <c r="E59" s="22"/>
    </row>
    <row r="60" spans="1:5" s="23" customFormat="1" x14ac:dyDescent="0.25">
      <c r="A60" s="22"/>
      <c r="B60" s="22"/>
      <c r="C60" s="22"/>
      <c r="D60" s="22"/>
      <c r="E60" s="22"/>
    </row>
    <row r="61" spans="1:5" s="23" customFormat="1" x14ac:dyDescent="0.25">
      <c r="A61" s="22"/>
      <c r="B61" s="22"/>
      <c r="C61" s="22"/>
      <c r="D61" s="22"/>
      <c r="E61" s="22"/>
    </row>
    <row r="62" spans="1:5" s="23" customFormat="1" x14ac:dyDescent="0.25">
      <c r="A62" s="22"/>
      <c r="B62" s="22"/>
      <c r="C62" s="22"/>
      <c r="D62" s="22"/>
      <c r="E62" s="22"/>
    </row>
    <row r="63" spans="1:5" s="23" customFormat="1" x14ac:dyDescent="0.25">
      <c r="A63" s="22"/>
      <c r="B63" s="22"/>
      <c r="C63" s="22"/>
      <c r="D63" s="22"/>
      <c r="E63" s="22"/>
    </row>
    <row r="64" spans="1:5" s="23" customFormat="1" x14ac:dyDescent="0.25">
      <c r="A64" s="22"/>
      <c r="B64" s="22"/>
      <c r="C64" s="22"/>
      <c r="D64" s="22"/>
      <c r="E64" s="22"/>
    </row>
    <row r="65" spans="1:5" s="23" customFormat="1" x14ac:dyDescent="0.25">
      <c r="A65" s="22"/>
      <c r="B65" s="22"/>
      <c r="C65" s="22"/>
      <c r="D65" s="22"/>
      <c r="E65" s="22"/>
    </row>
    <row r="66" spans="1:5" s="23" customFormat="1" x14ac:dyDescent="0.25">
      <c r="A66" s="22"/>
      <c r="B66" s="22"/>
      <c r="C66" s="22"/>
      <c r="D66" s="22"/>
      <c r="E66" s="22"/>
    </row>
    <row r="67" spans="1:5" s="23" customFormat="1" x14ac:dyDescent="0.25">
      <c r="A67" s="22"/>
      <c r="B67" s="22"/>
      <c r="C67" s="22"/>
      <c r="D67" s="22"/>
      <c r="E67" s="22"/>
    </row>
    <row r="68" spans="1:5" s="23" customFormat="1" x14ac:dyDescent="0.25">
      <c r="A68" s="22"/>
      <c r="B68" s="22"/>
      <c r="C68" s="22"/>
      <c r="D68" s="22"/>
      <c r="E68" s="22"/>
    </row>
    <row r="69" spans="1:5" s="23" customFormat="1" x14ac:dyDescent="0.25">
      <c r="A69" s="22"/>
      <c r="B69" s="22"/>
      <c r="C69" s="22"/>
      <c r="D69" s="22"/>
      <c r="E69" s="22"/>
    </row>
    <row r="70" spans="1:5" s="23" customFormat="1" x14ac:dyDescent="0.25">
      <c r="A70" s="22"/>
      <c r="B70" s="22"/>
      <c r="C70" s="22"/>
      <c r="D70" s="22"/>
      <c r="E70" s="22"/>
    </row>
    <row r="71" spans="1:5" s="23" customFormat="1" x14ac:dyDescent="0.25">
      <c r="A71" s="22"/>
      <c r="B71" s="22"/>
      <c r="C71" s="22"/>
      <c r="D71" s="22"/>
      <c r="E71" s="22"/>
    </row>
    <row r="72" spans="1:5" s="23" customFormat="1" x14ac:dyDescent="0.25">
      <c r="A72" s="22"/>
      <c r="B72" s="22"/>
      <c r="C72" s="22"/>
      <c r="D72" s="22"/>
      <c r="E72" s="22"/>
    </row>
    <row r="73" spans="1:5" s="23" customFormat="1" x14ac:dyDescent="0.25">
      <c r="A73" s="22"/>
      <c r="B73" s="22"/>
      <c r="C73" s="22"/>
      <c r="D73" s="22"/>
      <c r="E73" s="22"/>
    </row>
    <row r="74" spans="1:5" s="23" customFormat="1" x14ac:dyDescent="0.25">
      <c r="A74" s="22"/>
      <c r="B74" s="22"/>
      <c r="C74" s="22"/>
      <c r="D74" s="22"/>
      <c r="E74" s="22"/>
    </row>
    <row r="75" spans="1:5" s="23" customFormat="1" x14ac:dyDescent="0.25">
      <c r="A75" s="22"/>
      <c r="B75" s="22"/>
      <c r="C75" s="22"/>
      <c r="D75" s="22"/>
      <c r="E75" s="22"/>
    </row>
    <row r="76" spans="1:5" s="23" customFormat="1" x14ac:dyDescent="0.25">
      <c r="A76" s="22"/>
      <c r="B76" s="22"/>
      <c r="C76" s="22"/>
      <c r="D76" s="22"/>
      <c r="E76" s="22"/>
    </row>
    <row r="77" spans="1:5" s="23" customFormat="1" x14ac:dyDescent="0.25">
      <c r="A77" s="22"/>
      <c r="B77" s="22"/>
      <c r="C77" s="22"/>
      <c r="D77" s="22"/>
      <c r="E77" s="22"/>
    </row>
    <row r="78" spans="1:5" s="23" customFormat="1" x14ac:dyDescent="0.25">
      <c r="A78" s="22"/>
      <c r="B78" s="22"/>
      <c r="C78" s="22"/>
      <c r="D78" s="22"/>
      <c r="E78" s="22"/>
    </row>
    <row r="79" spans="1:5" s="23" customFormat="1" x14ac:dyDescent="0.25">
      <c r="A79" s="22"/>
      <c r="B79" s="22"/>
      <c r="C79" s="22"/>
      <c r="D79" s="22"/>
      <c r="E79" s="22"/>
    </row>
    <row r="80" spans="1:5" s="23" customFormat="1" x14ac:dyDescent="0.25">
      <c r="A80" s="22"/>
      <c r="B80" s="22"/>
      <c r="C80" s="22"/>
      <c r="D80" s="22"/>
      <c r="E80" s="22"/>
    </row>
    <row r="81" spans="1:5" s="23" customFormat="1" x14ac:dyDescent="0.25">
      <c r="A81" s="22"/>
      <c r="B81" s="22"/>
      <c r="C81" s="22"/>
      <c r="D81" s="22"/>
      <c r="E81" s="22"/>
    </row>
    <row r="82" spans="1:5" s="23" customFormat="1" x14ac:dyDescent="0.25">
      <c r="A82" s="22"/>
      <c r="B82" s="22"/>
      <c r="C82" s="22"/>
      <c r="D82" s="22"/>
      <c r="E82" s="22"/>
    </row>
    <row r="83" spans="1:5" s="23" customFormat="1" x14ac:dyDescent="0.25">
      <c r="A83" s="22"/>
      <c r="B83" s="22"/>
      <c r="C83" s="22"/>
      <c r="D83" s="22"/>
      <c r="E83" s="22"/>
    </row>
    <row r="84" spans="1:5" s="23" customFormat="1" x14ac:dyDescent="0.25">
      <c r="A84" s="22"/>
      <c r="B84" s="22"/>
      <c r="C84" s="22"/>
      <c r="D84" s="22"/>
      <c r="E84" s="22"/>
    </row>
    <row r="85" spans="1:5" s="23" customFormat="1" x14ac:dyDescent="0.25">
      <c r="A85" s="22"/>
      <c r="B85" s="22"/>
      <c r="C85" s="22"/>
      <c r="D85" s="22"/>
      <c r="E85" s="22"/>
    </row>
    <row r="86" spans="1:5" s="23" customFormat="1" x14ac:dyDescent="0.25">
      <c r="A86" s="22"/>
      <c r="B86" s="22"/>
      <c r="C86" s="22"/>
      <c r="D86" s="22"/>
      <c r="E86" s="22"/>
    </row>
    <row r="87" spans="1:5" s="23" customFormat="1" x14ac:dyDescent="0.25">
      <c r="A87" s="22"/>
      <c r="B87" s="22"/>
      <c r="C87" s="22"/>
      <c r="D87" s="22"/>
      <c r="E87" s="22"/>
    </row>
    <row r="88" spans="1:5" s="23" customFormat="1" x14ac:dyDescent="0.25">
      <c r="A88" s="22"/>
      <c r="B88" s="22"/>
      <c r="C88" s="22"/>
      <c r="D88" s="22"/>
      <c r="E88" s="22"/>
    </row>
    <row r="89" spans="1:5" s="23" customFormat="1" x14ac:dyDescent="0.25">
      <c r="A89" s="22"/>
      <c r="B89" s="22"/>
      <c r="C89" s="22"/>
      <c r="D89" s="22"/>
      <c r="E89" s="22"/>
    </row>
    <row r="90" spans="1:5" s="23" customFormat="1" x14ac:dyDescent="0.25">
      <c r="A90" s="22"/>
      <c r="B90" s="22"/>
      <c r="C90" s="22"/>
      <c r="D90" s="22"/>
      <c r="E90" s="22"/>
    </row>
    <row r="91" spans="1:5" s="23" customFormat="1" x14ac:dyDescent="0.25">
      <c r="A91" s="22"/>
      <c r="B91" s="22"/>
      <c r="C91" s="22"/>
      <c r="D91" s="22"/>
      <c r="E91" s="22"/>
    </row>
    <row r="92" spans="1:5" s="23" customFormat="1" x14ac:dyDescent="0.25">
      <c r="A92" s="22"/>
      <c r="B92" s="22"/>
      <c r="C92" s="22"/>
      <c r="D92" s="22"/>
      <c r="E92" s="22"/>
    </row>
    <row r="93" spans="1:5" s="23" customFormat="1" x14ac:dyDescent="0.25">
      <c r="A93" s="22"/>
      <c r="B93" s="22"/>
      <c r="C93" s="22"/>
      <c r="D93" s="22"/>
      <c r="E93" s="22"/>
    </row>
    <row r="94" spans="1:5" s="23" customFormat="1" x14ac:dyDescent="0.25">
      <c r="A94" s="22"/>
      <c r="B94" s="22"/>
      <c r="C94" s="22"/>
      <c r="D94" s="22"/>
      <c r="E94" s="22"/>
    </row>
    <row r="95" spans="1:5" s="23" customFormat="1" x14ac:dyDescent="0.25">
      <c r="A95" s="22"/>
      <c r="B95" s="22"/>
      <c r="C95" s="22"/>
      <c r="D95" s="22"/>
      <c r="E95" s="22"/>
    </row>
    <row r="96" spans="1:5" s="23" customFormat="1" x14ac:dyDescent="0.25">
      <c r="A96" s="22"/>
      <c r="B96" s="22"/>
      <c r="C96" s="22"/>
      <c r="D96" s="22"/>
      <c r="E96" s="22"/>
    </row>
    <row r="97" spans="1:5" s="23" customFormat="1" x14ac:dyDescent="0.25">
      <c r="A97" s="22"/>
      <c r="B97" s="22"/>
      <c r="C97" s="22"/>
      <c r="D97" s="22"/>
      <c r="E97" s="22"/>
    </row>
    <row r="98" spans="1:5" s="23" customFormat="1" x14ac:dyDescent="0.25">
      <c r="A98" s="22"/>
      <c r="B98" s="22"/>
      <c r="C98" s="22"/>
      <c r="D98" s="22"/>
      <c r="E98" s="22"/>
    </row>
    <row r="99" spans="1:5" s="23" customFormat="1" x14ac:dyDescent="0.25">
      <c r="A99" s="22"/>
      <c r="B99" s="22"/>
      <c r="C99" s="22"/>
      <c r="D99" s="22"/>
      <c r="E99" s="22"/>
    </row>
    <row r="100" spans="1:5" s="23" customFormat="1" x14ac:dyDescent="0.25">
      <c r="A100" s="22"/>
      <c r="B100" s="22"/>
      <c r="C100" s="22"/>
      <c r="D100" s="22"/>
      <c r="E100" s="22"/>
    </row>
    <row r="101" spans="1:5" s="23" customFormat="1" x14ac:dyDescent="0.25">
      <c r="A101" s="22"/>
      <c r="B101" s="22"/>
      <c r="C101" s="22"/>
      <c r="D101" s="22"/>
      <c r="E101" s="22"/>
    </row>
    <row r="102" spans="1:5" s="23" customFormat="1" x14ac:dyDescent="0.25">
      <c r="A102" s="22"/>
      <c r="B102" s="22"/>
      <c r="C102" s="22"/>
      <c r="D102" s="22"/>
      <c r="E102" s="22"/>
    </row>
    <row r="103" spans="1:5" s="23" customFormat="1" x14ac:dyDescent="0.25">
      <c r="A103" s="22"/>
      <c r="B103" s="22"/>
      <c r="C103" s="22"/>
      <c r="D103" s="22"/>
      <c r="E103" s="22"/>
    </row>
    <row r="104" spans="1:5" s="23" customFormat="1" x14ac:dyDescent="0.25">
      <c r="A104" s="22"/>
      <c r="B104" s="22"/>
      <c r="C104" s="22"/>
      <c r="D104" s="22"/>
      <c r="E104" s="22"/>
    </row>
    <row r="105" spans="1:5" s="23" customFormat="1" x14ac:dyDescent="0.25">
      <c r="A105" s="22"/>
      <c r="B105" s="22"/>
      <c r="C105" s="22"/>
      <c r="D105" s="22"/>
      <c r="E105" s="22"/>
    </row>
    <row r="106" spans="1:5" s="23" customFormat="1" x14ac:dyDescent="0.25">
      <c r="A106" s="22"/>
      <c r="B106" s="22"/>
      <c r="C106" s="22"/>
      <c r="D106" s="22"/>
      <c r="E106" s="22"/>
    </row>
    <row r="107" spans="1:5" s="23" customFormat="1" x14ac:dyDescent="0.25">
      <c r="A107" s="22"/>
      <c r="B107" s="22"/>
      <c r="C107" s="22"/>
      <c r="D107" s="22"/>
      <c r="E107" s="22"/>
    </row>
    <row r="108" spans="1:5" s="23" customFormat="1" x14ac:dyDescent="0.25">
      <c r="A108" s="22"/>
      <c r="B108" s="22"/>
      <c r="C108" s="22"/>
      <c r="D108" s="22"/>
      <c r="E108" s="22"/>
    </row>
    <row r="109" spans="1:5" s="23" customFormat="1" x14ac:dyDescent="0.25">
      <c r="A109" s="22"/>
      <c r="B109" s="22"/>
      <c r="C109" s="22"/>
      <c r="D109" s="22"/>
      <c r="E109" s="22"/>
    </row>
    <row r="110" spans="1:5" s="23" customFormat="1" x14ac:dyDescent="0.25">
      <c r="A110" s="22"/>
      <c r="B110" s="22"/>
      <c r="C110" s="22"/>
      <c r="D110" s="22"/>
      <c r="E110" s="22"/>
    </row>
    <row r="111" spans="1:5" s="23" customFormat="1" x14ac:dyDescent="0.25">
      <c r="A111" s="22"/>
      <c r="B111" s="22"/>
      <c r="C111" s="22"/>
      <c r="D111" s="22"/>
      <c r="E111" s="22"/>
    </row>
    <row r="112" spans="1:5" s="23" customFormat="1" x14ac:dyDescent="0.25">
      <c r="A112" s="22"/>
      <c r="B112" s="22"/>
      <c r="C112" s="22"/>
      <c r="D112" s="22"/>
      <c r="E112" s="22"/>
    </row>
    <row r="113" spans="1:5" s="23" customFormat="1" x14ac:dyDescent="0.25">
      <c r="A113" s="22"/>
      <c r="B113" s="22"/>
      <c r="C113" s="22"/>
      <c r="D113" s="22"/>
      <c r="E113" s="22"/>
    </row>
    <row r="114" spans="1:5" s="23" customFormat="1" x14ac:dyDescent="0.25">
      <c r="A114" s="22"/>
      <c r="B114" s="22"/>
      <c r="C114" s="22"/>
      <c r="D114" s="22"/>
      <c r="E114" s="22"/>
    </row>
    <row r="115" spans="1:5" s="23" customFormat="1" x14ac:dyDescent="0.25">
      <c r="A115" s="22"/>
      <c r="B115" s="22"/>
      <c r="C115" s="22"/>
      <c r="D115" s="22"/>
      <c r="E115" s="22"/>
    </row>
    <row r="116" spans="1:5" s="23" customFormat="1" x14ac:dyDescent="0.25">
      <c r="A116" s="22"/>
      <c r="B116" s="22"/>
      <c r="C116" s="22"/>
      <c r="D116" s="22"/>
      <c r="E116" s="22"/>
    </row>
    <row r="117" spans="1:5" s="23" customFormat="1" x14ac:dyDescent="0.25">
      <c r="A117" s="22"/>
      <c r="B117" s="22"/>
      <c r="C117" s="22"/>
      <c r="D117" s="22"/>
      <c r="E117" s="22"/>
    </row>
    <row r="118" spans="1:5" s="23" customFormat="1" x14ac:dyDescent="0.25">
      <c r="A118" s="22"/>
      <c r="B118" s="22"/>
      <c r="C118" s="22"/>
      <c r="D118" s="22"/>
      <c r="E118" s="22"/>
    </row>
    <row r="119" spans="1:5" s="23" customFormat="1" x14ac:dyDescent="0.25">
      <c r="A119" s="22"/>
      <c r="B119" s="22"/>
      <c r="C119" s="22"/>
      <c r="D119" s="22"/>
      <c r="E119" s="22"/>
    </row>
    <row r="120" spans="1:5" s="23" customFormat="1" x14ac:dyDescent="0.25">
      <c r="A120" s="22"/>
      <c r="B120" s="22"/>
      <c r="C120" s="22"/>
      <c r="D120" s="22"/>
      <c r="E120" s="22"/>
    </row>
    <row r="121" spans="1:5" s="23" customFormat="1" x14ac:dyDescent="0.25">
      <c r="A121" s="22"/>
      <c r="B121" s="22"/>
      <c r="C121" s="22"/>
      <c r="D121" s="22"/>
      <c r="E121" s="22"/>
    </row>
    <row r="122" spans="1:5" s="23" customFormat="1" x14ac:dyDescent="0.25">
      <c r="A122" s="22"/>
      <c r="B122" s="22"/>
      <c r="C122" s="22"/>
      <c r="D122" s="22"/>
      <c r="E122" s="22"/>
    </row>
    <row r="123" spans="1:5" s="23" customFormat="1" x14ac:dyDescent="0.25">
      <c r="A123" s="22"/>
      <c r="B123" s="22"/>
      <c r="C123" s="22"/>
      <c r="D123" s="22"/>
      <c r="E123" s="22"/>
    </row>
    <row r="124" spans="1:5" s="23" customFormat="1" x14ac:dyDescent="0.25">
      <c r="A124" s="22"/>
      <c r="B124" s="22"/>
      <c r="C124" s="22"/>
      <c r="D124" s="22"/>
      <c r="E124" s="22"/>
    </row>
    <row r="125" spans="1:5" s="23" customFormat="1" x14ac:dyDescent="0.25">
      <c r="A125" s="22"/>
      <c r="B125" s="22"/>
      <c r="C125" s="22"/>
      <c r="D125" s="22"/>
      <c r="E125" s="22"/>
    </row>
    <row r="126" spans="1:5" s="23" customFormat="1" x14ac:dyDescent="0.25">
      <c r="A126" s="22"/>
      <c r="B126" s="22"/>
      <c r="C126" s="22"/>
      <c r="D126" s="22"/>
      <c r="E126" s="22"/>
    </row>
    <row r="127" spans="1:5" s="23" customFormat="1" x14ac:dyDescent="0.25">
      <c r="A127" s="22"/>
      <c r="B127" s="22"/>
      <c r="C127" s="22"/>
      <c r="D127" s="22"/>
      <c r="E127" s="22"/>
    </row>
  </sheetData>
  <sheetProtection selectLockedCells="1"/>
  <autoFilter ref="A1:N1" xr:uid="{00000000-0009-0000-0000-000003000000}">
    <sortState xmlns:xlrd2="http://schemas.microsoft.com/office/spreadsheetml/2017/richdata2" ref="A2:N41">
      <sortCondition descending="1" ref="K1"/>
    </sortState>
  </autoFilter>
  <conditionalFormatting sqref="K2:K43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4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3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AE304"/>
  <sheetViews>
    <sheetView showGridLines="0" topLeftCell="B1" zoomScale="80" zoomScaleNormal="80" workbookViewId="0">
      <selection activeCell="K21" sqref="K2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3" customWidth="1"/>
    <col min="13" max="13" width="11.42578125" style="23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25" s="23" customFormat="1" ht="15.75" thickBot="1" x14ac:dyDescent="0.3">
      <c r="B1" s="46"/>
      <c r="C1" s="46"/>
      <c r="D1" s="46"/>
      <c r="E1" s="46"/>
      <c r="F1" s="46"/>
      <c r="G1" s="46"/>
      <c r="H1" s="46"/>
      <c r="I1" s="27" t="str">
        <f>IFERROR(INDEX(Matches!$A:$A,MATCH(I2,Matches!$B:$B,0)),"-")&amp;"º"</f>
        <v>11º</v>
      </c>
      <c r="J1" s="22"/>
      <c r="K1" s="27" t="str">
        <f>IFERROR(INDEX(Matches!$A:$A,MATCH(K2,Matches!$B:$B,0)),"-")&amp;"º"</f>
        <v>18º</v>
      </c>
      <c r="N1" s="46"/>
      <c r="O1" s="46"/>
      <c r="P1" s="46"/>
      <c r="R1" s="46"/>
    </row>
    <row r="2" spans="1:25" ht="42" customHeight="1" thickBot="1" x14ac:dyDescent="0.3">
      <c r="A2" t="s">
        <v>213</v>
      </c>
      <c r="B2" s="55" t="s">
        <v>209</v>
      </c>
      <c r="C2" s="56" t="s">
        <v>210</v>
      </c>
      <c r="D2" s="56">
        <v>1</v>
      </c>
      <c r="E2" s="56" t="s">
        <v>211</v>
      </c>
      <c r="F2" s="56">
        <v>2</v>
      </c>
      <c r="G2" s="57" t="s">
        <v>212</v>
      </c>
      <c r="H2" s="59"/>
      <c r="I2" s="29" t="str">
        <f>'Half-Time'!B2</f>
        <v>Rayo Vallecano</v>
      </c>
      <c r="J2" s="27" t="s">
        <v>177</v>
      </c>
      <c r="K2" s="30" t="str">
        <f>'Half-Time'!C2</f>
        <v>Celta Vigo</v>
      </c>
      <c r="L2" s="55" t="s">
        <v>209</v>
      </c>
      <c r="M2" s="56" t="s">
        <v>210</v>
      </c>
      <c r="N2" s="56">
        <v>1</v>
      </c>
      <c r="O2" s="56" t="s">
        <v>211</v>
      </c>
      <c r="P2" s="56">
        <v>2</v>
      </c>
      <c r="Q2" s="57" t="s">
        <v>212</v>
      </c>
      <c r="R2" s="59"/>
      <c r="S2" s="23"/>
      <c r="T2" s="23"/>
      <c r="U2" s="23"/>
      <c r="V2" s="23"/>
      <c r="W2" s="23"/>
      <c r="X2" s="23"/>
      <c r="Y2" s="23"/>
    </row>
    <row r="3" spans="1:25" s="23" customFormat="1" x14ac:dyDescent="0.25">
      <c r="A3" s="39">
        <v>1</v>
      </c>
      <c r="B3" s="54">
        <f>IFERROR(VLOOKUP(A3&amp;$I$2,ODDS!A2:$K$50000,3,0)," ")</f>
        <v>45166</v>
      </c>
      <c r="C3" s="53" t="str">
        <f>IFERROR(VLOOKUP(A3&amp;$I$2,ODDS!A2:$K$50000,4,0)," ")</f>
        <v>Rayo Vallecano</v>
      </c>
      <c r="D3" s="53">
        <f>IFERROR(VLOOKUP(A3&amp;$I$2,ODDS!A2:$K$50000,6,0)," ")</f>
        <v>0</v>
      </c>
      <c r="E3" s="53" t="s">
        <v>211</v>
      </c>
      <c r="F3" s="53">
        <f>IFERROR(VLOOKUP(A3&amp;$I$2,ODDS!A2:$K$50000,7,0)," ")</f>
        <v>7</v>
      </c>
      <c r="G3" s="53" t="str">
        <f>IFERROR(VLOOKUP(A3&amp;$I$2,ODDS!A2:$K$50000,5,0)," ")</f>
        <v>Atletico Madrid</v>
      </c>
      <c r="H3" s="53" t="str">
        <f>IF(C3=$I$2,IF(D3&gt;F3,"VENCEU",IF(D3=F3,"EMPATOU",IF(F3&gt;D3,"PERDEU")))," ")</f>
        <v>PERDEU</v>
      </c>
      <c r="I3" s="31" t="str">
        <f>IFERROR(INDEX(Matches!$Q:$Q,MATCH(I2,Matches!$B:$B,0)),"-")&amp;"/"&amp;IFERROR(INDEX(Matches!$R:$R,MATCH(I2,Matches!$B:$B,0)),"-")</f>
        <v>9/15</v>
      </c>
      <c r="J3" s="37" t="s">
        <v>178</v>
      </c>
      <c r="K3" s="31" t="str">
        <f>IFERROR(INDEX(Matches!$Z:$Z,MATCH(K2,Matches!$B:$B,0)),"-")&amp;"/"&amp;IFERROR(INDEX(Matches!$AA:$AA,MATCH(K2,Matches!$B:$B,0)),"-")</f>
        <v>10/13</v>
      </c>
      <c r="L3" s="60">
        <f>IFERROR(VLOOKUP(A3&amp;$K$2,ODDS!B2:$K$50000,2,0)," ")</f>
        <v>45157</v>
      </c>
      <c r="M3" s="39" t="str">
        <f>IFERROR(VLOOKUP(A3&amp;$K$2,ODDS!B2:$K$50000,3,0)," ")</f>
        <v>Real Sociedad</v>
      </c>
      <c r="N3" s="53">
        <f>IFERROR(VLOOKUP(A3&amp;$K$2,ODDS!B2:$K$50000,5,0)," ")</f>
        <v>1</v>
      </c>
      <c r="O3" s="53" t="s">
        <v>211</v>
      </c>
      <c r="P3" s="53">
        <f>IFERROR(VLOOKUP(A3&amp;$K$2,ODDS!B2:$K$50000,6,0)," ")</f>
        <v>1</v>
      </c>
      <c r="Q3" s="39" t="str">
        <f>IFERROR(VLOOKUP(A3&amp;$K$2,ODDS!B2:$K$50000,4,0)," ")</f>
        <v>Celta Vigo</v>
      </c>
      <c r="R3" s="53" t="str">
        <f>IF(Q3=$K$2,IF(P3&gt;N3,"VENCEU",IF(P3=N3,"EMPATOU",IF(N3&gt;P3,"PERDEU")))," ")</f>
        <v>EMPATOU</v>
      </c>
    </row>
    <row r="4" spans="1:25" s="23" customFormat="1" x14ac:dyDescent="0.25">
      <c r="A4" s="39">
        <v>2</v>
      </c>
      <c r="B4" s="54">
        <f>IFERROR(VLOOKUP(A4&amp;$I$2,ODDS!A3:$K$50000,3,0)," ")</f>
        <v>45184</v>
      </c>
      <c r="C4" s="53" t="str">
        <f>IFERROR(VLOOKUP(A4&amp;$I$2,ODDS!A3:$K$50000,4,0)," ")</f>
        <v>Rayo Vallecano</v>
      </c>
      <c r="D4" s="53">
        <f>IFERROR(VLOOKUP(A4&amp;$I$2,ODDS!A3:$K$50000,6,0)," ")</f>
        <v>2</v>
      </c>
      <c r="E4" s="53" t="s">
        <v>211</v>
      </c>
      <c r="F4" s="53">
        <f>IFERROR(VLOOKUP(A4&amp;$I$2,ODDS!A3:$K$50000,7,0)," ")</f>
        <v>0</v>
      </c>
      <c r="G4" s="53" t="str">
        <f>IFERROR(VLOOKUP(A4&amp;$I$2,ODDS!A3:$K$50000,5,0)," ")</f>
        <v>Alaves</v>
      </c>
      <c r="H4" s="53" t="str">
        <f t="shared" ref="H4:H12" si="0">IF(C4=$I$2,IF(D4&gt;F4,"VENCEU",IF(D4=F4,"EMPATOU",IF(F4&gt;D4,"PERDEU")))," ")</f>
        <v>VENCEU</v>
      </c>
      <c r="I4" s="31">
        <f>IFERROR(INDEX(GOLS!$J:$J,MATCH(I2,GOLS!$A:$A,0)),"-")</f>
        <v>0.4</v>
      </c>
      <c r="J4" s="37" t="s">
        <v>173</v>
      </c>
      <c r="K4" s="31">
        <f>IFERROR(INDEX(GOLS!$J:$J,MATCH(K2,GOLS!$A:$A,0)),"-")</f>
        <v>0.6</v>
      </c>
      <c r="L4" s="60">
        <f>IFERROR(VLOOKUP(A4&amp;$K$2,ODDS!B3:$K$50000,2,0)," ")</f>
        <v>45170</v>
      </c>
      <c r="M4" s="39" t="str">
        <f>IFERROR(VLOOKUP(A4&amp;$K$2,ODDS!B3:$K$50000,3,0)," ")</f>
        <v>Almeria</v>
      </c>
      <c r="N4" s="53">
        <f>IFERROR(VLOOKUP(A4&amp;$K$2,ODDS!B3:$K$50000,5,0)," ")</f>
        <v>2</v>
      </c>
      <c r="O4" s="53" t="s">
        <v>211</v>
      </c>
      <c r="P4" s="53">
        <f>IFERROR(VLOOKUP(A4&amp;$K$2,ODDS!B3:$K$50000,6,0)," ")</f>
        <v>3</v>
      </c>
      <c r="Q4" s="39" t="str">
        <f>IFERROR(VLOOKUP(A4&amp;$K$2,ODDS!B3:$K$50000,4,0)," ")</f>
        <v>Celta Vigo</v>
      </c>
      <c r="R4" s="53" t="str">
        <f t="shared" ref="R4:R9" si="1">IF(Q4=$K$2,IF(P4&gt;N4,"VENCEU",IF(P4=N4,"EMPATOU",IF(N4&gt;P4,"PERDEU")))," ")</f>
        <v>VENCEU</v>
      </c>
    </row>
    <row r="5" spans="1:25" s="23" customFormat="1" x14ac:dyDescent="0.25">
      <c r="A5" s="39">
        <v>3</v>
      </c>
      <c r="B5" s="54">
        <f>IFERROR(VLOOKUP(A5&amp;$I$2,ODDS!A4:$K$50000,3,0)," ")</f>
        <v>45193</v>
      </c>
      <c r="C5" s="53" t="str">
        <f>IFERROR(VLOOKUP(A5&amp;$I$2,ODDS!A4:$K$50000,4,0)," ")</f>
        <v>Rayo Vallecano</v>
      </c>
      <c r="D5" s="53">
        <f>IFERROR(VLOOKUP(A5&amp;$I$2,ODDS!A4:$K$50000,6,0)," ")</f>
        <v>1</v>
      </c>
      <c r="E5" s="53" t="s">
        <v>211</v>
      </c>
      <c r="F5" s="53">
        <f>IFERROR(VLOOKUP(A5&amp;$I$2,ODDS!A4:$K$50000,7,0)," ")</f>
        <v>1</v>
      </c>
      <c r="G5" s="53" t="str">
        <f>IFERROR(VLOOKUP(A5&amp;$I$2,ODDS!A4:$K$50000,5,0)," ")</f>
        <v>Villarreal</v>
      </c>
      <c r="H5" s="53" t="str">
        <f t="shared" si="0"/>
        <v>EMPATOU</v>
      </c>
      <c r="I5" s="31">
        <f>IFERROR(INDEX(GOLS!$K:$K,MATCH(I2,GOLS!$A:$A,0)),"-")</f>
        <v>0.4</v>
      </c>
      <c r="J5" s="37" t="s">
        <v>179</v>
      </c>
      <c r="K5" s="31">
        <f>IFERROR(INDEX(GOLS!$K:$K,MATCH(K2,GOLS!$A:$A,0)),"-")</f>
        <v>7.0000000000000007E-2</v>
      </c>
      <c r="L5" s="60">
        <f>IFERROR(VLOOKUP(A5&amp;$K$2,ODDS!B4:$K$50000,2,0)," ")</f>
        <v>45192</v>
      </c>
      <c r="M5" s="39" t="str">
        <f>IFERROR(VLOOKUP(A5&amp;$K$2,ODDS!B4:$K$50000,3,0)," ")</f>
        <v>FC Barcelona</v>
      </c>
      <c r="N5" s="53">
        <f>IFERROR(VLOOKUP(A5&amp;$K$2,ODDS!B4:$K$50000,5,0)," ")</f>
        <v>3</v>
      </c>
      <c r="O5" s="53" t="s">
        <v>211</v>
      </c>
      <c r="P5" s="53">
        <f>IFERROR(VLOOKUP(A5&amp;$K$2,ODDS!B4:$K$50000,6,0)," ")</f>
        <v>2</v>
      </c>
      <c r="Q5" s="39" t="str">
        <f>IFERROR(VLOOKUP(A5&amp;$K$2,ODDS!B4:$K$50000,4,0)," ")</f>
        <v>Celta Vigo</v>
      </c>
      <c r="R5" s="53" t="str">
        <f t="shared" si="1"/>
        <v>PERDEU</v>
      </c>
    </row>
    <row r="6" spans="1:25" s="23" customFormat="1" x14ac:dyDescent="0.25">
      <c r="A6" s="39">
        <v>4</v>
      </c>
      <c r="B6" s="54">
        <f>IFERROR(VLOOKUP(A6&amp;$I$2,ODDS!A5:$K$50000,3,0)," ")</f>
        <v>45199</v>
      </c>
      <c r="C6" s="53" t="str">
        <f>IFERROR(VLOOKUP(A6&amp;$I$2,ODDS!A5:$K$50000,4,0)," ")</f>
        <v>Rayo Vallecano</v>
      </c>
      <c r="D6" s="53">
        <f>IFERROR(VLOOKUP(A6&amp;$I$2,ODDS!A5:$K$50000,6,0)," ")</f>
        <v>2</v>
      </c>
      <c r="E6" s="53" t="s">
        <v>211</v>
      </c>
      <c r="F6" s="53">
        <f>IFERROR(VLOOKUP(A6&amp;$I$2,ODDS!A5:$K$50000,7,0)," ")</f>
        <v>2</v>
      </c>
      <c r="G6" s="53" t="str">
        <f>IFERROR(VLOOKUP(A6&amp;$I$2,ODDS!A5:$K$50000,5,0)," ")</f>
        <v>Mallorca</v>
      </c>
      <c r="H6" s="53" t="str">
        <f t="shared" si="0"/>
        <v>EMPATOU</v>
      </c>
      <c r="I6" s="31">
        <f>IFERROR(INDEX(GOLS!$L:$L,MATCH(I2,GOLS!$A:$A,0)),"-")</f>
        <v>0.33</v>
      </c>
      <c r="J6" s="37" t="s">
        <v>174</v>
      </c>
      <c r="K6" s="31">
        <f>IFERROR(INDEX(GOLS!$L:$L,MATCH(K2,GOLS!$A:$A,0)),"-")</f>
        <v>0.4</v>
      </c>
      <c r="L6" s="60">
        <f>IFERROR(VLOOKUP(A6&amp;$K$2,ODDS!B5:$K$50000,2,0)," ")</f>
        <v>45201</v>
      </c>
      <c r="M6" s="39" t="str">
        <f>IFERROR(VLOOKUP(A6&amp;$K$2,ODDS!B5:$K$50000,3,0)," ")</f>
        <v>Las Palmas</v>
      </c>
      <c r="N6" s="53">
        <f>IFERROR(VLOOKUP(A6&amp;$K$2,ODDS!B5:$K$50000,5,0)," ")</f>
        <v>2</v>
      </c>
      <c r="O6" s="53" t="s">
        <v>211</v>
      </c>
      <c r="P6" s="53">
        <f>IFERROR(VLOOKUP(A6&amp;$K$2,ODDS!B5:$K$50000,6,0)," ")</f>
        <v>1</v>
      </c>
      <c r="Q6" s="39" t="str">
        <f>IFERROR(VLOOKUP(A6&amp;$K$2,ODDS!B5:$K$50000,4,0)," ")</f>
        <v>Celta Vigo</v>
      </c>
      <c r="R6" s="53" t="str">
        <f t="shared" si="1"/>
        <v>PERDEU</v>
      </c>
    </row>
    <row r="7" spans="1:25" s="23" customFormat="1" x14ac:dyDescent="0.25">
      <c r="A7" s="39">
        <v>5</v>
      </c>
      <c r="B7" s="54">
        <f>IFERROR(VLOOKUP(A7&amp;$I$2,ODDS!A6:$K$50000,3,0)," ")</f>
        <v>45228</v>
      </c>
      <c r="C7" s="53" t="str">
        <f>IFERROR(VLOOKUP(A7&amp;$I$2,ODDS!A6:$K$50000,4,0)," ")</f>
        <v>Rayo Vallecano</v>
      </c>
      <c r="D7" s="53">
        <f>IFERROR(VLOOKUP(A7&amp;$I$2,ODDS!A6:$K$50000,6,0)," ")</f>
        <v>2</v>
      </c>
      <c r="E7" s="53" t="s">
        <v>211</v>
      </c>
      <c r="F7" s="53">
        <f>IFERROR(VLOOKUP(A7&amp;$I$2,ODDS!A6:$K$50000,7,0)," ")</f>
        <v>2</v>
      </c>
      <c r="G7" s="53" t="str">
        <f>IFERROR(VLOOKUP(A7&amp;$I$2,ODDS!A6:$K$50000,5,0)," ")</f>
        <v>Real Sociedad</v>
      </c>
      <c r="H7" s="53" t="str">
        <f t="shared" si="0"/>
        <v>EMPATOU</v>
      </c>
      <c r="I7" s="31">
        <f>IFERROR(INDEX(GOLS!$D:$D,MATCH(I2,GOLS!$A:$A,0)),"-")</f>
        <v>0.87</v>
      </c>
      <c r="J7" s="38" t="s">
        <v>180</v>
      </c>
      <c r="K7" s="31">
        <f>IFERROR(INDEX(GOLS!$D:$D,MATCH(K2,GOLS!$A:$A,0)),"-")</f>
        <v>0.93</v>
      </c>
      <c r="L7" s="60">
        <f>IFERROR(VLOOKUP(A7&amp;$K$2,ODDS!B6:$K$50000,2,0)," ")</f>
        <v>45226</v>
      </c>
      <c r="M7" s="39" t="str">
        <f>IFERROR(VLOOKUP(A7&amp;$K$2,ODDS!B6:$K$50000,3,0)," ")</f>
        <v>Girona</v>
      </c>
      <c r="N7" s="53">
        <f>IFERROR(VLOOKUP(A7&amp;$K$2,ODDS!B6:$K$50000,5,0)," ")</f>
        <v>1</v>
      </c>
      <c r="O7" s="53" t="s">
        <v>211</v>
      </c>
      <c r="P7" s="53">
        <f>IFERROR(VLOOKUP(A7&amp;$K$2,ODDS!B6:$K$50000,6,0)," ")</f>
        <v>0</v>
      </c>
      <c r="Q7" s="39" t="str">
        <f>IFERROR(VLOOKUP(A7&amp;$K$2,ODDS!B6:$K$50000,4,0)," ")</f>
        <v>Celta Vigo</v>
      </c>
      <c r="R7" s="53" t="str">
        <f t="shared" si="1"/>
        <v>PERDEU</v>
      </c>
    </row>
    <row r="8" spans="1:25" s="23" customFormat="1" x14ac:dyDescent="0.25">
      <c r="A8" s="39">
        <v>6</v>
      </c>
      <c r="B8" s="54">
        <f>IFERROR(VLOOKUP(A8&amp;$I$2,ODDS!A7:$K$50000,3,0)," ")</f>
        <v>45241</v>
      </c>
      <c r="C8" s="53" t="str">
        <f>IFERROR(VLOOKUP(A8&amp;$I$2,ODDS!A7:$K$50000,4,0)," ")</f>
        <v>Rayo Vallecano</v>
      </c>
      <c r="D8" s="53">
        <f>IFERROR(VLOOKUP(A8&amp;$I$2,ODDS!A7:$K$50000,6,0)," ")</f>
        <v>1</v>
      </c>
      <c r="E8" s="53" t="s">
        <v>211</v>
      </c>
      <c r="F8" s="53">
        <f>IFERROR(VLOOKUP(A8&amp;$I$2,ODDS!A7:$K$50000,7,0)," ")</f>
        <v>2</v>
      </c>
      <c r="G8" s="53" t="str">
        <f>IFERROR(VLOOKUP(A8&amp;$I$2,ODDS!A7:$K$50000,5,0)," ")</f>
        <v>Girona</v>
      </c>
      <c r="H8" s="53" t="str">
        <f t="shared" si="0"/>
        <v>PERDEU</v>
      </c>
      <c r="I8" s="31">
        <f>IFERROR(INDEX(GOLS!$E:$E,MATCH(I2,GOLS!$A:$A,0)),"-")</f>
        <v>0.73</v>
      </c>
      <c r="J8" s="38" t="s">
        <v>181</v>
      </c>
      <c r="K8" s="31">
        <f>IFERROR(INDEX(GOLS!$E:$E,MATCH(K2,GOLS!$A:$A,0)),"-")</f>
        <v>0.73</v>
      </c>
      <c r="L8" s="60">
        <f>IFERROR(VLOOKUP(A8&amp;$K$2,ODDS!B7:$K$50000,2,0)," ")</f>
        <v>45240</v>
      </c>
      <c r="M8" s="39" t="str">
        <f>IFERROR(VLOOKUP(A8&amp;$K$2,ODDS!B7:$K$50000,3,0)," ")</f>
        <v>Athletic Bilbao</v>
      </c>
      <c r="N8" s="53">
        <f>IFERROR(VLOOKUP(A8&amp;$K$2,ODDS!B7:$K$50000,5,0)," ")</f>
        <v>4</v>
      </c>
      <c r="O8" s="53" t="s">
        <v>211</v>
      </c>
      <c r="P8" s="53">
        <f>IFERROR(VLOOKUP(A8&amp;$K$2,ODDS!B7:$K$50000,6,0)," ")</f>
        <v>3</v>
      </c>
      <c r="Q8" s="39" t="str">
        <f>IFERROR(VLOOKUP(A8&amp;$K$2,ODDS!B7:$K$50000,4,0)," ")</f>
        <v>Celta Vigo</v>
      </c>
      <c r="R8" s="53" t="str">
        <f t="shared" si="1"/>
        <v>PERDEU</v>
      </c>
    </row>
    <row r="9" spans="1:25" s="23" customFormat="1" x14ac:dyDescent="0.25">
      <c r="A9" s="39">
        <v>7</v>
      </c>
      <c r="B9" s="54">
        <f>IFERROR(VLOOKUP(A9&amp;$I$2,ODDS!A8:$K$50000,3,0)," ")</f>
        <v>45255</v>
      </c>
      <c r="C9" s="53" t="str">
        <f>IFERROR(VLOOKUP(A9&amp;$I$2,ODDS!A8:$K$50000,4,0)," ")</f>
        <v>Rayo Vallecano</v>
      </c>
      <c r="D9" s="53">
        <f>IFERROR(VLOOKUP(A9&amp;$I$2,ODDS!A8:$K$50000,6,0)," ")</f>
        <v>1</v>
      </c>
      <c r="E9" s="53" t="s">
        <v>211</v>
      </c>
      <c r="F9" s="53">
        <f>IFERROR(VLOOKUP(A9&amp;$I$2,ODDS!A8:$K$50000,7,0)," ")</f>
        <v>1</v>
      </c>
      <c r="G9" s="53" t="str">
        <f>IFERROR(VLOOKUP(A9&amp;$I$2,ODDS!A8:$K$50000,5,0)," ")</f>
        <v>FC Barcelona</v>
      </c>
      <c r="H9" s="53" t="str">
        <f t="shared" si="0"/>
        <v>EMPATOU</v>
      </c>
      <c r="I9" s="31">
        <f>IFERROR(INDEX(GOLS!$F:$F,MATCH(I2,GOLS!$A:$A,0)),"-")</f>
        <v>0.4</v>
      </c>
      <c r="J9" s="38" t="s">
        <v>182</v>
      </c>
      <c r="K9" s="31">
        <f>IFERROR(INDEX(GOLS!$F:$F,MATCH(K2,GOLS!$A:$A,0)),"-")</f>
        <v>0.4</v>
      </c>
      <c r="L9" s="60">
        <f>IFERROR(VLOOKUP(A9&amp;$K$2,ODDS!B8:$K$50000,2,0)," ")</f>
        <v>45255</v>
      </c>
      <c r="M9" s="39" t="str">
        <f>IFERROR(VLOOKUP(A9&amp;$K$2,ODDS!B8:$K$50000,3,0)," ")</f>
        <v>Valencia</v>
      </c>
      <c r="N9" s="53">
        <f>IFERROR(VLOOKUP(A9&amp;$K$2,ODDS!B8:$K$50000,5,0)," ")</f>
        <v>0</v>
      </c>
      <c r="O9" s="53" t="s">
        <v>211</v>
      </c>
      <c r="P9" s="53">
        <f>IFERROR(VLOOKUP(A9&amp;$K$2,ODDS!B8:$K$50000,6,0)," ")</f>
        <v>0</v>
      </c>
      <c r="Q9" s="39" t="str">
        <f>IFERROR(VLOOKUP(A9&amp;$K$2,ODDS!B8:$K$50000,4,0)," ")</f>
        <v>Celta Vigo</v>
      </c>
      <c r="R9" s="53" t="str">
        <f t="shared" si="1"/>
        <v>EMPATOU</v>
      </c>
    </row>
    <row r="10" spans="1:25" s="23" customFormat="1" x14ac:dyDescent="0.25">
      <c r="A10" s="39">
        <v>8</v>
      </c>
      <c r="B10" s="54" t="str">
        <f>IFERROR(VLOOKUP(A10&amp;$I$2,ODDS!A9:$K$50000,3,0)," ")</f>
        <v xml:space="preserve"> </v>
      </c>
      <c r="C10" s="53" t="str">
        <f>IFERROR(VLOOKUP(A10&amp;$I$2,ODDS!A9:$K$50000,4,0)," ")</f>
        <v xml:space="preserve"> </v>
      </c>
      <c r="D10" s="53" t="str">
        <f>IFERROR(VLOOKUP(A10&amp;$I$2,ODDS!A9:$K$50000,6,0)," ")</f>
        <v xml:space="preserve"> </v>
      </c>
      <c r="E10" s="53" t="s">
        <v>211</v>
      </c>
      <c r="F10" s="53" t="str">
        <f>IFERROR(VLOOKUP(A10&amp;$I$2,ODDS!A9:$K$50000,7,0)," ")</f>
        <v xml:space="preserve"> </v>
      </c>
      <c r="G10" s="53" t="str">
        <f>IFERROR(VLOOKUP(A10&amp;$I$2,ODDS!A9:$K$50000,5,0)," ")</f>
        <v xml:space="preserve"> </v>
      </c>
      <c r="H10" s="53" t="str">
        <f t="shared" si="0"/>
        <v xml:space="preserve"> </v>
      </c>
      <c r="I10" s="31">
        <f>IFERROR(INDEX(GOLS!$G:$G,MATCH(I2,GOLS!$A:$A,0)),"-")</f>
        <v>0.33</v>
      </c>
      <c r="J10" s="38" t="s">
        <v>206</v>
      </c>
      <c r="K10" s="31">
        <f>IFERROR(INDEX(GOLS!$G:$G,MATCH(K2,GOLS!$A:$A,0)),"-")</f>
        <v>0.27</v>
      </c>
      <c r="L10" s="60" t="str">
        <f>IFERROR(VLOOKUP(A10&amp;$K$2,ODDS!B9:$K$50000,2,0)," ")</f>
        <v xml:space="preserve"> </v>
      </c>
      <c r="M10" s="39" t="str">
        <f>IFERROR(VLOOKUP(A10&amp;$K$2,ODDS!B9:$K$50000,3,0)," ")</f>
        <v xml:space="preserve"> </v>
      </c>
      <c r="N10" s="53" t="str">
        <f>IFERROR(VLOOKUP(A10&amp;$K$2,ODDS!B9:$K$50000,5,0)," ")</f>
        <v xml:space="preserve"> </v>
      </c>
      <c r="O10" s="53" t="s">
        <v>211</v>
      </c>
      <c r="P10" s="53" t="str">
        <f>IFERROR(VLOOKUP(A10&amp;$K$2,ODDS!B9:$K$50000,6,0)," ")</f>
        <v xml:space="preserve"> </v>
      </c>
      <c r="Q10" s="39" t="str">
        <f>IFERROR(VLOOKUP(A10&amp;$K$2,ODDS!B9:$K$50000,4,0)," ")</f>
        <v xml:space="preserve"> </v>
      </c>
      <c r="R10" s="53" t="str">
        <f t="shared" ref="R10:R24" si="2">IF(Q10=$K$2,IF(P10&gt;N10,"VENCEU",IF(P10=N10,"EMPATOU",IF(N10&gt;P10,"PERDEU")))," ")</f>
        <v xml:space="preserve"> </v>
      </c>
    </row>
    <row r="11" spans="1:25" s="23" customFormat="1" x14ac:dyDescent="0.25">
      <c r="A11" s="39">
        <v>9</v>
      </c>
      <c r="B11" s="54" t="str">
        <f>IFERROR(VLOOKUP(A11&amp;$I$2,ODDS!A10:$K$50000,3,0)," ")</f>
        <v xml:space="preserve"> </v>
      </c>
      <c r="C11" s="53" t="str">
        <f>IFERROR(VLOOKUP(A11&amp;$I$2,ODDS!A10:$K$50000,4,0)," ")</f>
        <v xml:space="preserve"> </v>
      </c>
      <c r="D11" s="53" t="str">
        <f>IFERROR(VLOOKUP(A11&amp;$I$2,ODDS!A10:$K$50000,6,0)," ")</f>
        <v xml:space="preserve"> </v>
      </c>
      <c r="E11" s="53" t="s">
        <v>211</v>
      </c>
      <c r="F11" s="53" t="str">
        <f>IFERROR(VLOOKUP(A11&amp;$I$2,ODDS!A10:$K$50000,7,0)," ")</f>
        <v xml:space="preserve"> </v>
      </c>
      <c r="G11" s="53" t="str">
        <f>IFERROR(VLOOKUP(A11&amp;$I$2,ODDS!A10:$K$50000,5,0)," ")</f>
        <v xml:space="preserve"> </v>
      </c>
      <c r="H11" s="53" t="str">
        <f t="shared" si="0"/>
        <v xml:space="preserve"> </v>
      </c>
      <c r="I11" s="31">
        <f>IFERROR(INDEX(HTHome!$J:$J,MATCH(I2,HTHome!$A:$A,0)),"-")</f>
        <v>0.2857142857142857</v>
      </c>
      <c r="J11" s="49" t="s">
        <v>204</v>
      </c>
      <c r="K11" s="61">
        <f>IFERROR(INDEX(HTAway!$J$1:$J$43,MATCH(K2,HTAway!$A$1:$A$43,0)),"-")</f>
        <v>0.2857142857142857</v>
      </c>
      <c r="L11" s="60" t="str">
        <f>IFERROR(VLOOKUP(A11&amp;$K$2,ODDS!B10:$K$50000,2,0)," ")</f>
        <v xml:space="preserve"> </v>
      </c>
      <c r="M11" s="39" t="str">
        <f>IFERROR(VLOOKUP(A11&amp;$K$2,ODDS!B10:$K$50000,3,0)," ")</f>
        <v xml:space="preserve"> </v>
      </c>
      <c r="N11" s="53" t="str">
        <f>IFERROR(VLOOKUP(A11&amp;$K$2,ODDS!B10:$K$50000,5,0)," ")</f>
        <v xml:space="preserve"> </v>
      </c>
      <c r="O11" s="53" t="s">
        <v>211</v>
      </c>
      <c r="P11" s="53" t="str">
        <f>IFERROR(VLOOKUP(A11&amp;$K$2,ODDS!B10:$K$50000,6,0)," ")</f>
        <v xml:space="preserve"> </v>
      </c>
      <c r="Q11" s="39" t="str">
        <f>IFERROR(VLOOKUP(A11&amp;$K$2,ODDS!B10:$K$50000,4,0)," ")</f>
        <v xml:space="preserve"> </v>
      </c>
      <c r="R11" s="53" t="str">
        <f t="shared" si="2"/>
        <v xml:space="preserve"> </v>
      </c>
    </row>
    <row r="12" spans="1:25" s="23" customFormat="1" x14ac:dyDescent="0.25">
      <c r="A12" s="39">
        <v>10</v>
      </c>
      <c r="B12" s="54" t="str">
        <f>IFERROR(VLOOKUP(A12&amp;$I$2,ODDS!A11:$K$50000,3,0)," ")</f>
        <v xml:space="preserve"> </v>
      </c>
      <c r="C12" s="53" t="str">
        <f>IFERROR(VLOOKUP(A12&amp;$I$2,ODDS!A11:$K$50000,4,0)," ")</f>
        <v xml:space="preserve"> </v>
      </c>
      <c r="D12" s="53" t="str">
        <f>IFERROR(VLOOKUP(A12&amp;$I$2,ODDS!A11:$K$50000,6,0)," ")</f>
        <v xml:space="preserve"> </v>
      </c>
      <c r="E12" s="53" t="s">
        <v>211</v>
      </c>
      <c r="F12" s="53" t="str">
        <f>IFERROR(VLOOKUP(A12&amp;$I$2,ODDS!A11:$K$50000,7,0)," ")</f>
        <v xml:space="preserve"> </v>
      </c>
      <c r="G12" s="53" t="str">
        <f>IFERROR(VLOOKUP(A12&amp;$I$2,ODDS!A11:$K$50000,5,0)," ")</f>
        <v xml:space="preserve"> </v>
      </c>
      <c r="H12" s="53" t="str">
        <f t="shared" si="0"/>
        <v xml:space="preserve"> </v>
      </c>
      <c r="I12" s="52">
        <f>IFERROR(INDEX(Matches!$AB:$AB,MATCH(I2,Matches!$B:$B,0)),"-")</f>
        <v>0.14285714285714285</v>
      </c>
      <c r="J12" s="49" t="s">
        <v>205</v>
      </c>
      <c r="K12" s="52">
        <f>IFERROR(INDEX(Matches!$AC:$AC,MATCH(K2,Matches!$B:$B,0)),"-")</f>
        <v>0.14285714285714285</v>
      </c>
      <c r="L12" s="60" t="str">
        <f>IFERROR(VLOOKUP(A12&amp;$K$2,ODDS!B11:$K$50000,2,0)," ")</f>
        <v xml:space="preserve"> </v>
      </c>
      <c r="M12" s="39" t="str">
        <f>IFERROR(VLOOKUP(A12&amp;$K$2,ODDS!B11:$K$50000,3,0)," ")</f>
        <v xml:space="preserve"> </v>
      </c>
      <c r="N12" s="53" t="str">
        <f>IFERROR(VLOOKUP(A12&amp;$K$2,ODDS!B11:$K$50000,5,0)," ")</f>
        <v xml:space="preserve"> </v>
      </c>
      <c r="O12" s="53" t="s">
        <v>211</v>
      </c>
      <c r="P12" s="53" t="str">
        <f>IFERROR(VLOOKUP(A12&amp;$K$2,ODDS!B11:$K$50000,6,0)," ")</f>
        <v xml:space="preserve"> </v>
      </c>
      <c r="Q12" s="39" t="str">
        <f>IFERROR(VLOOKUP(A12&amp;$K$2,ODDS!B11:$K$50000,4,0)," ")</f>
        <v xml:space="preserve"> </v>
      </c>
      <c r="R12" s="53" t="str">
        <f t="shared" si="2"/>
        <v xml:space="preserve"> </v>
      </c>
    </row>
    <row r="13" spans="1:25" s="23" customFormat="1" x14ac:dyDescent="0.25">
      <c r="A13" s="39">
        <v>11</v>
      </c>
      <c r="B13" s="54" t="str">
        <f>IFERROR(VLOOKUP(A13&amp;$I$2,ODDS!A12:$K$50000,3,0)," ")</f>
        <v xml:space="preserve"> </v>
      </c>
      <c r="C13" s="53" t="str">
        <f>IFERROR(VLOOKUP(A13&amp;$I$2,ODDS!A12:$K$50000,4,0)," ")</f>
        <v xml:space="preserve"> </v>
      </c>
      <c r="D13" s="53" t="str">
        <f>IFERROR(VLOOKUP(A13&amp;$I$2,ODDS!A12:$K$50000,6,0)," ")</f>
        <v xml:space="preserve"> </v>
      </c>
      <c r="E13" s="53" t="s">
        <v>211</v>
      </c>
      <c r="F13" s="53" t="str">
        <f>IFERROR(VLOOKUP(A13&amp;$I$2,ODDS!A12:$K$50000,7,0)," ")</f>
        <v xml:space="preserve"> </v>
      </c>
      <c r="G13" s="53" t="str">
        <f>IFERROR(VLOOKUP(A13&amp;$I$2,ODDS!A12:$K$50000,5,0)," ")</f>
        <v xml:space="preserve"> </v>
      </c>
      <c r="H13" s="53" t="str">
        <f t="shared" ref="H13:H76" si="3">IF(C13=$I$2,IF(D13&gt;F13,"VENCEU",IF(D13=F13,"EMPATOU",IF(F13&gt;D13,"PERDEU")))," ")</f>
        <v xml:space="preserve"> </v>
      </c>
      <c r="I13" s="28"/>
      <c r="J13" s="22"/>
      <c r="K13" s="22"/>
      <c r="L13" s="60" t="str">
        <f>IFERROR(VLOOKUP(A13&amp;$K$2,ODDS!B12:$K$50000,2,0)," ")</f>
        <v xml:space="preserve"> </v>
      </c>
      <c r="M13" s="39" t="str">
        <f>IFERROR(VLOOKUP(A13&amp;$K$2,ODDS!B12:$K$50000,3,0)," ")</f>
        <v xml:space="preserve"> </v>
      </c>
      <c r="N13" s="53" t="str">
        <f>IFERROR(VLOOKUP(A13&amp;$K$2,ODDS!B12:$K$50000,5,0)," ")</f>
        <v xml:space="preserve"> </v>
      </c>
      <c r="O13" s="53" t="s">
        <v>211</v>
      </c>
      <c r="P13" s="53" t="str">
        <f>IFERROR(VLOOKUP(A13&amp;$K$2,ODDS!B12:$K$50000,6,0)," ")</f>
        <v xml:space="preserve"> </v>
      </c>
      <c r="Q13" s="39" t="str">
        <f>IFERROR(VLOOKUP(A13&amp;$K$2,ODDS!B12:$K$50000,4,0)," ")</f>
        <v xml:space="preserve"> </v>
      </c>
      <c r="R13" s="53" t="str">
        <f t="shared" si="2"/>
        <v xml:space="preserve"> </v>
      </c>
    </row>
    <row r="14" spans="1:25" s="23" customFormat="1" x14ac:dyDescent="0.25">
      <c r="A14" s="39">
        <v>12</v>
      </c>
      <c r="B14" s="54" t="str">
        <f>IFERROR(VLOOKUP(A14&amp;$I$2,ODDS!A13:$K$50000,3,0)," ")</f>
        <v xml:space="preserve"> </v>
      </c>
      <c r="C14" s="53" t="str">
        <f>IFERROR(VLOOKUP(A14&amp;$I$2,ODDS!A13:$K$50000,4,0)," ")</f>
        <v xml:space="preserve"> </v>
      </c>
      <c r="D14" s="53" t="str">
        <f>IFERROR(VLOOKUP(A14&amp;$I$2,ODDS!A13:$K$50000,6,0)," ")</f>
        <v xml:space="preserve"> </v>
      </c>
      <c r="E14" s="53" t="s">
        <v>211</v>
      </c>
      <c r="F14" s="53" t="str">
        <f>IFERROR(VLOOKUP(A14&amp;$I$2,ODDS!A13:$K$50000,7,0)," ")</f>
        <v xml:space="preserve"> </v>
      </c>
      <c r="G14" s="53" t="str">
        <f>IFERROR(VLOOKUP(A14&amp;$I$2,ODDS!A13:$K$50000,5,0)," ")</f>
        <v xml:space="preserve"> </v>
      </c>
      <c r="H14" s="53" t="str">
        <f t="shared" si="3"/>
        <v xml:space="preserve"> </v>
      </c>
      <c r="I14" s="28"/>
      <c r="J14" s="22"/>
      <c r="K14" s="22"/>
      <c r="L14" s="60" t="str">
        <f>IFERROR(VLOOKUP(A14&amp;$K$2,ODDS!B13:$K$50000,2,0)," ")</f>
        <v xml:space="preserve"> </v>
      </c>
      <c r="M14" s="39" t="str">
        <f>IFERROR(VLOOKUP(A14&amp;$K$2,ODDS!B13:$K$50000,3,0)," ")</f>
        <v xml:space="preserve"> </v>
      </c>
      <c r="N14" s="53" t="str">
        <f>IFERROR(VLOOKUP(A14&amp;$K$2,ODDS!B13:$K$50000,5,0)," ")</f>
        <v xml:space="preserve"> </v>
      </c>
      <c r="O14" s="53" t="s">
        <v>211</v>
      </c>
      <c r="P14" s="53" t="str">
        <f>IFERROR(VLOOKUP(A14&amp;$K$2,ODDS!B13:$K$50000,6,0)," ")</f>
        <v xml:space="preserve"> </v>
      </c>
      <c r="Q14" s="39" t="str">
        <f>IFERROR(VLOOKUP(A14&amp;$K$2,ODDS!B13:$K$50000,4,0)," ")</f>
        <v xml:space="preserve"> </v>
      </c>
      <c r="R14" s="53" t="str">
        <f t="shared" si="2"/>
        <v xml:space="preserve"> </v>
      </c>
    </row>
    <row r="15" spans="1:25" s="23" customFormat="1" x14ac:dyDescent="0.25">
      <c r="A15" s="39">
        <v>13</v>
      </c>
      <c r="B15" s="54" t="str">
        <f>IFERROR(VLOOKUP(A15&amp;$I$2,ODDS!A14:$K$50000,3,0)," ")</f>
        <v xml:space="preserve"> </v>
      </c>
      <c r="C15" s="53" t="str">
        <f>IFERROR(VLOOKUP(A15&amp;$I$2,ODDS!A14:$K$50000,4,0)," ")</f>
        <v xml:space="preserve"> </v>
      </c>
      <c r="D15" s="53" t="str">
        <f>IFERROR(VLOOKUP(A15&amp;$I$2,ODDS!A14:$K$50000,6,0)," ")</f>
        <v xml:space="preserve"> </v>
      </c>
      <c r="E15" s="53" t="s">
        <v>211</v>
      </c>
      <c r="F15" s="53" t="str">
        <f>IFERROR(VLOOKUP(A15&amp;$I$2,ODDS!A14:$K$50000,7,0)," ")</f>
        <v xml:space="preserve"> </v>
      </c>
      <c r="G15" s="53" t="str">
        <f>IFERROR(VLOOKUP(A15&amp;$I$2,ODDS!A14:$K$50000,5,0)," ")</f>
        <v xml:space="preserve"> </v>
      </c>
      <c r="H15" s="53" t="str">
        <f t="shared" si="3"/>
        <v xml:space="preserve"> </v>
      </c>
      <c r="I15" s="28"/>
      <c r="J15" s="22"/>
      <c r="K15" s="22"/>
      <c r="L15" s="60" t="str">
        <f>IFERROR(VLOOKUP(A15&amp;$K$2,ODDS!B14:$K$50000,2,0)," ")</f>
        <v xml:space="preserve"> </v>
      </c>
      <c r="M15" s="39" t="str">
        <f>IFERROR(VLOOKUP(A15&amp;$K$2,ODDS!B14:$K$50000,3,0)," ")</f>
        <v xml:space="preserve"> </v>
      </c>
      <c r="N15" s="53" t="str">
        <f>IFERROR(VLOOKUP(A15&amp;$K$2,ODDS!B14:$K$50000,5,0)," ")</f>
        <v xml:space="preserve"> </v>
      </c>
      <c r="O15" s="53" t="s">
        <v>211</v>
      </c>
      <c r="P15" s="53" t="str">
        <f>IFERROR(VLOOKUP(A15&amp;$K$2,ODDS!B14:$K$50000,6,0)," ")</f>
        <v xml:space="preserve"> </v>
      </c>
      <c r="Q15" s="39" t="str">
        <f>IFERROR(VLOOKUP(A15&amp;$K$2,ODDS!B14:$K$50000,4,0)," ")</f>
        <v xml:space="preserve"> </v>
      </c>
      <c r="R15" s="53" t="str">
        <f t="shared" si="2"/>
        <v xml:space="preserve"> </v>
      </c>
    </row>
    <row r="16" spans="1:25" s="23" customFormat="1" x14ac:dyDescent="0.25">
      <c r="A16" s="39">
        <v>14</v>
      </c>
      <c r="B16" s="54" t="str">
        <f>IFERROR(VLOOKUP(A16&amp;$I$2,ODDS!A15:$K$50000,3,0)," ")</f>
        <v xml:space="preserve"> </v>
      </c>
      <c r="C16" s="53" t="str">
        <f>IFERROR(VLOOKUP(A16&amp;$I$2,ODDS!A15:$K$50000,4,0)," ")</f>
        <v xml:space="preserve"> </v>
      </c>
      <c r="D16" s="53" t="str">
        <f>IFERROR(VLOOKUP(A16&amp;$I$2,ODDS!A15:$K$50000,6,0)," ")</f>
        <v xml:space="preserve"> </v>
      </c>
      <c r="E16" s="53" t="s">
        <v>211</v>
      </c>
      <c r="F16" s="53" t="str">
        <f>IFERROR(VLOOKUP(A16&amp;$I$2,ODDS!A15:$K$50000,7,0)," ")</f>
        <v xml:space="preserve"> </v>
      </c>
      <c r="G16" s="53" t="str">
        <f>IFERROR(VLOOKUP(A16&amp;$I$2,ODDS!A15:$K$50000,5,0)," ")</f>
        <v xml:space="preserve"> </v>
      </c>
      <c r="H16" s="53" t="str">
        <f t="shared" si="3"/>
        <v xml:space="preserve"> </v>
      </c>
      <c r="I16" s="28"/>
      <c r="J16" s="22"/>
      <c r="K16" s="22"/>
      <c r="L16" s="60" t="str">
        <f>IFERROR(VLOOKUP(A16&amp;$K$2,ODDS!B15:$K$50000,2,0)," ")</f>
        <v xml:space="preserve"> </v>
      </c>
      <c r="M16" s="39" t="str">
        <f>IFERROR(VLOOKUP(A16&amp;$K$2,ODDS!B15:$K$50000,3,0)," ")</f>
        <v xml:space="preserve"> </v>
      </c>
      <c r="N16" s="53" t="str">
        <f>IFERROR(VLOOKUP(A16&amp;$K$2,ODDS!B15:$K$50000,5,0)," ")</f>
        <v xml:space="preserve"> </v>
      </c>
      <c r="O16" s="53" t="s">
        <v>211</v>
      </c>
      <c r="P16" s="53" t="str">
        <f>IFERROR(VLOOKUP(A16&amp;$K$2,ODDS!B15:$K$50000,6,0)," ")</f>
        <v xml:space="preserve"> </v>
      </c>
      <c r="Q16" s="39" t="str">
        <f>IFERROR(VLOOKUP(A16&amp;$K$2,ODDS!B15:$K$50000,4,0)," ")</f>
        <v xml:space="preserve"> </v>
      </c>
      <c r="R16" s="53" t="str">
        <f t="shared" si="2"/>
        <v xml:space="preserve"> </v>
      </c>
    </row>
    <row r="17" spans="1:31" s="23" customFormat="1" x14ac:dyDescent="0.25">
      <c r="A17" s="39">
        <v>15</v>
      </c>
      <c r="B17" s="54" t="str">
        <f>IFERROR(VLOOKUP(A17&amp;$I$2,ODDS!A16:$K$50000,3,0)," ")</f>
        <v xml:space="preserve"> </v>
      </c>
      <c r="C17" s="53" t="str">
        <f>IFERROR(VLOOKUP(A17&amp;$I$2,ODDS!A16:$K$50000,4,0)," ")</f>
        <v xml:space="preserve"> </v>
      </c>
      <c r="D17" s="53" t="str">
        <f>IFERROR(VLOOKUP(A17&amp;$I$2,ODDS!A16:$K$50000,6,0)," ")</f>
        <v xml:space="preserve"> </v>
      </c>
      <c r="E17" s="53" t="s">
        <v>211</v>
      </c>
      <c r="F17" s="53" t="str">
        <f>IFERROR(VLOOKUP(A17&amp;$I$2,ODDS!A16:$K$50000,7,0)," ")</f>
        <v xml:space="preserve"> </v>
      </c>
      <c r="G17" s="53" t="str">
        <f>IFERROR(VLOOKUP(A17&amp;$I$2,ODDS!A16:$K$50000,5,0)," ")</f>
        <v xml:space="preserve"> </v>
      </c>
      <c r="H17" s="53" t="str">
        <f t="shared" si="3"/>
        <v xml:space="preserve"> </v>
      </c>
      <c r="I17" s="28"/>
      <c r="J17" s="22"/>
      <c r="K17" s="22"/>
      <c r="L17" s="60" t="str">
        <f>IFERROR(VLOOKUP(A17&amp;$K$2,ODDS!B16:$K$50000,2,0)," ")</f>
        <v xml:space="preserve"> </v>
      </c>
      <c r="M17" s="39" t="str">
        <f>IFERROR(VLOOKUP(A17&amp;$K$2,ODDS!B16:$K$50000,3,0)," ")</f>
        <v xml:space="preserve"> </v>
      </c>
      <c r="N17" s="53" t="str">
        <f>IFERROR(VLOOKUP(A17&amp;$K$2,ODDS!B16:$K$50000,5,0)," ")</f>
        <v xml:space="preserve"> </v>
      </c>
      <c r="O17" s="53" t="s">
        <v>211</v>
      </c>
      <c r="P17" s="53" t="str">
        <f>IFERROR(VLOOKUP(A17&amp;$K$2,ODDS!B16:$K$50000,6,0)," ")</f>
        <v xml:space="preserve"> </v>
      </c>
      <c r="Q17" s="39" t="str">
        <f>IFERROR(VLOOKUP(A17&amp;$K$2,ODDS!B16:$K$50000,4,0)," ")</f>
        <v xml:space="preserve"> </v>
      </c>
      <c r="R17" s="53" t="str">
        <f t="shared" si="2"/>
        <v xml:space="preserve"> </v>
      </c>
    </row>
    <row r="18" spans="1:31" s="23" customFormat="1" x14ac:dyDescent="0.25">
      <c r="A18" s="39">
        <v>16</v>
      </c>
      <c r="B18" s="54" t="str">
        <f>IFERROR(VLOOKUP(A18&amp;$I$2,ODDS!A17:$K$50000,3,0)," ")</f>
        <v xml:space="preserve"> </v>
      </c>
      <c r="C18" s="53" t="str">
        <f>IFERROR(VLOOKUP(A18&amp;$I$2,ODDS!A17:$K$50000,4,0)," ")</f>
        <v xml:space="preserve"> </v>
      </c>
      <c r="D18" s="53" t="str">
        <f>IFERROR(VLOOKUP(A18&amp;$I$2,ODDS!A17:$K$50000,6,0)," ")</f>
        <v xml:space="preserve"> </v>
      </c>
      <c r="E18" s="53" t="s">
        <v>211</v>
      </c>
      <c r="F18" s="53" t="str">
        <f>IFERROR(VLOOKUP(A18&amp;$I$2,ODDS!A17:$K$50000,7,0)," ")</f>
        <v xml:space="preserve"> </v>
      </c>
      <c r="G18" s="53" t="str">
        <f>IFERROR(VLOOKUP(A18&amp;$I$2,ODDS!A17:$K$50000,5,0)," ")</f>
        <v xml:space="preserve"> </v>
      </c>
      <c r="H18" s="53" t="str">
        <f t="shared" si="3"/>
        <v xml:space="preserve"> </v>
      </c>
      <c r="I18" s="22"/>
      <c r="J18" s="22"/>
      <c r="K18" s="22"/>
      <c r="L18" s="60" t="str">
        <f>IFERROR(VLOOKUP(A18&amp;$K$2,ODDS!B17:$K$50000,2,0)," ")</f>
        <v xml:space="preserve"> </v>
      </c>
      <c r="M18" s="39" t="str">
        <f>IFERROR(VLOOKUP(A18&amp;$K$2,ODDS!B17:$K$50000,3,0)," ")</f>
        <v xml:space="preserve"> </v>
      </c>
      <c r="N18" s="53" t="str">
        <f>IFERROR(VLOOKUP(A18&amp;$K$2,ODDS!B17:$K$50000,5,0)," ")</f>
        <v xml:space="preserve"> </v>
      </c>
      <c r="O18" s="53" t="s">
        <v>211</v>
      </c>
      <c r="P18" s="53" t="str">
        <f>IFERROR(VLOOKUP(A18&amp;$K$2,ODDS!B17:$K$50000,6,0)," ")</f>
        <v xml:space="preserve"> </v>
      </c>
      <c r="Q18" s="39" t="str">
        <f>IFERROR(VLOOKUP(A18&amp;$K$2,ODDS!B17:$K$50000,4,0)," ")</f>
        <v xml:space="preserve"> </v>
      </c>
      <c r="R18" s="53" t="str">
        <f t="shared" si="2"/>
        <v xml:space="preserve"> </v>
      </c>
    </row>
    <row r="19" spans="1:31" s="23" customFormat="1" x14ac:dyDescent="0.25">
      <c r="A19" s="39">
        <v>17</v>
      </c>
      <c r="B19" s="54" t="str">
        <f>IFERROR(VLOOKUP(A19&amp;$I$2,ODDS!A18:$K$50000,3,0)," ")</f>
        <v xml:space="preserve"> </v>
      </c>
      <c r="C19" s="53" t="str">
        <f>IFERROR(VLOOKUP(A19&amp;$I$2,ODDS!A18:$K$50000,4,0)," ")</f>
        <v xml:space="preserve"> </v>
      </c>
      <c r="D19" s="53" t="str">
        <f>IFERROR(VLOOKUP(A19&amp;$I$2,ODDS!A18:$K$50000,6,0)," ")</f>
        <v xml:space="preserve"> </v>
      </c>
      <c r="E19" s="53" t="s">
        <v>211</v>
      </c>
      <c r="F19" s="53" t="str">
        <f>IFERROR(VLOOKUP(A19&amp;$I$2,ODDS!A18:$K$50000,7,0)," ")</f>
        <v xml:space="preserve"> </v>
      </c>
      <c r="G19" s="53" t="str">
        <f>IFERROR(VLOOKUP(A19&amp;$I$2,ODDS!A18:$K$50000,5,0)," ")</f>
        <v xml:space="preserve"> </v>
      </c>
      <c r="H19" s="53" t="str">
        <f t="shared" si="3"/>
        <v xml:space="preserve"> </v>
      </c>
      <c r="I19" s="22"/>
      <c r="J19" s="22"/>
      <c r="K19" s="22"/>
      <c r="L19" s="60" t="str">
        <f>IFERROR(VLOOKUP(A19&amp;$K$2,ODDS!B18:$K$50000,2,0)," ")</f>
        <v xml:space="preserve"> </v>
      </c>
      <c r="M19" s="39" t="str">
        <f>IFERROR(VLOOKUP(A19&amp;$K$2,ODDS!B18:$K$50000,3,0)," ")</f>
        <v xml:space="preserve"> </v>
      </c>
      <c r="N19" s="53" t="str">
        <f>IFERROR(VLOOKUP(A19&amp;$K$2,ODDS!B18:$K$50000,5,0)," ")</f>
        <v xml:space="preserve"> </v>
      </c>
      <c r="O19" s="53" t="s">
        <v>211</v>
      </c>
      <c r="P19" s="53" t="str">
        <f>IFERROR(VLOOKUP(A19&amp;$K$2,ODDS!B18:$K$50000,6,0)," ")</f>
        <v xml:space="preserve"> </v>
      </c>
      <c r="Q19" s="39" t="str">
        <f>IFERROR(VLOOKUP(A19&amp;$K$2,ODDS!B18:$K$50000,4,0)," ")</f>
        <v xml:space="preserve"> </v>
      </c>
      <c r="R19" s="53" t="str">
        <f t="shared" si="2"/>
        <v xml:space="preserve"> </v>
      </c>
    </row>
    <row r="20" spans="1:31" s="23" customFormat="1" x14ac:dyDescent="0.25">
      <c r="A20" s="39">
        <v>18</v>
      </c>
      <c r="B20" s="54" t="str">
        <f>IFERROR(VLOOKUP(A20&amp;$I$2,ODDS!A19:$K$50000,3,0)," ")</f>
        <v xml:space="preserve"> </v>
      </c>
      <c r="C20" s="53" t="str">
        <f>IFERROR(VLOOKUP(A20&amp;$I$2,ODDS!A19:$K$50000,4,0)," ")</f>
        <v xml:space="preserve"> </v>
      </c>
      <c r="D20" s="53" t="str">
        <f>IFERROR(VLOOKUP(A20&amp;$I$2,ODDS!A19:$K$50000,6,0)," ")</f>
        <v xml:space="preserve"> </v>
      </c>
      <c r="E20" s="53" t="s">
        <v>211</v>
      </c>
      <c r="F20" s="53" t="str">
        <f>IFERROR(VLOOKUP(A20&amp;$I$2,ODDS!A19:$K$50000,7,0)," ")</f>
        <v xml:space="preserve"> </v>
      </c>
      <c r="G20" s="53" t="str">
        <f>IFERROR(VLOOKUP(A20&amp;$I$2,ODDS!A19:$K$50000,5,0)," ")</f>
        <v xml:space="preserve"> </v>
      </c>
      <c r="H20" s="53" t="str">
        <f t="shared" si="3"/>
        <v xml:space="preserve"> </v>
      </c>
      <c r="I20" s="22"/>
      <c r="J20" s="22"/>
      <c r="K20" s="22"/>
      <c r="L20" s="60" t="str">
        <f>IFERROR(VLOOKUP(A20&amp;$K$2,ODDS!B19:$K$50000,2,0)," ")</f>
        <v xml:space="preserve"> </v>
      </c>
      <c r="M20" s="39" t="str">
        <f>IFERROR(VLOOKUP(A20&amp;$K$2,ODDS!B19:$K$50000,3,0)," ")</f>
        <v xml:space="preserve"> </v>
      </c>
      <c r="N20" s="53" t="str">
        <f>IFERROR(VLOOKUP(A20&amp;$K$2,ODDS!B19:$K$50000,5,0)," ")</f>
        <v xml:space="preserve"> </v>
      </c>
      <c r="O20" s="53" t="s">
        <v>211</v>
      </c>
      <c r="P20" s="53" t="str">
        <f>IFERROR(VLOOKUP(A20&amp;$K$2,ODDS!B19:$K$50000,6,0)," ")</f>
        <v xml:space="preserve"> </v>
      </c>
      <c r="Q20" s="39" t="str">
        <f>IFERROR(VLOOKUP(A20&amp;$K$2,ODDS!B19:$K$50000,4,0)," ")</f>
        <v xml:space="preserve"> </v>
      </c>
      <c r="R20" s="53" t="str">
        <f t="shared" si="2"/>
        <v xml:space="preserve"> </v>
      </c>
    </row>
    <row r="21" spans="1:31" s="23" customFormat="1" x14ac:dyDescent="0.25">
      <c r="A21" s="39">
        <v>19</v>
      </c>
      <c r="B21" s="54" t="str">
        <f>IFERROR(VLOOKUP(A21&amp;$I$2,ODDS!A20:$K$50000,3,0)," ")</f>
        <v xml:space="preserve"> </v>
      </c>
      <c r="C21" s="53" t="str">
        <f>IFERROR(VLOOKUP(A21&amp;$I$2,ODDS!A20:$K$50000,4,0)," ")</f>
        <v xml:space="preserve"> </v>
      </c>
      <c r="D21" s="53" t="str">
        <f>IFERROR(VLOOKUP(A21&amp;$I$2,ODDS!A20:$K$50000,6,0)," ")</f>
        <v xml:space="preserve"> </v>
      </c>
      <c r="E21" s="53" t="s">
        <v>211</v>
      </c>
      <c r="F21" s="53" t="str">
        <f>IFERROR(VLOOKUP(A21&amp;$I$2,ODDS!A20:$K$50000,7,0)," ")</f>
        <v xml:space="preserve"> </v>
      </c>
      <c r="G21" s="53" t="str">
        <f>IFERROR(VLOOKUP(A21&amp;$I$2,ODDS!A20:$K$50000,5,0)," ")</f>
        <v xml:space="preserve"> </v>
      </c>
      <c r="H21" s="53" t="str">
        <f t="shared" si="3"/>
        <v xml:space="preserve"> </v>
      </c>
      <c r="I21" s="22"/>
      <c r="J21" s="22"/>
      <c r="K21" s="22"/>
      <c r="L21" s="60" t="str">
        <f>IFERROR(VLOOKUP(A21&amp;$K$2,ODDS!B20:$K$50000,2,0)," ")</f>
        <v xml:space="preserve"> </v>
      </c>
      <c r="M21" s="39" t="str">
        <f>IFERROR(VLOOKUP(A21&amp;$K$2,ODDS!B20:$K$50000,3,0)," ")</f>
        <v xml:space="preserve"> </v>
      </c>
      <c r="N21" s="53" t="str">
        <f>IFERROR(VLOOKUP(A21&amp;$K$2,ODDS!B20:$K$50000,5,0)," ")</f>
        <v xml:space="preserve"> </v>
      </c>
      <c r="O21" s="53" t="s">
        <v>211</v>
      </c>
      <c r="P21" s="53" t="str">
        <f>IFERROR(VLOOKUP(A21&amp;$K$2,ODDS!B20:$K$50000,6,0)," ")</f>
        <v xml:space="preserve"> </v>
      </c>
      <c r="Q21" s="39" t="str">
        <f>IFERROR(VLOOKUP(A21&amp;$K$2,ODDS!B20:$K$50000,4,0)," ")</f>
        <v xml:space="preserve"> </v>
      </c>
      <c r="R21" s="53" t="str">
        <f t="shared" si="2"/>
        <v xml:space="preserve"> </v>
      </c>
    </row>
    <row r="22" spans="1:31" s="23" customFormat="1" x14ac:dyDescent="0.25">
      <c r="B22" s="54" t="str">
        <f>IFERROR(VLOOKUP(A22&amp;$I$2,ODDS!A21:$K$50000,3,0)," ")</f>
        <v xml:space="preserve"> </v>
      </c>
      <c r="C22" s="53" t="str">
        <f>IFERROR(VLOOKUP(A22&amp;$I$2,ODDS!A21:$K$50000,4,0)," ")</f>
        <v xml:space="preserve"> </v>
      </c>
      <c r="D22" s="53" t="str">
        <f>IFERROR(VLOOKUP(A22&amp;$I$2,ODDS!A21:$K$50000,6,0)," ")</f>
        <v xml:space="preserve"> </v>
      </c>
      <c r="E22" s="53" t="s">
        <v>211</v>
      </c>
      <c r="F22" s="53" t="str">
        <f>IFERROR(VLOOKUP(A22&amp;$I$2,ODDS!A21:$K$50000,7,0)," ")</f>
        <v xml:space="preserve"> </v>
      </c>
      <c r="G22" s="53" t="str">
        <f>IFERROR(VLOOKUP(A22&amp;$I$2,ODDS!A21:$K$50000,5,0)," ")</f>
        <v xml:space="preserve"> </v>
      </c>
      <c r="H22" s="53" t="str">
        <f t="shared" si="3"/>
        <v xml:space="preserve"> </v>
      </c>
      <c r="I22" s="22"/>
      <c r="J22" s="22"/>
      <c r="K22" s="22"/>
      <c r="L22" s="60" t="str">
        <f>IFERROR(VLOOKUP(A22&amp;$K$2,ODDS!B21:$K$50000,2,0)," ")</f>
        <v xml:space="preserve"> </v>
      </c>
      <c r="M22" s="39" t="str">
        <f>IFERROR(VLOOKUP(A22&amp;$K$2,ODDS!B21:$K$50000,3,0)," ")</f>
        <v xml:space="preserve"> </v>
      </c>
      <c r="N22" s="53" t="str">
        <f>IFERROR(VLOOKUP(A22&amp;$K$2,ODDS!B21:$K$50000,5,0)," ")</f>
        <v xml:space="preserve"> </v>
      </c>
      <c r="O22" s="53" t="s">
        <v>211</v>
      </c>
      <c r="P22" s="53" t="str">
        <f>IFERROR(VLOOKUP(A22&amp;$K$2,ODDS!B21:$K$50000,6,0)," ")</f>
        <v xml:space="preserve"> </v>
      </c>
      <c r="Q22" s="39" t="str">
        <f>IFERROR(VLOOKUP(A22&amp;$K$2,ODDS!B21:$K$50000,4,0)," ")</f>
        <v xml:space="preserve"> </v>
      </c>
      <c r="R22" s="53" t="str">
        <f t="shared" si="2"/>
        <v xml:space="preserve"> </v>
      </c>
    </row>
    <row r="23" spans="1:31" s="23" customFormat="1" x14ac:dyDescent="0.25">
      <c r="B23" s="54" t="str">
        <f>IFERROR(VLOOKUP(A23&amp;$I$2,ODDS!A22:$K$50000,3,0)," ")</f>
        <v xml:space="preserve"> </v>
      </c>
      <c r="C23" s="53" t="str">
        <f>IFERROR(VLOOKUP(A23&amp;$I$2,ODDS!A22:$K$50000,4,0)," ")</f>
        <v xml:space="preserve"> </v>
      </c>
      <c r="D23" s="53" t="str">
        <f>IFERROR(VLOOKUP(A23&amp;$I$2,ODDS!A22:$K$50000,6,0)," ")</f>
        <v xml:space="preserve"> </v>
      </c>
      <c r="E23" s="53" t="s">
        <v>211</v>
      </c>
      <c r="F23" s="53" t="str">
        <f>IFERROR(VLOOKUP(A23&amp;$I$2,ODDS!A22:$K$50000,7,0)," ")</f>
        <v xml:space="preserve"> </v>
      </c>
      <c r="G23" s="53" t="str">
        <f>IFERROR(VLOOKUP(A23&amp;$I$2,ODDS!A22:$K$50000,5,0)," ")</f>
        <v xml:space="preserve"> </v>
      </c>
      <c r="H23" s="53" t="str">
        <f t="shared" si="3"/>
        <v xml:space="preserve"> </v>
      </c>
      <c r="I23" s="22"/>
      <c r="J23" s="22"/>
      <c r="K23" s="22"/>
      <c r="L23" s="60" t="str">
        <f>IFERROR(VLOOKUP(A23&amp;$K$2,ODDS!B22:$K$50000,2,0)," ")</f>
        <v xml:space="preserve"> </v>
      </c>
      <c r="M23" s="39" t="str">
        <f>IFERROR(VLOOKUP(A23&amp;$K$2,ODDS!B22:$K$50000,3,0)," ")</f>
        <v xml:space="preserve"> </v>
      </c>
      <c r="N23" s="53" t="str">
        <f>IFERROR(VLOOKUP(A23&amp;$K$2,ODDS!B22:$K$50000,5,0)," ")</f>
        <v xml:space="preserve"> </v>
      </c>
      <c r="O23" s="53" t="s">
        <v>211</v>
      </c>
      <c r="P23" s="53" t="str">
        <f>IFERROR(VLOOKUP(A23&amp;$K$2,ODDS!B22:$K$50000,6,0)," ")</f>
        <v xml:space="preserve"> </v>
      </c>
      <c r="Q23" s="39" t="str">
        <f>IFERROR(VLOOKUP(A23&amp;$K$2,ODDS!B22:$K$50000,4,0)," ")</f>
        <v xml:space="preserve"> </v>
      </c>
      <c r="R23" s="53" t="str">
        <f t="shared" si="2"/>
        <v xml:space="preserve"> </v>
      </c>
    </row>
    <row r="24" spans="1:31" s="23" customFormat="1" x14ac:dyDescent="0.25">
      <c r="B24" s="54" t="str">
        <f>IFERROR(VLOOKUP(A24&amp;$I$2,ODDS!A23:$K$50000,3,0)," ")</f>
        <v xml:space="preserve"> </v>
      </c>
      <c r="C24" s="53" t="str">
        <f>IFERROR(VLOOKUP(A24&amp;$I$2,ODDS!A23:$K$50000,4,0)," ")</f>
        <v xml:space="preserve"> </v>
      </c>
      <c r="D24" s="53" t="str">
        <f>IFERROR(VLOOKUP(A24&amp;$I$2,ODDS!A23:$K$50000,6,0)," ")</f>
        <v xml:space="preserve"> </v>
      </c>
      <c r="E24" s="53" t="s">
        <v>211</v>
      </c>
      <c r="F24" s="53" t="str">
        <f>IFERROR(VLOOKUP(A24&amp;$I$2,ODDS!A23:$K$50000,7,0)," ")</f>
        <v xml:space="preserve"> </v>
      </c>
      <c r="G24" s="53" t="str">
        <f>IFERROR(VLOOKUP(A24&amp;$I$2,ODDS!A23:$K$50000,5,0)," ")</f>
        <v xml:space="preserve"> </v>
      </c>
      <c r="H24" s="53" t="str">
        <f t="shared" si="3"/>
        <v xml:space="preserve"> </v>
      </c>
      <c r="I24" s="22"/>
      <c r="J24" s="22"/>
      <c r="K24" s="22"/>
      <c r="L24" s="60" t="str">
        <f>IFERROR(VLOOKUP(A24&amp;$K$2,ODDS!B23:$K$50000,2,0)," ")</f>
        <v xml:space="preserve"> </v>
      </c>
      <c r="M24" s="39" t="str">
        <f>IFERROR(VLOOKUP(A24&amp;$K$2,ODDS!B23:$K$50000,3,0)," ")</f>
        <v xml:space="preserve"> </v>
      </c>
      <c r="N24" s="53" t="str">
        <f>IFERROR(VLOOKUP(A24&amp;$K$2,ODDS!B23:$K$50000,5,0)," ")</f>
        <v xml:space="preserve"> </v>
      </c>
      <c r="O24" s="53" t="s">
        <v>211</v>
      </c>
      <c r="P24" s="53" t="str">
        <f>IFERROR(VLOOKUP(A24&amp;$K$2,ODDS!B23:$K$50000,6,0)," ")</f>
        <v xml:space="preserve"> </v>
      </c>
      <c r="Q24" s="39" t="str">
        <f>IFERROR(VLOOKUP(A24&amp;$K$2,ODDS!B23:$K$50000,4,0)," ")</f>
        <v xml:space="preserve"> </v>
      </c>
      <c r="R24" s="53" t="str">
        <f t="shared" si="2"/>
        <v xml:space="preserve"> </v>
      </c>
    </row>
    <row r="25" spans="1:31" s="23" customFormat="1" x14ac:dyDescent="0.25">
      <c r="B25" s="54" t="str">
        <f>IFERROR(VLOOKUP(A25&amp;$I$2,ODDS!A24:$K$50000,3,0)," ")</f>
        <v xml:space="preserve"> </v>
      </c>
      <c r="C25" s="53" t="str">
        <f>IFERROR(VLOOKUP(A25&amp;$I$2,ODDS!A24:$K$50000,4,0)," ")</f>
        <v xml:space="preserve"> </v>
      </c>
      <c r="D25" s="53" t="str">
        <f>IFERROR(VLOOKUP(A25&amp;$I$2,ODDS!A24:$K$50000,6,0)," ")</f>
        <v xml:space="preserve"> </v>
      </c>
      <c r="E25" s="53" t="s">
        <v>211</v>
      </c>
      <c r="F25" s="53" t="str">
        <f>IFERROR(VLOOKUP(A25&amp;$I$2,ODDS!A24:$K$50000,7,0)," ")</f>
        <v xml:space="preserve"> </v>
      </c>
      <c r="G25" s="53" t="str">
        <f>IFERROR(VLOOKUP(A25&amp;$I$2,ODDS!A24:$K$50000,5,0)," ")</f>
        <v xml:space="preserve"> </v>
      </c>
      <c r="H25" s="53" t="str">
        <f t="shared" si="3"/>
        <v xml:space="preserve"> </v>
      </c>
      <c r="I25" s="22"/>
      <c r="J25" s="22"/>
      <c r="K25" s="22"/>
      <c r="L25" s="60" t="str">
        <f>IFERROR(VLOOKUP(A25&amp;$K$2,ODDS!B24:$K$50000,2,0)," ")</f>
        <v xml:space="preserve"> </v>
      </c>
      <c r="M25" s="39" t="str">
        <f>IFERROR(VLOOKUP(A25&amp;$K$2,ODDS!B24:$K$50000,3,0)," ")</f>
        <v xml:space="preserve"> </v>
      </c>
      <c r="N25" s="53" t="str">
        <f>IFERROR(VLOOKUP(A25&amp;$K$2,ODDS!B24:$K$50000,5,0)," ")</f>
        <v xml:space="preserve"> </v>
      </c>
      <c r="O25" s="53" t="s">
        <v>211</v>
      </c>
      <c r="P25" s="53" t="str">
        <f>IFERROR(VLOOKUP(A25&amp;$K$2,ODDS!B24:$K$50000,6,0)," ")</f>
        <v xml:space="preserve"> </v>
      </c>
      <c r="Q25" s="39" t="str">
        <f>IFERROR(VLOOKUP(A25&amp;$K$2,ODDS!B24:$K$50000,4,0)," ")</f>
        <v xml:space="preserve"> </v>
      </c>
      <c r="R25" s="53" t="str">
        <f t="shared" ref="R25:R76" si="4">IF(Q25=$K$2,IF(P25&gt;N25,"VENCEU",IF(P25=N25,"EMPATOU",IF(N25&gt;P25,"PERDEU")))," ")</f>
        <v xml:space="preserve"> </v>
      </c>
    </row>
    <row r="26" spans="1:31" s="23" customFormat="1" x14ac:dyDescent="0.25">
      <c r="B26" s="54" t="str">
        <f>IFERROR(VLOOKUP(A26&amp;$I$2,ODDS!A25:$K$50000,3,0)," ")</f>
        <v xml:space="preserve"> </v>
      </c>
      <c r="C26" s="53" t="str">
        <f>IFERROR(VLOOKUP(A26&amp;$I$2,ODDS!A25:$K$50000,4,0)," ")</f>
        <v xml:space="preserve"> </v>
      </c>
      <c r="D26" s="53" t="str">
        <f>IFERROR(VLOOKUP(A26&amp;$I$2,ODDS!A25:$K$50000,6,0)," ")</f>
        <v xml:space="preserve"> </v>
      </c>
      <c r="E26" s="53" t="s">
        <v>211</v>
      </c>
      <c r="F26" s="53" t="str">
        <f>IFERROR(VLOOKUP(A26&amp;$I$2,ODDS!A25:$K$50000,7,0)," ")</f>
        <v xml:space="preserve"> </v>
      </c>
      <c r="G26" s="53" t="str">
        <f>IFERROR(VLOOKUP(A26&amp;$I$2,ODDS!A25:$K$50000,5,0)," ")</f>
        <v xml:space="preserve"> </v>
      </c>
      <c r="H26" s="53" t="str">
        <f t="shared" si="3"/>
        <v xml:space="preserve"> </v>
      </c>
      <c r="I26" s="22"/>
      <c r="J26" s="22"/>
      <c r="K26" s="22"/>
      <c r="L26" s="60" t="str">
        <f>IFERROR(VLOOKUP(A26&amp;$K$2,ODDS!B25:$K$50000,2,0)," ")</f>
        <v xml:space="preserve"> </v>
      </c>
      <c r="M26" s="39" t="str">
        <f>IFERROR(VLOOKUP(A26&amp;$K$2,ODDS!B25:$K$50000,3,0)," ")</f>
        <v xml:space="preserve"> </v>
      </c>
      <c r="N26" s="53" t="str">
        <f>IFERROR(VLOOKUP(A26&amp;$K$2,ODDS!B25:$K$50000,5,0)," ")</f>
        <v xml:space="preserve"> </v>
      </c>
      <c r="O26" s="53" t="s">
        <v>211</v>
      </c>
      <c r="P26" s="53" t="str">
        <f>IFERROR(VLOOKUP(A26&amp;$K$2,ODDS!B25:$K$50000,6,0)," ")</f>
        <v xml:space="preserve"> </v>
      </c>
      <c r="Q26" s="39" t="str">
        <f>IFERROR(VLOOKUP(A26&amp;$K$2,ODDS!B25:$K$50000,4,0)," ")</f>
        <v xml:space="preserve"> </v>
      </c>
      <c r="R26" s="53" t="str">
        <f t="shared" si="4"/>
        <v xml:space="preserve"> </v>
      </c>
    </row>
    <row r="27" spans="1:31" s="23" customFormat="1" x14ac:dyDescent="0.25">
      <c r="B27" s="54" t="str">
        <f>IFERROR(VLOOKUP(A27&amp;$I$2,ODDS!A26:$K$50000,3,0)," ")</f>
        <v xml:space="preserve"> </v>
      </c>
      <c r="C27" s="53" t="str">
        <f>IFERROR(VLOOKUP(A27&amp;$I$2,ODDS!A26:$K$50000,4,0)," ")</f>
        <v xml:space="preserve"> </v>
      </c>
      <c r="D27" s="53" t="str">
        <f>IFERROR(VLOOKUP(A27&amp;$I$2,ODDS!A26:$K$50000,6,0)," ")</f>
        <v xml:space="preserve"> </v>
      </c>
      <c r="E27" s="53" t="s">
        <v>211</v>
      </c>
      <c r="F27" s="53" t="str">
        <f>IFERROR(VLOOKUP(A27&amp;$I$2,ODDS!A26:$K$50000,7,0)," ")</f>
        <v xml:space="preserve"> </v>
      </c>
      <c r="G27" s="53" t="str">
        <f>IFERROR(VLOOKUP(A27&amp;$I$2,ODDS!A26:$K$50000,5,0)," ")</f>
        <v xml:space="preserve"> </v>
      </c>
      <c r="H27" s="53" t="str">
        <f t="shared" si="3"/>
        <v xml:space="preserve"> </v>
      </c>
      <c r="I27" s="22"/>
      <c r="J27" s="22"/>
      <c r="K27" s="22"/>
      <c r="L27" s="60" t="str">
        <f>IFERROR(VLOOKUP(A27&amp;$K$2,ODDS!B26:$K$50000,2,0)," ")</f>
        <v xml:space="preserve"> </v>
      </c>
      <c r="M27" s="39" t="str">
        <f>IFERROR(VLOOKUP(A27&amp;$K$2,ODDS!B26:$K$50000,3,0)," ")</f>
        <v xml:space="preserve"> </v>
      </c>
      <c r="N27" s="53" t="str">
        <f>IFERROR(VLOOKUP(A27&amp;$K$2,ODDS!B26:$K$50000,5,0)," ")</f>
        <v xml:space="preserve"> </v>
      </c>
      <c r="O27" s="53" t="s">
        <v>211</v>
      </c>
      <c r="P27" s="53" t="str">
        <f>IFERROR(VLOOKUP(A27&amp;$K$2,ODDS!B26:$K$50000,6,0)," ")</f>
        <v xml:space="preserve"> </v>
      </c>
      <c r="Q27" s="39" t="str">
        <f>IFERROR(VLOOKUP(A27&amp;$K$2,ODDS!B26:$K$50000,4,0)," ")</f>
        <v xml:space="preserve"> </v>
      </c>
      <c r="R27" s="53" t="str">
        <f t="shared" si="4"/>
        <v xml:space="preserve"> </v>
      </c>
    </row>
    <row r="28" spans="1:31" s="23" customFormat="1" x14ac:dyDescent="0.25">
      <c r="B28" s="54" t="str">
        <f>IFERROR(VLOOKUP(A28&amp;$I$2,ODDS!A27:$K$50000,3,0)," ")</f>
        <v xml:space="preserve"> </v>
      </c>
      <c r="C28" s="53" t="str">
        <f>IFERROR(VLOOKUP(A28&amp;$I$2,ODDS!A27:$K$50000,4,0)," ")</f>
        <v xml:space="preserve"> </v>
      </c>
      <c r="D28" s="53" t="str">
        <f>IFERROR(VLOOKUP(A28&amp;$I$2,ODDS!A27:$K$50000,6,0)," ")</f>
        <v xml:space="preserve"> </v>
      </c>
      <c r="E28" s="53" t="s">
        <v>211</v>
      </c>
      <c r="F28" s="53" t="str">
        <f>IFERROR(VLOOKUP(A28&amp;$I$2,ODDS!A27:$K$50000,7,0)," ")</f>
        <v xml:space="preserve"> </v>
      </c>
      <c r="G28" s="53" t="str">
        <f>IFERROR(VLOOKUP(A28&amp;$I$2,ODDS!A27:$K$50000,5,0)," ")</f>
        <v xml:space="preserve"> </v>
      </c>
      <c r="H28" s="53" t="str">
        <f t="shared" si="3"/>
        <v xml:space="preserve"> </v>
      </c>
      <c r="I28" s="22"/>
      <c r="J28" s="22"/>
      <c r="K28" s="22"/>
      <c r="L28" s="60" t="str">
        <f>IFERROR(VLOOKUP(A28&amp;$K$2,ODDS!B27:$K$50000,2,0)," ")</f>
        <v xml:space="preserve"> </v>
      </c>
      <c r="M28" s="39" t="str">
        <f>IFERROR(VLOOKUP(A28&amp;$K$2,ODDS!B27:$K$50000,3,0)," ")</f>
        <v xml:space="preserve"> </v>
      </c>
      <c r="N28" s="53" t="str">
        <f>IFERROR(VLOOKUP(A28&amp;$K$2,ODDS!B27:$K$50000,5,0)," ")</f>
        <v xml:space="preserve"> </v>
      </c>
      <c r="O28" s="53" t="s">
        <v>211</v>
      </c>
      <c r="P28" s="53" t="str">
        <f>IFERROR(VLOOKUP(A28&amp;$K$2,ODDS!B27:$K$50000,6,0)," ")</f>
        <v xml:space="preserve"> </v>
      </c>
      <c r="Q28" s="39" t="str">
        <f>IFERROR(VLOOKUP(A28&amp;$K$2,ODDS!B27:$K$50000,4,0)," ")</f>
        <v xml:space="preserve"> </v>
      </c>
      <c r="R28" s="53" t="str">
        <f t="shared" si="4"/>
        <v xml:space="preserve"> </v>
      </c>
      <c r="AE28" s="23" t="s">
        <v>217</v>
      </c>
    </row>
    <row r="29" spans="1:31" x14ac:dyDescent="0.25">
      <c r="B29" s="54" t="str">
        <f>IFERROR(VLOOKUP(A29&amp;$I$2,ODDS!A28:$K$50000,3,0)," ")</f>
        <v xml:space="preserve"> </v>
      </c>
      <c r="C29" s="53" t="str">
        <f>IFERROR(VLOOKUP(A29&amp;$I$2,ODDS!A28:$K$50000,4,0)," ")</f>
        <v xml:space="preserve"> </v>
      </c>
      <c r="D29" s="53" t="str">
        <f>IFERROR(VLOOKUP(A29&amp;$I$2,ODDS!A28:$K$50000,6,0)," ")</f>
        <v xml:space="preserve"> </v>
      </c>
      <c r="E29" s="53" t="s">
        <v>211</v>
      </c>
      <c r="F29" s="53" t="str">
        <f>IFERROR(VLOOKUP(A29&amp;$I$2,ODDS!A28:$K$50000,7,0)," ")</f>
        <v xml:space="preserve"> </v>
      </c>
      <c r="G29" s="53" t="str">
        <f>IFERROR(VLOOKUP(A29&amp;$I$2,ODDS!A28:$K$50000,5,0)," ")</f>
        <v xml:space="preserve"> </v>
      </c>
      <c r="H29" s="53" t="str">
        <f t="shared" si="3"/>
        <v xml:space="preserve"> </v>
      </c>
      <c r="I29" s="22"/>
      <c r="J29" s="22"/>
      <c r="K29" s="22"/>
      <c r="L29" s="60" t="str">
        <f>IFERROR(VLOOKUP(A29&amp;$K$2,ODDS!B28:$K$50000,2,0)," ")</f>
        <v xml:space="preserve"> </v>
      </c>
      <c r="M29" s="39" t="str">
        <f>IFERROR(VLOOKUP(A29&amp;$K$2,ODDS!B28:$K$50000,3,0)," ")</f>
        <v xml:space="preserve"> </v>
      </c>
      <c r="N29" s="53" t="str">
        <f>IFERROR(VLOOKUP(A29&amp;$K$2,ODDS!B28:$K$50000,5,0)," ")</f>
        <v xml:space="preserve"> </v>
      </c>
      <c r="O29" s="53" t="s">
        <v>211</v>
      </c>
      <c r="P29" s="53" t="str">
        <f>IFERROR(VLOOKUP(A29&amp;$K$2,ODDS!B28:$K$50000,6,0)," ")</f>
        <v xml:space="preserve"> </v>
      </c>
      <c r="Q29" s="39" t="str">
        <f>IFERROR(VLOOKUP(A29&amp;$K$2,ODDS!B28:$K$50000,4,0)," ")</f>
        <v xml:space="preserve"> </v>
      </c>
      <c r="R29" s="53" t="str">
        <f t="shared" si="4"/>
        <v xml:space="preserve"> </v>
      </c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</row>
    <row r="30" spans="1:31" x14ac:dyDescent="0.25">
      <c r="B30" s="54" t="str">
        <f>IFERROR(VLOOKUP(A30&amp;$I$2,ODDS!A29:$K$50000,3,0)," ")</f>
        <v xml:space="preserve"> </v>
      </c>
      <c r="C30" s="53" t="str">
        <f>IFERROR(VLOOKUP(A30&amp;$I$2,ODDS!A29:$K$50000,4,0)," ")</f>
        <v xml:space="preserve"> </v>
      </c>
      <c r="D30" s="53" t="str">
        <f>IFERROR(VLOOKUP(A30&amp;$I$2,ODDS!A29:$K$50000,6,0)," ")</f>
        <v xml:space="preserve"> </v>
      </c>
      <c r="E30" s="53" t="s">
        <v>211</v>
      </c>
      <c r="F30" s="53" t="str">
        <f>IFERROR(VLOOKUP(A30&amp;$I$2,ODDS!A29:$K$50000,7,0)," ")</f>
        <v xml:space="preserve"> </v>
      </c>
      <c r="G30" s="53" t="str">
        <f>IFERROR(VLOOKUP(A30&amp;$I$2,ODDS!A29:$K$50000,5,0)," ")</f>
        <v xml:space="preserve"> </v>
      </c>
      <c r="H30" s="53" t="str">
        <f t="shared" si="3"/>
        <v xml:space="preserve"> </v>
      </c>
      <c r="I30" s="22"/>
      <c r="J30" s="22"/>
      <c r="K30" s="22"/>
      <c r="L30" s="60" t="str">
        <f>IFERROR(VLOOKUP(A30&amp;$K$2,ODDS!B29:$K$50000,2,0)," ")</f>
        <v xml:space="preserve"> </v>
      </c>
      <c r="M30" s="39" t="str">
        <f>IFERROR(VLOOKUP(A30&amp;$K$2,ODDS!B29:$K$50000,3,0)," ")</f>
        <v xml:space="preserve"> </v>
      </c>
      <c r="N30" s="53" t="str">
        <f>IFERROR(VLOOKUP(A30&amp;$K$2,ODDS!B29:$K$50000,5,0)," ")</f>
        <v xml:space="preserve"> </v>
      </c>
      <c r="O30" s="53" t="s">
        <v>211</v>
      </c>
      <c r="P30" s="53" t="str">
        <f>IFERROR(VLOOKUP(A30&amp;$K$2,ODDS!B29:$K$50000,6,0)," ")</f>
        <v xml:space="preserve"> </v>
      </c>
      <c r="Q30" s="39" t="str">
        <f>IFERROR(VLOOKUP(A30&amp;$K$2,ODDS!B29:$K$50000,4,0)," ")</f>
        <v xml:space="preserve"> </v>
      </c>
      <c r="R30" s="53" t="str">
        <f t="shared" si="4"/>
        <v xml:space="preserve"> </v>
      </c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 t="s">
        <v>217</v>
      </c>
    </row>
    <row r="31" spans="1:31" x14ac:dyDescent="0.25">
      <c r="B31" s="54" t="str">
        <f>IFERROR(VLOOKUP(A31&amp;$I$2,ODDS!A30:$K$50000,3,0)," ")</f>
        <v xml:space="preserve"> </v>
      </c>
      <c r="C31" s="53" t="str">
        <f>IFERROR(VLOOKUP(A31&amp;$I$2,ODDS!A30:$K$50000,4,0)," ")</f>
        <v xml:space="preserve"> </v>
      </c>
      <c r="D31" s="53" t="str">
        <f>IFERROR(VLOOKUP(A31&amp;$I$2,ODDS!A30:$K$50000,6,0)," ")</f>
        <v xml:space="preserve"> </v>
      </c>
      <c r="E31" s="53" t="s">
        <v>211</v>
      </c>
      <c r="F31" s="53" t="str">
        <f>IFERROR(VLOOKUP(A31&amp;$I$2,ODDS!A30:$K$50000,7,0)," ")</f>
        <v xml:space="preserve"> </v>
      </c>
      <c r="G31" s="53" t="str">
        <f>IFERROR(VLOOKUP(A31&amp;$I$2,ODDS!A30:$K$50000,5,0)," ")</f>
        <v xml:space="preserve"> </v>
      </c>
      <c r="H31" s="53" t="str">
        <f t="shared" si="3"/>
        <v xml:space="preserve"> </v>
      </c>
      <c r="I31" s="22"/>
      <c r="J31" s="22"/>
      <c r="K31" s="22"/>
      <c r="L31" s="60" t="str">
        <f>IFERROR(VLOOKUP(A31&amp;$K$2,ODDS!B30:$K$50000,2,0)," ")</f>
        <v xml:space="preserve"> </v>
      </c>
      <c r="M31" s="39" t="str">
        <f>IFERROR(VLOOKUP(A31&amp;$K$2,ODDS!B30:$K$50000,3,0)," ")</f>
        <v xml:space="preserve"> </v>
      </c>
      <c r="N31" s="53" t="str">
        <f>IFERROR(VLOOKUP(A31&amp;$K$2,ODDS!B30:$K$50000,5,0)," ")</f>
        <v xml:space="preserve"> </v>
      </c>
      <c r="O31" s="53" t="s">
        <v>211</v>
      </c>
      <c r="P31" s="53" t="str">
        <f>IFERROR(VLOOKUP(A31&amp;$K$2,ODDS!B30:$K$50000,6,0)," ")</f>
        <v xml:space="preserve"> </v>
      </c>
      <c r="Q31" s="39" t="str">
        <f>IFERROR(VLOOKUP(A31&amp;$K$2,ODDS!B30:$K$50000,4,0)," ")</f>
        <v xml:space="preserve"> </v>
      </c>
      <c r="R31" s="53" t="str">
        <f t="shared" si="4"/>
        <v xml:space="preserve"> </v>
      </c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</row>
    <row r="32" spans="1:31" x14ac:dyDescent="0.25">
      <c r="B32" s="54" t="str">
        <f>IFERROR(VLOOKUP(A32&amp;$I$2,ODDS!A31:$K$50000,3,0)," ")</f>
        <v xml:space="preserve"> </v>
      </c>
      <c r="C32" s="53" t="str">
        <f>IFERROR(VLOOKUP(A32&amp;$I$2,ODDS!A31:$K$50000,4,0)," ")</f>
        <v xml:space="preserve"> </v>
      </c>
      <c r="D32" s="53" t="str">
        <f>IFERROR(VLOOKUP(A32&amp;$I$2,ODDS!A31:$K$50000,6,0)," ")</f>
        <v xml:space="preserve"> </v>
      </c>
      <c r="E32" s="53" t="s">
        <v>211</v>
      </c>
      <c r="F32" s="53" t="str">
        <f>IFERROR(VLOOKUP(A32&amp;$I$2,ODDS!A31:$K$50000,7,0)," ")</f>
        <v xml:space="preserve"> </v>
      </c>
      <c r="G32" s="53" t="str">
        <f>IFERROR(VLOOKUP(A32&amp;$I$2,ODDS!A31:$K$50000,5,0)," ")</f>
        <v xml:space="preserve"> </v>
      </c>
      <c r="H32" s="53" t="str">
        <f t="shared" si="3"/>
        <v xml:space="preserve"> </v>
      </c>
      <c r="I32" s="22"/>
      <c r="J32" s="22"/>
      <c r="K32" s="22"/>
      <c r="L32" s="60" t="str">
        <f>IFERROR(VLOOKUP(A32&amp;$K$2,ODDS!B31:$K$50000,2,0)," ")</f>
        <v xml:space="preserve"> </v>
      </c>
      <c r="M32" s="39" t="str">
        <f>IFERROR(VLOOKUP(A32&amp;$K$2,ODDS!B31:$K$50000,3,0)," ")</f>
        <v xml:space="preserve"> </v>
      </c>
      <c r="N32" s="53" t="str">
        <f>IFERROR(VLOOKUP(A32&amp;$K$2,ODDS!B31:$K$50000,5,0)," ")</f>
        <v xml:space="preserve"> </v>
      </c>
      <c r="O32" s="53" t="s">
        <v>211</v>
      </c>
      <c r="P32" s="53" t="str">
        <f>IFERROR(VLOOKUP(A32&amp;$K$2,ODDS!B31:$K$50000,6,0)," ")</f>
        <v xml:space="preserve"> </v>
      </c>
      <c r="Q32" s="39" t="str">
        <f>IFERROR(VLOOKUP(A32&amp;$K$2,ODDS!B31:$K$50000,4,0)," ")</f>
        <v xml:space="preserve"> </v>
      </c>
      <c r="R32" s="53" t="str">
        <f t="shared" si="4"/>
        <v xml:space="preserve"> </v>
      </c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 t="s">
        <v>217</v>
      </c>
    </row>
    <row r="33" spans="2:31" x14ac:dyDescent="0.25">
      <c r="B33" s="54" t="str">
        <f>IFERROR(VLOOKUP(A33&amp;$I$2,ODDS!A32:$K$50000,3,0)," ")</f>
        <v xml:space="preserve"> </v>
      </c>
      <c r="C33" s="53" t="str">
        <f>IFERROR(VLOOKUP(A33&amp;$I$2,ODDS!A32:$K$50000,4,0)," ")</f>
        <v xml:space="preserve"> </v>
      </c>
      <c r="D33" s="53" t="str">
        <f>IFERROR(VLOOKUP(A33&amp;$I$2,ODDS!A32:$K$50000,6,0)," ")</f>
        <v xml:space="preserve"> </v>
      </c>
      <c r="E33" s="53" t="s">
        <v>211</v>
      </c>
      <c r="F33" s="53" t="str">
        <f>IFERROR(VLOOKUP(A33&amp;$I$2,ODDS!A32:$K$50000,7,0)," ")</f>
        <v xml:space="preserve"> </v>
      </c>
      <c r="G33" s="53" t="str">
        <f>IFERROR(VLOOKUP(A33&amp;$I$2,ODDS!A32:$K$50000,5,0)," ")</f>
        <v xml:space="preserve"> </v>
      </c>
      <c r="H33" s="53" t="str">
        <f t="shared" si="3"/>
        <v xml:space="preserve"> </v>
      </c>
      <c r="I33" s="22"/>
      <c r="J33" s="22"/>
      <c r="K33" s="22"/>
      <c r="L33" s="60" t="str">
        <f>IFERROR(VLOOKUP(A33&amp;$K$2,ODDS!B32:$K$50000,2,0)," ")</f>
        <v xml:space="preserve"> </v>
      </c>
      <c r="M33" s="39" t="str">
        <f>IFERROR(VLOOKUP(A33&amp;$K$2,ODDS!B32:$K$50000,3,0)," ")</f>
        <v xml:space="preserve"> </v>
      </c>
      <c r="N33" s="53" t="str">
        <f>IFERROR(VLOOKUP(A33&amp;$K$2,ODDS!B32:$K$50000,5,0)," ")</f>
        <v xml:space="preserve"> </v>
      </c>
      <c r="O33" s="53" t="s">
        <v>211</v>
      </c>
      <c r="P33" s="53" t="str">
        <f>IFERROR(VLOOKUP(A33&amp;$K$2,ODDS!B32:$K$50000,6,0)," ")</f>
        <v xml:space="preserve"> </v>
      </c>
      <c r="Q33" s="39" t="str">
        <f>IFERROR(VLOOKUP(A33&amp;$K$2,ODDS!B32:$K$50000,4,0)," ")</f>
        <v xml:space="preserve"> </v>
      </c>
      <c r="R33" s="53" t="str">
        <f t="shared" si="4"/>
        <v xml:space="preserve"> </v>
      </c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</row>
    <row r="34" spans="2:31" x14ac:dyDescent="0.25">
      <c r="B34" s="54" t="str">
        <f>IFERROR(VLOOKUP(A34&amp;$I$2,ODDS!A33:$K$50000,3,0)," ")</f>
        <v xml:space="preserve"> </v>
      </c>
      <c r="C34" s="53" t="str">
        <f>IFERROR(VLOOKUP(A34&amp;$I$2,ODDS!A33:$K$50000,4,0)," ")</f>
        <v xml:space="preserve"> </v>
      </c>
      <c r="D34" s="53" t="str">
        <f>IFERROR(VLOOKUP(A34&amp;$I$2,ODDS!A33:$K$50000,6,0)," ")</f>
        <v xml:space="preserve"> </v>
      </c>
      <c r="E34" s="53" t="s">
        <v>211</v>
      </c>
      <c r="F34" s="53" t="str">
        <f>IFERROR(VLOOKUP(A34&amp;$I$2,ODDS!A33:$K$50000,7,0)," ")</f>
        <v xml:space="preserve"> </v>
      </c>
      <c r="G34" s="53" t="str">
        <f>IFERROR(VLOOKUP(A34&amp;$I$2,ODDS!A33:$K$50000,5,0)," ")</f>
        <v xml:space="preserve"> </v>
      </c>
      <c r="H34" s="53" t="str">
        <f t="shared" si="3"/>
        <v xml:space="preserve"> </v>
      </c>
      <c r="I34" s="22"/>
      <c r="J34" s="22"/>
      <c r="K34" s="22"/>
      <c r="L34" s="60" t="str">
        <f>IFERROR(VLOOKUP(A34&amp;$K$2,ODDS!B33:$K$50000,2,0)," ")</f>
        <v xml:space="preserve"> </v>
      </c>
      <c r="M34" s="39" t="str">
        <f>IFERROR(VLOOKUP(A34&amp;$K$2,ODDS!B33:$K$50000,3,0)," ")</f>
        <v xml:space="preserve"> </v>
      </c>
      <c r="N34" s="53" t="str">
        <f>IFERROR(VLOOKUP(A34&amp;$K$2,ODDS!B33:$K$50000,5,0)," ")</f>
        <v xml:space="preserve"> </v>
      </c>
      <c r="O34" s="53" t="s">
        <v>211</v>
      </c>
      <c r="P34" s="53" t="str">
        <f>IFERROR(VLOOKUP(A34&amp;$K$2,ODDS!B33:$K$50000,6,0)," ")</f>
        <v xml:space="preserve"> </v>
      </c>
      <c r="Q34" s="39" t="str">
        <f>IFERROR(VLOOKUP(A34&amp;$K$2,ODDS!B33:$K$50000,4,0)," ")</f>
        <v xml:space="preserve"> </v>
      </c>
      <c r="R34" s="53" t="str">
        <f t="shared" si="4"/>
        <v xml:space="preserve"> </v>
      </c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 t="s">
        <v>217</v>
      </c>
    </row>
    <row r="35" spans="2:31" x14ac:dyDescent="0.25">
      <c r="B35" s="54" t="str">
        <f>IFERROR(VLOOKUP(A35&amp;$I$2,ODDS!A34:$K$50000,3,0)," ")</f>
        <v xml:space="preserve"> </v>
      </c>
      <c r="C35" s="53" t="str">
        <f>IFERROR(VLOOKUP(A35&amp;$I$2,ODDS!A34:$K$50000,4,0)," ")</f>
        <v xml:space="preserve"> </v>
      </c>
      <c r="D35" s="53" t="str">
        <f>IFERROR(VLOOKUP(A35&amp;$I$2,ODDS!A34:$K$50000,6,0)," ")</f>
        <v xml:space="preserve"> </v>
      </c>
      <c r="E35" s="53" t="s">
        <v>211</v>
      </c>
      <c r="F35" s="53" t="str">
        <f>IFERROR(VLOOKUP(A35&amp;$I$2,ODDS!A34:$K$50000,7,0)," ")</f>
        <v xml:space="preserve"> </v>
      </c>
      <c r="G35" s="53" t="str">
        <f>IFERROR(VLOOKUP(A35&amp;$I$2,ODDS!A34:$K$50000,5,0)," ")</f>
        <v xml:space="preserve"> </v>
      </c>
      <c r="H35" s="53" t="str">
        <f t="shared" si="3"/>
        <v xml:space="preserve"> </v>
      </c>
      <c r="I35" s="22"/>
      <c r="J35" s="22"/>
      <c r="K35" s="22"/>
      <c r="L35" s="60" t="str">
        <f>IFERROR(VLOOKUP(A35&amp;$K$2,ODDS!B34:$K$50000,2,0)," ")</f>
        <v xml:space="preserve"> </v>
      </c>
      <c r="M35" s="39" t="str">
        <f>IFERROR(VLOOKUP(A35&amp;$K$2,ODDS!B34:$K$50000,3,0)," ")</f>
        <v xml:space="preserve"> </v>
      </c>
      <c r="N35" s="53" t="str">
        <f>IFERROR(VLOOKUP(A35&amp;$K$2,ODDS!B34:$K$50000,5,0)," ")</f>
        <v xml:space="preserve"> </v>
      </c>
      <c r="O35" s="53" t="s">
        <v>211</v>
      </c>
      <c r="P35" s="53" t="str">
        <f>IFERROR(VLOOKUP(A35&amp;$K$2,ODDS!B34:$K$50000,6,0)," ")</f>
        <v xml:space="preserve"> </v>
      </c>
      <c r="Q35" s="39" t="str">
        <f>IFERROR(VLOOKUP(A35&amp;$K$2,ODDS!B34:$K$50000,4,0)," ")</f>
        <v xml:space="preserve"> </v>
      </c>
      <c r="R35" s="53" t="str">
        <f t="shared" si="4"/>
        <v xml:space="preserve"> </v>
      </c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</row>
    <row r="36" spans="2:31" x14ac:dyDescent="0.25">
      <c r="B36" s="54" t="str">
        <f>IFERROR(VLOOKUP(A36&amp;$I$2,ODDS!A35:$K$50000,3,0)," ")</f>
        <v xml:space="preserve"> </v>
      </c>
      <c r="C36" s="53" t="str">
        <f>IFERROR(VLOOKUP(A36&amp;$I$2,ODDS!A35:$K$50000,4,0)," ")</f>
        <v xml:space="preserve"> </v>
      </c>
      <c r="D36" s="53" t="str">
        <f>IFERROR(VLOOKUP(A36&amp;$I$2,ODDS!A35:$K$50000,6,0)," ")</f>
        <v xml:space="preserve"> </v>
      </c>
      <c r="E36" s="53" t="s">
        <v>211</v>
      </c>
      <c r="F36" s="53" t="str">
        <f>IFERROR(VLOOKUP(A36&amp;$I$2,ODDS!A35:$K$50000,7,0)," ")</f>
        <v xml:space="preserve"> </v>
      </c>
      <c r="G36" s="53" t="str">
        <f>IFERROR(VLOOKUP(A36&amp;$I$2,ODDS!A35:$K$50000,5,0)," ")</f>
        <v xml:space="preserve"> </v>
      </c>
      <c r="H36" s="53" t="str">
        <f t="shared" si="3"/>
        <v xml:space="preserve"> </v>
      </c>
      <c r="I36" s="22"/>
      <c r="J36" s="22"/>
      <c r="K36" s="22"/>
      <c r="L36" s="60" t="str">
        <f>IFERROR(VLOOKUP(A36&amp;$K$2,ODDS!B35:$K$50000,2,0)," ")</f>
        <v xml:space="preserve"> </v>
      </c>
      <c r="M36" s="39" t="str">
        <f>IFERROR(VLOOKUP(A36&amp;$K$2,ODDS!B35:$K$50000,3,0)," ")</f>
        <v xml:space="preserve"> </v>
      </c>
      <c r="N36" s="53" t="str">
        <f>IFERROR(VLOOKUP(A36&amp;$K$2,ODDS!B35:$K$50000,5,0)," ")</f>
        <v xml:space="preserve"> </v>
      </c>
      <c r="O36" s="53" t="s">
        <v>211</v>
      </c>
      <c r="P36" s="53" t="str">
        <f>IFERROR(VLOOKUP(A36&amp;$K$2,ODDS!B35:$K$50000,6,0)," ")</f>
        <v xml:space="preserve"> </v>
      </c>
      <c r="Q36" s="39" t="str">
        <f>IFERROR(VLOOKUP(A36&amp;$K$2,ODDS!B35:$K$50000,4,0)," ")</f>
        <v xml:space="preserve"> </v>
      </c>
      <c r="R36" s="53" t="str">
        <f t="shared" si="4"/>
        <v xml:space="preserve"> </v>
      </c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 t="s">
        <v>217</v>
      </c>
    </row>
    <row r="37" spans="2:31" x14ac:dyDescent="0.25">
      <c r="B37" s="54" t="str">
        <f>IFERROR(VLOOKUP(A37&amp;$I$2,ODDS!A36:$K$50000,3,0)," ")</f>
        <v xml:space="preserve"> </v>
      </c>
      <c r="C37" s="53" t="str">
        <f>IFERROR(VLOOKUP(A37&amp;$I$2,ODDS!A36:$K$50000,4,0)," ")</f>
        <v xml:space="preserve"> </v>
      </c>
      <c r="D37" s="53" t="str">
        <f>IFERROR(VLOOKUP(A37&amp;$I$2,ODDS!A36:$K$50000,6,0)," ")</f>
        <v xml:space="preserve"> </v>
      </c>
      <c r="E37" s="53" t="s">
        <v>211</v>
      </c>
      <c r="F37" s="53" t="str">
        <f>IFERROR(VLOOKUP(A37&amp;$I$2,ODDS!A36:$K$50000,7,0)," ")</f>
        <v xml:space="preserve"> </v>
      </c>
      <c r="G37" s="53" t="str">
        <f>IFERROR(VLOOKUP(A37&amp;$I$2,ODDS!A36:$K$50000,5,0)," ")</f>
        <v xml:space="preserve"> </v>
      </c>
      <c r="H37" s="53" t="str">
        <f t="shared" si="3"/>
        <v xml:space="preserve"> </v>
      </c>
      <c r="I37" s="22"/>
      <c r="J37" s="22"/>
      <c r="K37" s="22"/>
      <c r="L37" s="60" t="str">
        <f>IFERROR(VLOOKUP(A37&amp;$K$2,ODDS!B36:$K$50000,2,0)," ")</f>
        <v xml:space="preserve"> </v>
      </c>
      <c r="M37" s="39" t="str">
        <f>IFERROR(VLOOKUP(A37&amp;$K$2,ODDS!B36:$K$50000,3,0)," ")</f>
        <v xml:space="preserve"> </v>
      </c>
      <c r="N37" s="53" t="str">
        <f>IFERROR(VLOOKUP(A37&amp;$K$2,ODDS!B36:$K$50000,5,0)," ")</f>
        <v xml:space="preserve"> </v>
      </c>
      <c r="O37" s="53" t="s">
        <v>211</v>
      </c>
      <c r="P37" s="53" t="str">
        <f>IFERROR(VLOOKUP(A37&amp;$K$2,ODDS!B36:$K$50000,6,0)," ")</f>
        <v xml:space="preserve"> </v>
      </c>
      <c r="Q37" s="39" t="str">
        <f>IFERROR(VLOOKUP(A37&amp;$K$2,ODDS!B36:$K$50000,4,0)," ")</f>
        <v xml:space="preserve"> </v>
      </c>
      <c r="R37" s="53" t="str">
        <f t="shared" si="4"/>
        <v xml:space="preserve"> </v>
      </c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</row>
    <row r="38" spans="2:31" x14ac:dyDescent="0.25">
      <c r="B38" s="54" t="str">
        <f>IFERROR(VLOOKUP(A38&amp;$I$2,ODDS!A37:$K$50000,3,0)," ")</f>
        <v xml:space="preserve"> </v>
      </c>
      <c r="C38" s="53" t="str">
        <f>IFERROR(VLOOKUP(A38&amp;$I$2,ODDS!A37:$K$50000,4,0)," ")</f>
        <v xml:space="preserve"> </v>
      </c>
      <c r="D38" s="53" t="str">
        <f>IFERROR(VLOOKUP(A38&amp;$I$2,ODDS!A37:$K$50000,6,0)," ")</f>
        <v xml:space="preserve"> </v>
      </c>
      <c r="E38" s="53" t="s">
        <v>211</v>
      </c>
      <c r="F38" s="53" t="str">
        <f>IFERROR(VLOOKUP(A38&amp;$I$2,ODDS!A37:$K$50000,7,0)," ")</f>
        <v xml:space="preserve"> </v>
      </c>
      <c r="G38" s="53" t="str">
        <f>IFERROR(VLOOKUP(A38&amp;$I$2,ODDS!A37:$K$50000,5,0)," ")</f>
        <v xml:space="preserve"> </v>
      </c>
      <c r="H38" s="53" t="str">
        <f t="shared" si="3"/>
        <v xml:space="preserve"> </v>
      </c>
      <c r="I38" s="22"/>
      <c r="J38" s="22"/>
      <c r="K38" s="22"/>
      <c r="L38" s="60" t="str">
        <f>IFERROR(VLOOKUP(A38&amp;$K$2,ODDS!B37:$K$50000,2,0)," ")</f>
        <v xml:space="preserve"> </v>
      </c>
      <c r="M38" s="39" t="str">
        <f>IFERROR(VLOOKUP(A38&amp;$K$2,ODDS!B37:$K$50000,3,0)," ")</f>
        <v xml:space="preserve"> </v>
      </c>
      <c r="N38" s="53" t="str">
        <f>IFERROR(VLOOKUP(A38&amp;$K$2,ODDS!B37:$K$50000,5,0)," ")</f>
        <v xml:space="preserve"> </v>
      </c>
      <c r="O38" s="53" t="s">
        <v>211</v>
      </c>
      <c r="P38" s="53" t="str">
        <f>IFERROR(VLOOKUP(A38&amp;$K$2,ODDS!B37:$K$50000,6,0)," ")</f>
        <v xml:space="preserve"> </v>
      </c>
      <c r="Q38" s="39" t="str">
        <f>IFERROR(VLOOKUP(A38&amp;$K$2,ODDS!B37:$K$50000,4,0)," ")</f>
        <v xml:space="preserve"> </v>
      </c>
      <c r="R38" s="53" t="str">
        <f t="shared" si="4"/>
        <v xml:space="preserve"> </v>
      </c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 t="s">
        <v>217</v>
      </c>
    </row>
    <row r="39" spans="2:31" x14ac:dyDescent="0.25">
      <c r="B39" s="54" t="str">
        <f>IFERROR(VLOOKUP(A39&amp;$I$2,ODDS!A38:$K$50000,3,0)," ")</f>
        <v xml:space="preserve"> </v>
      </c>
      <c r="C39" s="53" t="str">
        <f>IFERROR(VLOOKUP(A39&amp;$I$2,ODDS!A38:$K$50000,4,0)," ")</f>
        <v xml:space="preserve"> </v>
      </c>
      <c r="D39" s="53" t="str">
        <f>IFERROR(VLOOKUP(A39&amp;$I$2,ODDS!A38:$K$50000,6,0)," ")</f>
        <v xml:space="preserve"> </v>
      </c>
      <c r="E39" s="53" t="s">
        <v>211</v>
      </c>
      <c r="F39" s="53" t="str">
        <f>IFERROR(VLOOKUP(A39&amp;$I$2,ODDS!A38:$K$50000,7,0)," ")</f>
        <v xml:space="preserve"> </v>
      </c>
      <c r="G39" s="53" t="str">
        <f>IFERROR(VLOOKUP(A39&amp;$I$2,ODDS!A38:$K$50000,5,0)," ")</f>
        <v xml:space="preserve"> </v>
      </c>
      <c r="H39" s="53" t="str">
        <f t="shared" si="3"/>
        <v xml:space="preserve"> </v>
      </c>
      <c r="I39" s="22"/>
      <c r="J39" s="22"/>
      <c r="K39" s="22"/>
      <c r="L39" s="60" t="str">
        <f>IFERROR(VLOOKUP(A39&amp;$K$2,ODDS!B38:$K$50000,2,0)," ")</f>
        <v xml:space="preserve"> </v>
      </c>
      <c r="M39" s="39" t="str">
        <f>IFERROR(VLOOKUP(A39&amp;$K$2,ODDS!B38:$K$50000,3,0)," ")</f>
        <v xml:space="preserve"> </v>
      </c>
      <c r="N39" s="53" t="str">
        <f>IFERROR(VLOOKUP(A39&amp;$K$2,ODDS!B38:$K$50000,5,0)," ")</f>
        <v xml:space="preserve"> </v>
      </c>
      <c r="O39" s="53" t="s">
        <v>211</v>
      </c>
      <c r="P39" s="53" t="str">
        <f>IFERROR(VLOOKUP(A39&amp;$K$2,ODDS!B38:$K$50000,6,0)," ")</f>
        <v xml:space="preserve"> </v>
      </c>
      <c r="Q39" s="39" t="str">
        <f>IFERROR(VLOOKUP(A39&amp;$K$2,ODDS!B38:$K$50000,4,0)," ")</f>
        <v xml:space="preserve"> </v>
      </c>
      <c r="R39" s="53" t="str">
        <f t="shared" si="4"/>
        <v xml:space="preserve"> </v>
      </c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</row>
    <row r="40" spans="2:31" x14ac:dyDescent="0.25">
      <c r="B40" s="54" t="str">
        <f>IFERROR(VLOOKUP(A40&amp;$I$2,ODDS!A39:$K$50000,3,0)," ")</f>
        <v xml:space="preserve"> </v>
      </c>
      <c r="C40" s="53" t="str">
        <f>IFERROR(VLOOKUP(A40&amp;$I$2,ODDS!A39:$K$50000,4,0)," ")</f>
        <v xml:space="preserve"> </v>
      </c>
      <c r="D40" s="53" t="str">
        <f>IFERROR(VLOOKUP(A40&amp;$I$2,ODDS!A39:$K$50000,6,0)," ")</f>
        <v xml:space="preserve"> </v>
      </c>
      <c r="E40" s="53" t="s">
        <v>211</v>
      </c>
      <c r="F40" s="53" t="str">
        <f>IFERROR(VLOOKUP(A40&amp;$I$2,ODDS!A39:$K$50000,7,0)," ")</f>
        <v xml:space="preserve"> </v>
      </c>
      <c r="G40" s="53" t="str">
        <f>IFERROR(VLOOKUP(A40&amp;$I$2,ODDS!A39:$K$50000,5,0)," ")</f>
        <v xml:space="preserve"> </v>
      </c>
      <c r="H40" s="53" t="str">
        <f t="shared" si="3"/>
        <v xml:space="preserve"> </v>
      </c>
      <c r="I40" s="22"/>
      <c r="J40" s="22"/>
      <c r="K40" s="22"/>
      <c r="L40" s="60" t="str">
        <f>IFERROR(VLOOKUP(A40&amp;$K$2,ODDS!B39:$K$50000,2,0)," ")</f>
        <v xml:space="preserve"> </v>
      </c>
      <c r="M40" s="39" t="str">
        <f>IFERROR(VLOOKUP(A40&amp;$K$2,ODDS!B39:$K$50000,3,0)," ")</f>
        <v xml:space="preserve"> </v>
      </c>
      <c r="N40" s="53" t="str">
        <f>IFERROR(VLOOKUP(A40&amp;$K$2,ODDS!B39:$K$50000,5,0)," ")</f>
        <v xml:space="preserve"> </v>
      </c>
      <c r="O40" s="53" t="s">
        <v>211</v>
      </c>
      <c r="P40" s="53" t="str">
        <f>IFERROR(VLOOKUP(A40&amp;$K$2,ODDS!B39:$K$50000,6,0)," ")</f>
        <v xml:space="preserve"> </v>
      </c>
      <c r="Q40" s="39" t="str">
        <f>IFERROR(VLOOKUP(A40&amp;$K$2,ODDS!B39:$K$50000,4,0)," ")</f>
        <v xml:space="preserve"> </v>
      </c>
      <c r="R40" s="53" t="str">
        <f t="shared" si="4"/>
        <v xml:space="preserve"> </v>
      </c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 t="s">
        <v>217</v>
      </c>
    </row>
    <row r="41" spans="2:31" x14ac:dyDescent="0.25">
      <c r="B41" s="54" t="str">
        <f>IFERROR(VLOOKUP(A41&amp;$I$2,ODDS!A40:$K$50000,3,0)," ")</f>
        <v xml:space="preserve"> </v>
      </c>
      <c r="C41" s="53" t="str">
        <f>IFERROR(VLOOKUP(A41&amp;$I$2,ODDS!A40:$K$50000,4,0)," ")</f>
        <v xml:space="preserve"> </v>
      </c>
      <c r="D41" s="53" t="str">
        <f>IFERROR(VLOOKUP(A41&amp;$I$2,ODDS!A40:$K$50000,6,0)," ")</f>
        <v xml:space="preserve"> </v>
      </c>
      <c r="E41" s="53" t="s">
        <v>211</v>
      </c>
      <c r="F41" s="53" t="str">
        <f>IFERROR(VLOOKUP(A41&amp;$I$2,ODDS!A40:$K$50000,7,0)," ")</f>
        <v xml:space="preserve"> </v>
      </c>
      <c r="G41" s="53" t="str">
        <f>IFERROR(VLOOKUP(A41&amp;$I$2,ODDS!A40:$K$50000,5,0)," ")</f>
        <v xml:space="preserve"> </v>
      </c>
      <c r="H41" s="53" t="str">
        <f t="shared" si="3"/>
        <v xml:space="preserve"> </v>
      </c>
      <c r="I41" s="22"/>
      <c r="J41" s="22"/>
      <c r="K41" s="22"/>
      <c r="L41" s="60" t="str">
        <f>IFERROR(VLOOKUP(A41&amp;$K$2,ODDS!B40:$K$50000,2,0)," ")</f>
        <v xml:space="preserve"> </v>
      </c>
      <c r="M41" s="39" t="str">
        <f>IFERROR(VLOOKUP(A41&amp;$K$2,ODDS!B40:$K$50000,3,0)," ")</f>
        <v xml:space="preserve"> </v>
      </c>
      <c r="N41" s="53" t="str">
        <f>IFERROR(VLOOKUP(A41&amp;$K$2,ODDS!B40:$K$50000,5,0)," ")</f>
        <v xml:space="preserve"> </v>
      </c>
      <c r="O41" s="53" t="s">
        <v>211</v>
      </c>
      <c r="P41" s="53" t="str">
        <f>IFERROR(VLOOKUP(A41&amp;$K$2,ODDS!B40:$K$50000,6,0)," ")</f>
        <v xml:space="preserve"> </v>
      </c>
      <c r="Q41" s="39" t="str">
        <f>IFERROR(VLOOKUP(A41&amp;$K$2,ODDS!B40:$K$50000,4,0)," ")</f>
        <v xml:space="preserve"> </v>
      </c>
      <c r="R41" s="53" t="str">
        <f t="shared" si="4"/>
        <v xml:space="preserve"> </v>
      </c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</row>
    <row r="42" spans="2:31" x14ac:dyDescent="0.25">
      <c r="B42" s="54" t="str">
        <f>IFERROR(VLOOKUP(A42&amp;$I$2,ODDS!A41:$K$50000,3,0)," ")</f>
        <v xml:space="preserve"> </v>
      </c>
      <c r="C42" s="53" t="str">
        <f>IFERROR(VLOOKUP(A42&amp;$I$2,ODDS!A41:$K$50000,4,0)," ")</f>
        <v xml:space="preserve"> </v>
      </c>
      <c r="D42" s="53" t="str">
        <f>IFERROR(VLOOKUP(A42&amp;$I$2,ODDS!A41:$K$50000,6,0)," ")</f>
        <v xml:space="preserve"> </v>
      </c>
      <c r="E42" s="53" t="s">
        <v>211</v>
      </c>
      <c r="F42" s="53" t="str">
        <f>IFERROR(VLOOKUP(A42&amp;$I$2,ODDS!A41:$K$50000,7,0)," ")</f>
        <v xml:space="preserve"> </v>
      </c>
      <c r="G42" s="53" t="str">
        <f>IFERROR(VLOOKUP(A42&amp;$I$2,ODDS!A41:$K$50000,5,0)," ")</f>
        <v xml:space="preserve"> </v>
      </c>
      <c r="H42" s="53" t="str">
        <f t="shared" si="3"/>
        <v xml:space="preserve"> </v>
      </c>
      <c r="I42" s="22"/>
      <c r="J42" s="22"/>
      <c r="K42" s="22"/>
      <c r="L42" s="60" t="str">
        <f>IFERROR(VLOOKUP(A42&amp;$K$2,ODDS!B41:$K$50000,2,0)," ")</f>
        <v xml:space="preserve"> </v>
      </c>
      <c r="M42" s="39" t="str">
        <f>IFERROR(VLOOKUP(A42&amp;$K$2,ODDS!B41:$K$50000,3,0)," ")</f>
        <v xml:space="preserve"> </v>
      </c>
      <c r="N42" s="53" t="str">
        <f>IFERROR(VLOOKUP(A42&amp;$K$2,ODDS!B41:$K$50000,5,0)," ")</f>
        <v xml:space="preserve"> </v>
      </c>
      <c r="O42" s="53" t="s">
        <v>211</v>
      </c>
      <c r="P42" s="53" t="str">
        <f>IFERROR(VLOOKUP(A42&amp;$K$2,ODDS!B41:$K$50000,6,0)," ")</f>
        <v xml:space="preserve"> </v>
      </c>
      <c r="Q42" s="39" t="str">
        <f>IFERROR(VLOOKUP(A42&amp;$K$2,ODDS!B41:$K$50000,4,0)," ")</f>
        <v xml:space="preserve"> </v>
      </c>
      <c r="R42" s="53" t="str">
        <f t="shared" si="4"/>
        <v xml:space="preserve"> </v>
      </c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 t="s">
        <v>217</v>
      </c>
    </row>
    <row r="43" spans="2:31" x14ac:dyDescent="0.25">
      <c r="B43" s="54" t="str">
        <f>IFERROR(VLOOKUP(A43&amp;$I$2,ODDS!A42:$K$50000,3,0)," ")</f>
        <v xml:space="preserve"> </v>
      </c>
      <c r="C43" s="53" t="str">
        <f>IFERROR(VLOOKUP(A43&amp;$I$2,ODDS!A42:$K$50000,4,0)," ")</f>
        <v xml:space="preserve"> </v>
      </c>
      <c r="D43" s="53" t="str">
        <f>IFERROR(VLOOKUP(A43&amp;$I$2,ODDS!A42:$K$50000,6,0)," ")</f>
        <v xml:space="preserve"> </v>
      </c>
      <c r="E43" s="53" t="s">
        <v>211</v>
      </c>
      <c r="F43" s="53" t="str">
        <f>IFERROR(VLOOKUP(A43&amp;$I$2,ODDS!A42:$K$50000,7,0)," ")</f>
        <v xml:space="preserve"> </v>
      </c>
      <c r="G43" s="53" t="str">
        <f>IFERROR(VLOOKUP(A43&amp;$I$2,ODDS!A42:$K$50000,5,0)," ")</f>
        <v xml:space="preserve"> </v>
      </c>
      <c r="H43" s="53" t="str">
        <f t="shared" si="3"/>
        <v xml:space="preserve"> </v>
      </c>
      <c r="I43" s="22"/>
      <c r="J43" s="22"/>
      <c r="K43" s="22"/>
      <c r="L43" s="60" t="str">
        <f>IFERROR(VLOOKUP(A43&amp;$K$2,ODDS!B42:$K$50000,2,0)," ")</f>
        <v xml:space="preserve"> </v>
      </c>
      <c r="M43" s="39" t="str">
        <f>IFERROR(VLOOKUP(A43&amp;$K$2,ODDS!B42:$K$50000,3,0)," ")</f>
        <v xml:space="preserve"> </v>
      </c>
      <c r="N43" s="53" t="str">
        <f>IFERROR(VLOOKUP(A43&amp;$K$2,ODDS!B42:$K$50000,5,0)," ")</f>
        <v xml:space="preserve"> </v>
      </c>
      <c r="O43" s="53" t="s">
        <v>211</v>
      </c>
      <c r="P43" s="53" t="str">
        <f>IFERROR(VLOOKUP(A43&amp;$K$2,ODDS!B42:$K$50000,6,0)," ")</f>
        <v xml:space="preserve"> </v>
      </c>
      <c r="Q43" s="39" t="str">
        <f>IFERROR(VLOOKUP(A43&amp;$K$2,ODDS!B42:$K$50000,4,0)," ")</f>
        <v xml:space="preserve"> </v>
      </c>
      <c r="R43" s="53" t="str">
        <f t="shared" si="4"/>
        <v xml:space="preserve"> </v>
      </c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</row>
    <row r="44" spans="2:31" x14ac:dyDescent="0.25">
      <c r="B44" s="54" t="str">
        <f>IFERROR(VLOOKUP(A44&amp;$I$2,ODDS!A43:$K$50000,3,0)," ")</f>
        <v xml:space="preserve"> </v>
      </c>
      <c r="C44" s="53" t="str">
        <f>IFERROR(VLOOKUP(A44&amp;$I$2,ODDS!A43:$K$50000,4,0)," ")</f>
        <v xml:space="preserve"> </v>
      </c>
      <c r="D44" s="53" t="str">
        <f>IFERROR(VLOOKUP(A44&amp;$I$2,ODDS!A43:$K$50000,6,0)," ")</f>
        <v xml:space="preserve"> </v>
      </c>
      <c r="E44" s="53" t="s">
        <v>211</v>
      </c>
      <c r="F44" s="53" t="str">
        <f>IFERROR(VLOOKUP(A44&amp;$I$2,ODDS!A43:$K$50000,7,0)," ")</f>
        <v xml:space="preserve"> </v>
      </c>
      <c r="G44" s="53" t="str">
        <f>IFERROR(VLOOKUP(A44&amp;$I$2,ODDS!A43:$K$50000,5,0)," ")</f>
        <v xml:space="preserve"> </v>
      </c>
      <c r="H44" s="53" t="str">
        <f t="shared" si="3"/>
        <v xml:space="preserve"> </v>
      </c>
      <c r="I44" s="22"/>
      <c r="J44" s="22"/>
      <c r="K44" s="22"/>
      <c r="L44" s="60" t="str">
        <f>IFERROR(VLOOKUP(A44&amp;$K$2,ODDS!B43:$K$50000,2,0)," ")</f>
        <v xml:space="preserve"> </v>
      </c>
      <c r="M44" s="39" t="str">
        <f>IFERROR(VLOOKUP(A44&amp;$K$2,ODDS!B43:$K$50000,3,0)," ")</f>
        <v xml:space="preserve"> </v>
      </c>
      <c r="N44" s="53" t="str">
        <f>IFERROR(VLOOKUP(A44&amp;$K$2,ODDS!B43:$K$50000,5,0)," ")</f>
        <v xml:space="preserve"> </v>
      </c>
      <c r="O44" s="53" t="s">
        <v>211</v>
      </c>
      <c r="P44" s="53" t="str">
        <f>IFERROR(VLOOKUP(A44&amp;$K$2,ODDS!B43:$K$50000,6,0)," ")</f>
        <v xml:space="preserve"> </v>
      </c>
      <c r="Q44" s="39" t="str">
        <f>IFERROR(VLOOKUP(A44&amp;$K$2,ODDS!B43:$K$50000,4,0)," ")</f>
        <v xml:space="preserve"> </v>
      </c>
      <c r="R44" s="53" t="str">
        <f t="shared" si="4"/>
        <v xml:space="preserve"> </v>
      </c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 t="s">
        <v>217</v>
      </c>
    </row>
    <row r="45" spans="2:31" x14ac:dyDescent="0.25">
      <c r="B45" s="54" t="str">
        <f>IFERROR(VLOOKUP(A45&amp;$I$2,ODDS!A44:$K$50000,3,0)," ")</f>
        <v xml:space="preserve"> </v>
      </c>
      <c r="C45" s="53" t="str">
        <f>IFERROR(VLOOKUP(A45&amp;$I$2,ODDS!A44:$K$50000,4,0)," ")</f>
        <v xml:space="preserve"> </v>
      </c>
      <c r="D45" s="53" t="str">
        <f>IFERROR(VLOOKUP(A45&amp;$I$2,ODDS!A44:$K$50000,6,0)," ")</f>
        <v xml:space="preserve"> </v>
      </c>
      <c r="E45" s="53" t="s">
        <v>211</v>
      </c>
      <c r="F45" s="53" t="str">
        <f>IFERROR(VLOOKUP(A45&amp;$I$2,ODDS!A44:$K$50000,7,0)," ")</f>
        <v xml:space="preserve"> </v>
      </c>
      <c r="G45" s="53" t="str">
        <f>IFERROR(VLOOKUP(A45&amp;$I$2,ODDS!A44:$K$50000,5,0)," ")</f>
        <v xml:space="preserve"> </v>
      </c>
      <c r="H45" s="53" t="str">
        <f t="shared" si="3"/>
        <v xml:space="preserve"> </v>
      </c>
      <c r="I45" s="22"/>
      <c r="J45" s="22"/>
      <c r="K45" s="22"/>
      <c r="L45" s="60" t="str">
        <f>IFERROR(VLOOKUP(A45&amp;$K$2,ODDS!B44:$K$50000,2,0)," ")</f>
        <v xml:space="preserve"> </v>
      </c>
      <c r="M45" s="39" t="str">
        <f>IFERROR(VLOOKUP(A45&amp;$K$2,ODDS!B44:$K$50000,3,0)," ")</f>
        <v xml:space="preserve"> </v>
      </c>
      <c r="N45" s="53" t="str">
        <f>IFERROR(VLOOKUP(A45&amp;$K$2,ODDS!B44:$K$50000,5,0)," ")</f>
        <v xml:space="preserve"> </v>
      </c>
      <c r="O45" s="53" t="s">
        <v>211</v>
      </c>
      <c r="P45" s="53" t="str">
        <f>IFERROR(VLOOKUP(A45&amp;$K$2,ODDS!B44:$K$50000,6,0)," ")</f>
        <v xml:space="preserve"> </v>
      </c>
      <c r="Q45" s="39" t="str">
        <f>IFERROR(VLOOKUP(A45&amp;$K$2,ODDS!B44:$K$50000,4,0)," ")</f>
        <v xml:space="preserve"> </v>
      </c>
      <c r="R45" s="53" t="str">
        <f t="shared" si="4"/>
        <v xml:space="preserve"> </v>
      </c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</row>
    <row r="46" spans="2:31" x14ac:dyDescent="0.25">
      <c r="B46" s="54" t="str">
        <f>IFERROR(VLOOKUP(A46&amp;$I$2,ODDS!A45:$K$50000,3,0)," ")</f>
        <v xml:space="preserve"> </v>
      </c>
      <c r="C46" s="53" t="str">
        <f>IFERROR(VLOOKUP(A46&amp;$I$2,ODDS!A45:$K$50000,4,0)," ")</f>
        <v xml:space="preserve"> </v>
      </c>
      <c r="D46" s="53" t="str">
        <f>IFERROR(VLOOKUP(A46&amp;$I$2,ODDS!A45:$K$50000,6,0)," ")</f>
        <v xml:space="preserve"> </v>
      </c>
      <c r="E46" s="53" t="s">
        <v>211</v>
      </c>
      <c r="F46" s="53" t="str">
        <f>IFERROR(VLOOKUP(A46&amp;$I$2,ODDS!A45:$K$50000,7,0)," ")</f>
        <v xml:space="preserve"> </v>
      </c>
      <c r="G46" s="53" t="str">
        <f>IFERROR(VLOOKUP(A46&amp;$I$2,ODDS!A45:$K$50000,5,0)," ")</f>
        <v xml:space="preserve"> </v>
      </c>
      <c r="H46" s="53" t="str">
        <f t="shared" si="3"/>
        <v xml:space="preserve"> </v>
      </c>
      <c r="I46" s="22"/>
      <c r="J46" s="22"/>
      <c r="K46" s="22"/>
      <c r="L46" s="60" t="str">
        <f>IFERROR(VLOOKUP(A46&amp;$K$2,ODDS!B45:$K$50000,2,0)," ")</f>
        <v xml:space="preserve"> </v>
      </c>
      <c r="M46" s="39" t="str">
        <f>IFERROR(VLOOKUP(A46&amp;$K$2,ODDS!B45:$K$50000,3,0)," ")</f>
        <v xml:space="preserve"> </v>
      </c>
      <c r="N46" s="53" t="str">
        <f>IFERROR(VLOOKUP(A46&amp;$K$2,ODDS!B45:$K$50000,5,0)," ")</f>
        <v xml:space="preserve"> </v>
      </c>
      <c r="O46" s="53" t="s">
        <v>211</v>
      </c>
      <c r="P46" s="53" t="str">
        <f>IFERROR(VLOOKUP(A46&amp;$K$2,ODDS!B45:$K$50000,6,0)," ")</f>
        <v xml:space="preserve"> </v>
      </c>
      <c r="Q46" s="39" t="str">
        <f>IFERROR(VLOOKUP(A46&amp;$K$2,ODDS!B45:$K$50000,4,0)," ")</f>
        <v xml:space="preserve"> </v>
      </c>
      <c r="R46" s="53" t="str">
        <f t="shared" si="4"/>
        <v xml:space="preserve"> </v>
      </c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 t="s">
        <v>217</v>
      </c>
    </row>
    <row r="47" spans="2:31" x14ac:dyDescent="0.25">
      <c r="B47" s="54" t="str">
        <f>IFERROR(VLOOKUP(A47&amp;$I$2,ODDS!A46:$K$50000,3,0)," ")</f>
        <v xml:space="preserve"> </v>
      </c>
      <c r="C47" s="53" t="str">
        <f>IFERROR(VLOOKUP(A47&amp;$I$2,ODDS!A46:$K$50000,4,0)," ")</f>
        <v xml:space="preserve"> </v>
      </c>
      <c r="D47" s="53" t="str">
        <f>IFERROR(VLOOKUP(A47&amp;$I$2,ODDS!A46:$K$50000,6,0)," ")</f>
        <v xml:space="preserve"> </v>
      </c>
      <c r="E47" s="53" t="s">
        <v>211</v>
      </c>
      <c r="F47" s="53" t="str">
        <f>IFERROR(VLOOKUP(A47&amp;$I$2,ODDS!A46:$K$50000,7,0)," ")</f>
        <v xml:space="preserve"> </v>
      </c>
      <c r="G47" s="53" t="str">
        <f>IFERROR(VLOOKUP(A47&amp;$I$2,ODDS!A46:$K$50000,5,0)," ")</f>
        <v xml:space="preserve"> </v>
      </c>
      <c r="H47" s="53" t="str">
        <f t="shared" si="3"/>
        <v xml:space="preserve"> </v>
      </c>
      <c r="I47" s="22"/>
      <c r="J47" s="22"/>
      <c r="K47" s="22"/>
      <c r="L47" s="60" t="str">
        <f>IFERROR(VLOOKUP(A47&amp;$K$2,ODDS!B46:$K$50000,2,0)," ")</f>
        <v xml:space="preserve"> </v>
      </c>
      <c r="M47" s="39" t="str">
        <f>IFERROR(VLOOKUP(A47&amp;$K$2,ODDS!B46:$K$50000,3,0)," ")</f>
        <v xml:space="preserve"> </v>
      </c>
      <c r="N47" s="53" t="str">
        <f>IFERROR(VLOOKUP(A47&amp;$K$2,ODDS!B46:$K$50000,5,0)," ")</f>
        <v xml:space="preserve"> </v>
      </c>
      <c r="O47" s="53" t="s">
        <v>211</v>
      </c>
      <c r="P47" s="53" t="str">
        <f>IFERROR(VLOOKUP(A47&amp;$K$2,ODDS!B46:$K$50000,6,0)," ")</f>
        <v xml:space="preserve"> </v>
      </c>
      <c r="Q47" s="39" t="str">
        <f>IFERROR(VLOOKUP(A47&amp;$K$2,ODDS!B46:$K$50000,4,0)," ")</f>
        <v xml:space="preserve"> </v>
      </c>
      <c r="R47" s="53" t="str">
        <f t="shared" si="4"/>
        <v xml:space="preserve"> </v>
      </c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</row>
    <row r="48" spans="2:31" x14ac:dyDescent="0.25">
      <c r="B48" s="54" t="str">
        <f>IFERROR(VLOOKUP(A48&amp;$I$2,ODDS!A47:$K$50000,3,0)," ")</f>
        <v xml:space="preserve"> </v>
      </c>
      <c r="C48" s="53" t="str">
        <f>IFERROR(VLOOKUP(A48&amp;$I$2,ODDS!A47:$K$50000,4,0)," ")</f>
        <v xml:space="preserve"> </v>
      </c>
      <c r="D48" s="53" t="str">
        <f>IFERROR(VLOOKUP(A48&amp;$I$2,ODDS!A47:$K$50000,6,0)," ")</f>
        <v xml:space="preserve"> </v>
      </c>
      <c r="E48" s="53" t="s">
        <v>211</v>
      </c>
      <c r="F48" s="53" t="str">
        <f>IFERROR(VLOOKUP(A48&amp;$I$2,ODDS!A47:$K$50000,7,0)," ")</f>
        <v xml:space="preserve"> </v>
      </c>
      <c r="G48" s="53" t="str">
        <f>IFERROR(VLOOKUP(A48&amp;$I$2,ODDS!A47:$K$50000,5,0)," ")</f>
        <v xml:space="preserve"> </v>
      </c>
      <c r="H48" s="53" t="str">
        <f t="shared" si="3"/>
        <v xml:space="preserve"> </v>
      </c>
      <c r="I48" s="22"/>
      <c r="J48" s="22"/>
      <c r="K48" s="22"/>
      <c r="L48" s="60" t="str">
        <f>IFERROR(VLOOKUP(A48&amp;$K$2,ODDS!B47:$K$50000,2,0)," ")</f>
        <v xml:space="preserve"> </v>
      </c>
      <c r="M48" s="39" t="str">
        <f>IFERROR(VLOOKUP(A48&amp;$K$2,ODDS!B47:$K$50000,3,0)," ")</f>
        <v xml:space="preserve"> </v>
      </c>
      <c r="N48" s="53" t="str">
        <f>IFERROR(VLOOKUP(A48&amp;$K$2,ODDS!B47:$K$50000,5,0)," ")</f>
        <v xml:space="preserve"> </v>
      </c>
      <c r="O48" s="53" t="s">
        <v>211</v>
      </c>
      <c r="P48" s="53" t="str">
        <f>IFERROR(VLOOKUP(A48&amp;$K$2,ODDS!B47:$K$50000,6,0)," ")</f>
        <v xml:space="preserve"> </v>
      </c>
      <c r="Q48" s="39" t="str">
        <f>IFERROR(VLOOKUP(A48&amp;$K$2,ODDS!B47:$K$50000,4,0)," ")</f>
        <v xml:space="preserve"> </v>
      </c>
      <c r="R48" s="53" t="str">
        <f t="shared" si="4"/>
        <v xml:space="preserve"> </v>
      </c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 t="s">
        <v>217</v>
      </c>
    </row>
    <row r="49" spans="2:31" x14ac:dyDescent="0.25">
      <c r="B49" s="54" t="str">
        <f>IFERROR(VLOOKUP(A49&amp;$I$2,ODDS!A48:$K$50000,3,0)," ")</f>
        <v xml:space="preserve"> </v>
      </c>
      <c r="C49" s="53" t="str">
        <f>IFERROR(VLOOKUP(A49&amp;$I$2,ODDS!A48:$K$50000,4,0)," ")</f>
        <v xml:space="preserve"> </v>
      </c>
      <c r="D49" s="53" t="str">
        <f>IFERROR(VLOOKUP(A49&amp;$I$2,ODDS!A48:$K$50000,6,0)," ")</f>
        <v xml:space="preserve"> </v>
      </c>
      <c r="E49" s="53" t="s">
        <v>211</v>
      </c>
      <c r="F49" s="53" t="str">
        <f>IFERROR(VLOOKUP(A49&amp;$I$2,ODDS!A48:$K$50000,7,0)," ")</f>
        <v xml:space="preserve"> </v>
      </c>
      <c r="G49" s="53" t="str">
        <f>IFERROR(VLOOKUP(A49&amp;$I$2,ODDS!A48:$K$50000,5,0)," ")</f>
        <v xml:space="preserve"> </v>
      </c>
      <c r="H49" s="53" t="str">
        <f t="shared" si="3"/>
        <v xml:space="preserve"> </v>
      </c>
      <c r="I49" s="22"/>
      <c r="J49" s="22"/>
      <c r="K49" s="22"/>
      <c r="L49" s="60" t="str">
        <f>IFERROR(VLOOKUP(A49&amp;$K$2,ODDS!B48:$K$50000,2,0)," ")</f>
        <v xml:space="preserve"> </v>
      </c>
      <c r="M49" s="39" t="str">
        <f>IFERROR(VLOOKUP(A49&amp;$K$2,ODDS!B48:$K$50000,3,0)," ")</f>
        <v xml:space="preserve"> </v>
      </c>
      <c r="N49" s="53" t="str">
        <f>IFERROR(VLOOKUP(A49&amp;$K$2,ODDS!B48:$K$50000,5,0)," ")</f>
        <v xml:space="preserve"> </v>
      </c>
      <c r="O49" s="53" t="s">
        <v>211</v>
      </c>
      <c r="P49" s="53" t="str">
        <f>IFERROR(VLOOKUP(A49&amp;$K$2,ODDS!B48:$K$50000,6,0)," ")</f>
        <v xml:space="preserve"> </v>
      </c>
      <c r="Q49" s="39" t="str">
        <f>IFERROR(VLOOKUP(A49&amp;$K$2,ODDS!B48:$K$50000,4,0)," ")</f>
        <v xml:space="preserve"> </v>
      </c>
      <c r="R49" s="53" t="str">
        <f t="shared" si="4"/>
        <v xml:space="preserve"> </v>
      </c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</row>
    <row r="50" spans="2:31" x14ac:dyDescent="0.25">
      <c r="B50" s="54" t="str">
        <f>IFERROR(VLOOKUP(A50&amp;$I$2,ODDS!A49:$K$50000,3,0)," ")</f>
        <v xml:space="preserve"> </v>
      </c>
      <c r="C50" s="53" t="str">
        <f>IFERROR(VLOOKUP(A50&amp;$I$2,ODDS!A49:$K$50000,4,0)," ")</f>
        <v xml:space="preserve"> </v>
      </c>
      <c r="D50" s="53" t="str">
        <f>IFERROR(VLOOKUP(A50&amp;$I$2,ODDS!A49:$K$50000,6,0)," ")</f>
        <v xml:space="preserve"> </v>
      </c>
      <c r="E50" s="53" t="s">
        <v>211</v>
      </c>
      <c r="F50" s="53" t="str">
        <f>IFERROR(VLOOKUP(A50&amp;$I$2,ODDS!A49:$K$50000,7,0)," ")</f>
        <v xml:space="preserve"> </v>
      </c>
      <c r="G50" s="53" t="str">
        <f>IFERROR(VLOOKUP(A50&amp;$I$2,ODDS!A49:$K$50000,5,0)," ")</f>
        <v xml:space="preserve"> </v>
      </c>
      <c r="H50" s="53" t="str">
        <f t="shared" si="3"/>
        <v xml:space="preserve"> </v>
      </c>
      <c r="I50" s="22"/>
      <c r="J50" s="22"/>
      <c r="K50" s="22"/>
      <c r="L50" s="60" t="str">
        <f>IFERROR(VLOOKUP(A50&amp;$K$2,ODDS!B49:$K$50000,2,0)," ")</f>
        <v xml:space="preserve"> </v>
      </c>
      <c r="M50" s="39" t="str">
        <f>IFERROR(VLOOKUP(A50&amp;$K$2,ODDS!B49:$K$50000,3,0)," ")</f>
        <v xml:space="preserve"> </v>
      </c>
      <c r="N50" s="53" t="str">
        <f>IFERROR(VLOOKUP(A50&amp;$K$2,ODDS!B49:$K$50000,5,0)," ")</f>
        <v xml:space="preserve"> </v>
      </c>
      <c r="O50" s="53" t="s">
        <v>211</v>
      </c>
      <c r="P50" s="53" t="str">
        <f>IFERROR(VLOOKUP(A50&amp;$K$2,ODDS!B49:$K$50000,6,0)," ")</f>
        <v xml:space="preserve"> </v>
      </c>
      <c r="Q50" s="39" t="str">
        <f>IFERROR(VLOOKUP(A50&amp;$K$2,ODDS!B49:$K$50000,4,0)," ")</f>
        <v xml:space="preserve"> </v>
      </c>
      <c r="R50" s="53" t="str">
        <f t="shared" si="4"/>
        <v xml:space="preserve"> </v>
      </c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 t="s">
        <v>217</v>
      </c>
    </row>
    <row r="51" spans="2:31" x14ac:dyDescent="0.25">
      <c r="B51" s="54" t="str">
        <f>IFERROR(VLOOKUP(A51&amp;$I$2,ODDS!A50:$K$50000,3,0)," ")</f>
        <v xml:space="preserve"> </v>
      </c>
      <c r="C51" s="53" t="str">
        <f>IFERROR(VLOOKUP(A51&amp;$I$2,ODDS!A50:$K$50000,4,0)," ")</f>
        <v xml:space="preserve"> </v>
      </c>
      <c r="D51" s="53" t="str">
        <f>IFERROR(VLOOKUP(A51&amp;$I$2,ODDS!A50:$K$50000,6,0)," ")</f>
        <v xml:space="preserve"> </v>
      </c>
      <c r="E51" s="53" t="s">
        <v>211</v>
      </c>
      <c r="F51" s="53" t="str">
        <f>IFERROR(VLOOKUP(A51&amp;$I$2,ODDS!A50:$K$50000,7,0)," ")</f>
        <v xml:space="preserve"> </v>
      </c>
      <c r="G51" s="53" t="str">
        <f>IFERROR(VLOOKUP(A51&amp;$I$2,ODDS!A50:$K$50000,5,0)," ")</f>
        <v xml:space="preserve"> </v>
      </c>
      <c r="H51" s="53" t="str">
        <f t="shared" si="3"/>
        <v xml:space="preserve"> </v>
      </c>
      <c r="I51" s="22"/>
      <c r="J51" s="22"/>
      <c r="K51" s="22"/>
      <c r="L51" s="60" t="str">
        <f>IFERROR(VLOOKUP(A51&amp;$K$2,ODDS!B50:$K$50000,2,0)," ")</f>
        <v xml:space="preserve"> </v>
      </c>
      <c r="M51" s="39" t="str">
        <f>IFERROR(VLOOKUP(A51&amp;$K$2,ODDS!B50:$K$50000,3,0)," ")</f>
        <v xml:space="preserve"> </v>
      </c>
      <c r="N51" s="53" t="str">
        <f>IFERROR(VLOOKUP(A51&amp;$K$2,ODDS!B50:$K$50000,5,0)," ")</f>
        <v xml:space="preserve"> </v>
      </c>
      <c r="O51" s="53" t="s">
        <v>211</v>
      </c>
      <c r="P51" s="53" t="str">
        <f>IFERROR(VLOOKUP(A51&amp;$K$2,ODDS!B50:$K$50000,6,0)," ")</f>
        <v xml:space="preserve"> </v>
      </c>
      <c r="Q51" s="39" t="str">
        <f>IFERROR(VLOOKUP(A51&amp;$K$2,ODDS!B50:$K$50000,4,0)," ")</f>
        <v xml:space="preserve"> </v>
      </c>
      <c r="R51" s="53" t="str">
        <f t="shared" si="4"/>
        <v xml:space="preserve"> </v>
      </c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</row>
    <row r="52" spans="2:31" x14ac:dyDescent="0.25">
      <c r="B52" s="54" t="str">
        <f>IFERROR(VLOOKUP(A52&amp;$I$2,ODDS!A51:$K$50000,3,0)," ")</f>
        <v xml:space="preserve"> </v>
      </c>
      <c r="C52" s="53" t="str">
        <f>IFERROR(VLOOKUP(A52&amp;$I$2,ODDS!A51:$K$50000,4,0)," ")</f>
        <v xml:space="preserve"> </v>
      </c>
      <c r="D52" s="53" t="str">
        <f>IFERROR(VLOOKUP(A52&amp;$I$2,ODDS!A51:$K$50000,6,0)," ")</f>
        <v xml:space="preserve"> </v>
      </c>
      <c r="E52" s="53" t="s">
        <v>211</v>
      </c>
      <c r="F52" s="53" t="str">
        <f>IFERROR(VLOOKUP(A52&amp;$I$2,ODDS!A51:$K$50000,7,0)," ")</f>
        <v xml:space="preserve"> </v>
      </c>
      <c r="G52" s="53" t="str">
        <f>IFERROR(VLOOKUP(A52&amp;$I$2,ODDS!A51:$K$50000,5,0)," ")</f>
        <v xml:space="preserve"> </v>
      </c>
      <c r="H52" s="53" t="str">
        <f t="shared" si="3"/>
        <v xml:space="preserve"> </v>
      </c>
      <c r="I52" s="22"/>
      <c r="J52" s="22"/>
      <c r="K52" s="22"/>
      <c r="L52" s="60" t="str">
        <f>IFERROR(VLOOKUP(A52&amp;$K$2,ODDS!B51:$K$50000,2,0)," ")</f>
        <v xml:space="preserve"> </v>
      </c>
      <c r="M52" s="39" t="str">
        <f>IFERROR(VLOOKUP(A52&amp;$K$2,ODDS!B51:$K$50000,3,0)," ")</f>
        <v xml:space="preserve"> </v>
      </c>
      <c r="N52" s="53" t="str">
        <f>IFERROR(VLOOKUP(A52&amp;$K$2,ODDS!B51:$K$50000,5,0)," ")</f>
        <v xml:space="preserve"> </v>
      </c>
      <c r="O52" s="53" t="s">
        <v>211</v>
      </c>
      <c r="P52" s="53" t="str">
        <f>IFERROR(VLOOKUP(A52&amp;$K$2,ODDS!B51:$K$50000,6,0)," ")</f>
        <v xml:space="preserve"> </v>
      </c>
      <c r="Q52" s="39" t="str">
        <f>IFERROR(VLOOKUP(A52&amp;$K$2,ODDS!B51:$K$50000,4,0)," ")</f>
        <v xml:space="preserve"> </v>
      </c>
      <c r="R52" s="53" t="str">
        <f t="shared" si="4"/>
        <v xml:space="preserve"> </v>
      </c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 t="s">
        <v>217</v>
      </c>
    </row>
    <row r="53" spans="2:31" x14ac:dyDescent="0.25">
      <c r="B53" s="54" t="str">
        <f>IFERROR(VLOOKUP(A53&amp;$I$2,ODDS!A52:$K$50000,3,0)," ")</f>
        <v xml:space="preserve"> </v>
      </c>
      <c r="C53" s="53" t="str">
        <f>IFERROR(VLOOKUP(A53&amp;$I$2,ODDS!A52:$K$50000,4,0)," ")</f>
        <v xml:space="preserve"> </v>
      </c>
      <c r="D53" s="53" t="str">
        <f>IFERROR(VLOOKUP(A53&amp;$I$2,ODDS!A52:$K$50000,6,0)," ")</f>
        <v xml:space="preserve"> </v>
      </c>
      <c r="E53" s="53" t="s">
        <v>211</v>
      </c>
      <c r="F53" s="53" t="str">
        <f>IFERROR(VLOOKUP(A53&amp;$I$2,ODDS!A52:$K$50000,7,0)," ")</f>
        <v xml:space="preserve"> </v>
      </c>
      <c r="G53" s="53" t="str">
        <f>IFERROR(VLOOKUP(A53&amp;$I$2,ODDS!A52:$K$50000,5,0)," ")</f>
        <v xml:space="preserve"> </v>
      </c>
      <c r="H53" s="53" t="str">
        <f t="shared" si="3"/>
        <v xml:space="preserve"> </v>
      </c>
      <c r="I53" s="22"/>
      <c r="J53" s="22"/>
      <c r="K53" s="22"/>
      <c r="L53" s="60" t="str">
        <f>IFERROR(VLOOKUP(A53&amp;$K$2,ODDS!B52:$K$50000,2,0)," ")</f>
        <v xml:space="preserve"> </v>
      </c>
      <c r="M53" s="39" t="str">
        <f>IFERROR(VLOOKUP(A53&amp;$K$2,ODDS!B52:$K$50000,3,0)," ")</f>
        <v xml:space="preserve"> </v>
      </c>
      <c r="N53" s="53" t="str">
        <f>IFERROR(VLOOKUP(A53&amp;$K$2,ODDS!B52:$K$50000,5,0)," ")</f>
        <v xml:space="preserve"> </v>
      </c>
      <c r="O53" s="53" t="s">
        <v>211</v>
      </c>
      <c r="P53" s="53" t="str">
        <f>IFERROR(VLOOKUP(A53&amp;$K$2,ODDS!B52:$K$50000,6,0)," ")</f>
        <v xml:space="preserve"> </v>
      </c>
      <c r="Q53" s="39" t="str">
        <f>IFERROR(VLOOKUP(A53&amp;$K$2,ODDS!B52:$K$50000,4,0)," ")</f>
        <v xml:space="preserve"> </v>
      </c>
      <c r="R53" s="53" t="str">
        <f t="shared" si="4"/>
        <v xml:space="preserve"> </v>
      </c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</row>
    <row r="54" spans="2:31" x14ac:dyDescent="0.25">
      <c r="B54" s="54" t="str">
        <f>IFERROR(VLOOKUP(A54&amp;$I$2,ODDS!A53:$K$50000,3,0)," ")</f>
        <v xml:space="preserve"> </v>
      </c>
      <c r="C54" s="53" t="str">
        <f>IFERROR(VLOOKUP(A54&amp;$I$2,ODDS!A53:$K$50000,4,0)," ")</f>
        <v xml:space="preserve"> </v>
      </c>
      <c r="D54" s="53" t="str">
        <f>IFERROR(VLOOKUP(A54&amp;$I$2,ODDS!A53:$K$50000,6,0)," ")</f>
        <v xml:space="preserve"> </v>
      </c>
      <c r="E54" s="53" t="s">
        <v>211</v>
      </c>
      <c r="F54" s="53" t="str">
        <f>IFERROR(VLOOKUP(A54&amp;$I$2,ODDS!A53:$K$50000,7,0)," ")</f>
        <v xml:space="preserve"> </v>
      </c>
      <c r="G54" s="53" t="str">
        <f>IFERROR(VLOOKUP(A54&amp;$I$2,ODDS!A53:$K$50000,5,0)," ")</f>
        <v xml:space="preserve"> </v>
      </c>
      <c r="H54" s="53" t="str">
        <f t="shared" si="3"/>
        <v xml:space="preserve"> </v>
      </c>
      <c r="I54" s="22"/>
      <c r="J54" s="22"/>
      <c r="K54" s="22"/>
      <c r="L54" s="60" t="str">
        <f>IFERROR(VLOOKUP(A54&amp;$K$2,ODDS!B53:$K$50000,2,0)," ")</f>
        <v xml:space="preserve"> </v>
      </c>
      <c r="M54" s="39" t="str">
        <f>IFERROR(VLOOKUP(A54&amp;$K$2,ODDS!B53:$K$50000,3,0)," ")</f>
        <v xml:space="preserve"> </v>
      </c>
      <c r="N54" s="53" t="str">
        <f>IFERROR(VLOOKUP(A54&amp;$K$2,ODDS!B53:$K$50000,5,0)," ")</f>
        <v xml:space="preserve"> </v>
      </c>
      <c r="O54" s="53" t="s">
        <v>211</v>
      </c>
      <c r="P54" s="53" t="str">
        <f>IFERROR(VLOOKUP(A54&amp;$K$2,ODDS!B53:$K$50000,6,0)," ")</f>
        <v xml:space="preserve"> </v>
      </c>
      <c r="Q54" s="39" t="str">
        <f>IFERROR(VLOOKUP(A54&amp;$K$2,ODDS!B53:$K$50000,4,0)," ")</f>
        <v xml:space="preserve"> </v>
      </c>
      <c r="R54" s="53" t="str">
        <f t="shared" si="4"/>
        <v xml:space="preserve"> </v>
      </c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 t="s">
        <v>217</v>
      </c>
    </row>
    <row r="55" spans="2:31" x14ac:dyDescent="0.25">
      <c r="B55" s="54" t="str">
        <f>IFERROR(VLOOKUP(A55&amp;$I$2,ODDS!A54:$K$50000,3,0)," ")</f>
        <v xml:space="preserve"> </v>
      </c>
      <c r="C55" s="53" t="str">
        <f>IFERROR(VLOOKUP(A55&amp;$I$2,ODDS!A54:$K$50000,4,0)," ")</f>
        <v xml:space="preserve"> </v>
      </c>
      <c r="D55" s="53" t="str">
        <f>IFERROR(VLOOKUP(A55&amp;$I$2,ODDS!A54:$K$50000,6,0)," ")</f>
        <v xml:space="preserve"> </v>
      </c>
      <c r="E55" s="53" t="s">
        <v>211</v>
      </c>
      <c r="F55" s="53" t="str">
        <f>IFERROR(VLOOKUP(A55&amp;$I$2,ODDS!A54:$K$50000,7,0)," ")</f>
        <v xml:space="preserve"> </v>
      </c>
      <c r="G55" s="53" t="str">
        <f>IFERROR(VLOOKUP(A55&amp;$I$2,ODDS!A54:$K$50000,5,0)," ")</f>
        <v xml:space="preserve"> </v>
      </c>
      <c r="H55" s="53" t="str">
        <f t="shared" si="3"/>
        <v xml:space="preserve"> </v>
      </c>
      <c r="I55" s="22"/>
      <c r="J55" s="22"/>
      <c r="K55" s="22"/>
      <c r="L55" s="60" t="str">
        <f>IFERROR(VLOOKUP(A55&amp;$K$2,ODDS!B54:$K$50000,2,0)," ")</f>
        <v xml:space="preserve"> </v>
      </c>
      <c r="M55" s="39" t="str">
        <f>IFERROR(VLOOKUP(A55&amp;$K$2,ODDS!B54:$K$50000,3,0)," ")</f>
        <v xml:space="preserve"> </v>
      </c>
      <c r="N55" s="53" t="str">
        <f>IFERROR(VLOOKUP(A55&amp;$K$2,ODDS!B54:$K$50000,5,0)," ")</f>
        <v xml:space="preserve"> </v>
      </c>
      <c r="O55" s="53" t="s">
        <v>211</v>
      </c>
      <c r="P55" s="53" t="str">
        <f>IFERROR(VLOOKUP(A55&amp;$K$2,ODDS!B54:$K$50000,6,0)," ")</f>
        <v xml:space="preserve"> </v>
      </c>
      <c r="Q55" s="39" t="str">
        <f>IFERROR(VLOOKUP(A55&amp;$K$2,ODDS!B54:$K$50000,4,0)," ")</f>
        <v xml:space="preserve"> </v>
      </c>
      <c r="R55" s="53" t="str">
        <f t="shared" si="4"/>
        <v xml:space="preserve"> </v>
      </c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</row>
    <row r="56" spans="2:31" x14ac:dyDescent="0.25">
      <c r="B56" s="54" t="str">
        <f>IFERROR(VLOOKUP(A56&amp;$I$2,ODDS!A55:$K$50000,3,0)," ")</f>
        <v xml:space="preserve"> </v>
      </c>
      <c r="C56" s="53" t="str">
        <f>IFERROR(VLOOKUP(A56&amp;$I$2,ODDS!A55:$K$50000,4,0)," ")</f>
        <v xml:space="preserve"> </v>
      </c>
      <c r="D56" s="53" t="str">
        <f>IFERROR(VLOOKUP(A56&amp;$I$2,ODDS!A55:$K$50000,6,0)," ")</f>
        <v xml:space="preserve"> </v>
      </c>
      <c r="E56" s="53" t="s">
        <v>211</v>
      </c>
      <c r="F56" s="53" t="str">
        <f>IFERROR(VLOOKUP(A56&amp;$I$2,ODDS!A55:$K$50000,7,0)," ")</f>
        <v xml:space="preserve"> </v>
      </c>
      <c r="G56" s="53" t="str">
        <f>IFERROR(VLOOKUP(A56&amp;$I$2,ODDS!A55:$K$50000,5,0)," ")</f>
        <v xml:space="preserve"> </v>
      </c>
      <c r="H56" s="53" t="str">
        <f t="shared" si="3"/>
        <v xml:space="preserve"> </v>
      </c>
      <c r="I56" s="22"/>
      <c r="J56" s="22"/>
      <c r="K56" s="22"/>
      <c r="L56" s="60" t="str">
        <f>IFERROR(VLOOKUP(A56&amp;$K$2,ODDS!B55:$K$50000,2,0)," ")</f>
        <v xml:space="preserve"> </v>
      </c>
      <c r="M56" s="39" t="str">
        <f>IFERROR(VLOOKUP(A56&amp;$K$2,ODDS!B55:$K$50000,3,0)," ")</f>
        <v xml:space="preserve"> </v>
      </c>
      <c r="N56" s="53" t="str">
        <f>IFERROR(VLOOKUP(A56&amp;$K$2,ODDS!B55:$K$50000,5,0)," ")</f>
        <v xml:space="preserve"> </v>
      </c>
      <c r="O56" s="53" t="s">
        <v>211</v>
      </c>
      <c r="P56" s="53" t="str">
        <f>IFERROR(VLOOKUP(A56&amp;$K$2,ODDS!B55:$K$50000,6,0)," ")</f>
        <v xml:space="preserve"> </v>
      </c>
      <c r="Q56" s="39" t="str">
        <f>IFERROR(VLOOKUP(A56&amp;$K$2,ODDS!B55:$K$50000,4,0)," ")</f>
        <v xml:space="preserve"> </v>
      </c>
      <c r="R56" s="53" t="str">
        <f t="shared" si="4"/>
        <v xml:space="preserve"> </v>
      </c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 t="s">
        <v>217</v>
      </c>
    </row>
    <row r="57" spans="2:31" x14ac:dyDescent="0.25">
      <c r="B57" s="54" t="str">
        <f>IFERROR(VLOOKUP(A57&amp;$I$2,ODDS!A56:$K$50000,3,0)," ")</f>
        <v xml:space="preserve"> </v>
      </c>
      <c r="C57" s="53" t="str">
        <f>IFERROR(VLOOKUP(A57&amp;$I$2,ODDS!A56:$K$50000,4,0)," ")</f>
        <v xml:space="preserve"> </v>
      </c>
      <c r="D57" s="53" t="str">
        <f>IFERROR(VLOOKUP(A57&amp;$I$2,ODDS!A56:$K$50000,6,0)," ")</f>
        <v xml:space="preserve"> </v>
      </c>
      <c r="E57" s="53" t="s">
        <v>211</v>
      </c>
      <c r="F57" s="53" t="str">
        <f>IFERROR(VLOOKUP(A57&amp;$I$2,ODDS!A56:$K$50000,7,0)," ")</f>
        <v xml:space="preserve"> </v>
      </c>
      <c r="G57" s="53" t="str">
        <f>IFERROR(VLOOKUP(A57&amp;$I$2,ODDS!A56:$K$50000,5,0)," ")</f>
        <v xml:space="preserve"> </v>
      </c>
      <c r="H57" s="53" t="str">
        <f t="shared" si="3"/>
        <v xml:space="preserve"> </v>
      </c>
      <c r="I57" s="22"/>
      <c r="J57" s="22"/>
      <c r="K57" s="22"/>
      <c r="L57" s="60" t="str">
        <f>IFERROR(VLOOKUP(A57&amp;$K$2,ODDS!B56:$K$50000,2,0)," ")</f>
        <v xml:space="preserve"> </v>
      </c>
      <c r="M57" s="39" t="str">
        <f>IFERROR(VLOOKUP(A57&amp;$K$2,ODDS!B56:$K$50000,3,0)," ")</f>
        <v xml:space="preserve"> </v>
      </c>
      <c r="N57" s="53" t="str">
        <f>IFERROR(VLOOKUP(A57&amp;$K$2,ODDS!B56:$K$50000,5,0)," ")</f>
        <v xml:space="preserve"> </v>
      </c>
      <c r="O57" s="53" t="s">
        <v>211</v>
      </c>
      <c r="P57" s="53" t="str">
        <f>IFERROR(VLOOKUP(A57&amp;$K$2,ODDS!B56:$K$50000,6,0)," ")</f>
        <v xml:space="preserve"> </v>
      </c>
      <c r="Q57" s="39" t="str">
        <f>IFERROR(VLOOKUP(A57&amp;$K$2,ODDS!B56:$K$50000,4,0)," ")</f>
        <v xml:space="preserve"> </v>
      </c>
      <c r="R57" s="53" t="str">
        <f t="shared" si="4"/>
        <v xml:space="preserve"> </v>
      </c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</row>
    <row r="58" spans="2:31" x14ac:dyDescent="0.25">
      <c r="B58" s="54" t="str">
        <f>IFERROR(VLOOKUP(A58&amp;$I$2,ODDS!A57:$K$50000,3,0)," ")</f>
        <v xml:space="preserve"> </v>
      </c>
      <c r="C58" s="53" t="str">
        <f>IFERROR(VLOOKUP(A58&amp;$I$2,ODDS!A57:$K$50000,4,0)," ")</f>
        <v xml:space="preserve"> </v>
      </c>
      <c r="D58" s="53" t="str">
        <f>IFERROR(VLOOKUP(A58&amp;$I$2,ODDS!A57:$K$50000,6,0)," ")</f>
        <v xml:space="preserve"> </v>
      </c>
      <c r="E58" s="53" t="s">
        <v>211</v>
      </c>
      <c r="F58" s="53" t="str">
        <f>IFERROR(VLOOKUP(A58&amp;$I$2,ODDS!A57:$K$50000,7,0)," ")</f>
        <v xml:space="preserve"> </v>
      </c>
      <c r="G58" s="53" t="str">
        <f>IFERROR(VLOOKUP(A58&amp;$I$2,ODDS!A57:$K$50000,5,0)," ")</f>
        <v xml:space="preserve"> </v>
      </c>
      <c r="H58" s="53" t="str">
        <f t="shared" si="3"/>
        <v xml:space="preserve"> </v>
      </c>
      <c r="I58" s="22"/>
      <c r="J58" s="22"/>
      <c r="K58" s="22"/>
      <c r="L58" s="60" t="str">
        <f>IFERROR(VLOOKUP(A58&amp;$K$2,ODDS!B57:$K$50000,2,0)," ")</f>
        <v xml:space="preserve"> </v>
      </c>
      <c r="M58" s="39" t="str">
        <f>IFERROR(VLOOKUP(A58&amp;$K$2,ODDS!B57:$K$50000,3,0)," ")</f>
        <v xml:space="preserve"> </v>
      </c>
      <c r="N58" s="53" t="str">
        <f>IFERROR(VLOOKUP(A58&amp;$K$2,ODDS!B57:$K$50000,5,0)," ")</f>
        <v xml:space="preserve"> </v>
      </c>
      <c r="O58" s="53" t="s">
        <v>211</v>
      </c>
      <c r="P58" s="53" t="str">
        <f>IFERROR(VLOOKUP(A58&amp;$K$2,ODDS!B57:$K$50000,6,0)," ")</f>
        <v xml:space="preserve"> </v>
      </c>
      <c r="Q58" s="39" t="str">
        <f>IFERROR(VLOOKUP(A58&amp;$K$2,ODDS!B57:$K$50000,4,0)," ")</f>
        <v xml:space="preserve"> </v>
      </c>
      <c r="R58" s="53" t="str">
        <f t="shared" si="4"/>
        <v xml:space="preserve"> </v>
      </c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 t="s">
        <v>217</v>
      </c>
    </row>
    <row r="59" spans="2:31" x14ac:dyDescent="0.25">
      <c r="B59" s="54" t="str">
        <f>IFERROR(VLOOKUP(A59&amp;$I$2,ODDS!A58:$K$50000,3,0)," ")</f>
        <v xml:space="preserve"> </v>
      </c>
      <c r="C59" s="53" t="str">
        <f>IFERROR(VLOOKUP(A59&amp;$I$2,ODDS!A58:$K$50000,4,0)," ")</f>
        <v xml:space="preserve"> </v>
      </c>
      <c r="D59" s="53" t="str">
        <f>IFERROR(VLOOKUP(A59&amp;$I$2,ODDS!A58:$K$50000,6,0)," ")</f>
        <v xml:space="preserve"> </v>
      </c>
      <c r="E59" s="53" t="s">
        <v>211</v>
      </c>
      <c r="F59" s="53" t="str">
        <f>IFERROR(VLOOKUP(A59&amp;$I$2,ODDS!A58:$K$50000,7,0)," ")</f>
        <v xml:space="preserve"> </v>
      </c>
      <c r="G59" s="53" t="str">
        <f>IFERROR(VLOOKUP(A59&amp;$I$2,ODDS!A58:$K$50000,5,0)," ")</f>
        <v xml:space="preserve"> </v>
      </c>
      <c r="H59" s="53" t="str">
        <f t="shared" si="3"/>
        <v xml:space="preserve"> </v>
      </c>
      <c r="I59" s="22"/>
      <c r="J59" s="22"/>
      <c r="K59" s="22"/>
      <c r="L59" s="60" t="str">
        <f>IFERROR(VLOOKUP(A59&amp;$K$2,ODDS!B58:$K$50000,2,0)," ")</f>
        <v xml:space="preserve"> </v>
      </c>
      <c r="M59" s="39" t="str">
        <f>IFERROR(VLOOKUP(A59&amp;$K$2,ODDS!B58:$K$50000,3,0)," ")</f>
        <v xml:space="preserve"> </v>
      </c>
      <c r="N59" s="53" t="str">
        <f>IFERROR(VLOOKUP(A59&amp;$K$2,ODDS!B58:$K$50000,5,0)," ")</f>
        <v xml:space="preserve"> </v>
      </c>
      <c r="O59" s="53" t="s">
        <v>211</v>
      </c>
      <c r="P59" s="53" t="str">
        <f>IFERROR(VLOOKUP(A59&amp;$K$2,ODDS!B58:$K$50000,6,0)," ")</f>
        <v xml:space="preserve"> </v>
      </c>
      <c r="Q59" s="39" t="str">
        <f>IFERROR(VLOOKUP(A59&amp;$K$2,ODDS!B58:$K$50000,4,0)," ")</f>
        <v xml:space="preserve"> </v>
      </c>
      <c r="R59" s="53" t="str">
        <f t="shared" si="4"/>
        <v xml:space="preserve"> </v>
      </c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</row>
    <row r="60" spans="2:31" x14ac:dyDescent="0.25">
      <c r="B60" s="54" t="str">
        <f>IFERROR(VLOOKUP(A60&amp;$I$2,ODDS!A59:$K$50000,3,0)," ")</f>
        <v xml:space="preserve"> </v>
      </c>
      <c r="C60" s="53" t="str">
        <f>IFERROR(VLOOKUP(A60&amp;$I$2,ODDS!A59:$K$50000,4,0)," ")</f>
        <v xml:space="preserve"> </v>
      </c>
      <c r="D60" s="53" t="str">
        <f>IFERROR(VLOOKUP(A60&amp;$I$2,ODDS!A59:$K$50000,6,0)," ")</f>
        <v xml:space="preserve"> </v>
      </c>
      <c r="E60" s="53" t="s">
        <v>211</v>
      </c>
      <c r="F60" s="53" t="str">
        <f>IFERROR(VLOOKUP(A60&amp;$I$2,ODDS!A59:$K$50000,7,0)," ")</f>
        <v xml:space="preserve"> </v>
      </c>
      <c r="G60" s="53" t="str">
        <f>IFERROR(VLOOKUP(A60&amp;$I$2,ODDS!A59:$K$50000,5,0)," ")</f>
        <v xml:space="preserve"> </v>
      </c>
      <c r="H60" s="53" t="str">
        <f t="shared" si="3"/>
        <v xml:space="preserve"> </v>
      </c>
      <c r="I60" s="22"/>
      <c r="J60" s="22"/>
      <c r="K60" s="22"/>
      <c r="L60" s="60" t="str">
        <f>IFERROR(VLOOKUP(A60&amp;$K$2,ODDS!B59:$K$50000,2,0)," ")</f>
        <v xml:space="preserve"> </v>
      </c>
      <c r="M60" s="39" t="str">
        <f>IFERROR(VLOOKUP(A60&amp;$K$2,ODDS!B59:$K$50000,3,0)," ")</f>
        <v xml:space="preserve"> </v>
      </c>
      <c r="N60" s="53" t="str">
        <f>IFERROR(VLOOKUP(A60&amp;$K$2,ODDS!B59:$K$50000,5,0)," ")</f>
        <v xml:space="preserve"> </v>
      </c>
      <c r="O60" s="53" t="s">
        <v>211</v>
      </c>
      <c r="P60" s="53" t="str">
        <f>IFERROR(VLOOKUP(A60&amp;$K$2,ODDS!B59:$K$50000,6,0)," ")</f>
        <v xml:space="preserve"> </v>
      </c>
      <c r="Q60" s="39" t="str">
        <f>IFERROR(VLOOKUP(A60&amp;$K$2,ODDS!B59:$K$50000,4,0)," ")</f>
        <v xml:space="preserve"> </v>
      </c>
      <c r="R60" s="53" t="str">
        <f t="shared" si="4"/>
        <v xml:space="preserve"> </v>
      </c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 t="s">
        <v>217</v>
      </c>
    </row>
    <row r="61" spans="2:31" x14ac:dyDescent="0.25">
      <c r="B61" s="54" t="str">
        <f>IFERROR(VLOOKUP(A61&amp;$I$2,ODDS!A60:$K$50000,3,0)," ")</f>
        <v xml:space="preserve"> </v>
      </c>
      <c r="C61" s="53" t="str">
        <f>IFERROR(VLOOKUP(A61&amp;$I$2,ODDS!A60:$K$50000,4,0)," ")</f>
        <v xml:space="preserve"> </v>
      </c>
      <c r="D61" s="53" t="str">
        <f>IFERROR(VLOOKUP(A61&amp;$I$2,ODDS!A60:$K$50000,6,0)," ")</f>
        <v xml:space="preserve"> </v>
      </c>
      <c r="E61" s="53" t="s">
        <v>211</v>
      </c>
      <c r="F61" s="53" t="str">
        <f>IFERROR(VLOOKUP(A61&amp;$I$2,ODDS!A60:$K$50000,7,0)," ")</f>
        <v xml:space="preserve"> </v>
      </c>
      <c r="G61" s="53" t="str">
        <f>IFERROR(VLOOKUP(A61&amp;$I$2,ODDS!A60:$K$50000,5,0)," ")</f>
        <v xml:space="preserve"> </v>
      </c>
      <c r="H61" s="53" t="str">
        <f t="shared" si="3"/>
        <v xml:space="preserve"> </v>
      </c>
      <c r="I61" s="22"/>
      <c r="J61" s="22"/>
      <c r="K61" s="22"/>
      <c r="L61" s="60" t="str">
        <f>IFERROR(VLOOKUP(A61&amp;$K$2,ODDS!B60:$K$50000,2,0)," ")</f>
        <v xml:space="preserve"> </v>
      </c>
      <c r="M61" s="39" t="str">
        <f>IFERROR(VLOOKUP(A61&amp;$K$2,ODDS!B60:$K$50000,3,0)," ")</f>
        <v xml:space="preserve"> </v>
      </c>
      <c r="N61" s="53" t="str">
        <f>IFERROR(VLOOKUP(A61&amp;$K$2,ODDS!B60:$K$50000,5,0)," ")</f>
        <v xml:space="preserve"> </v>
      </c>
      <c r="O61" s="53" t="s">
        <v>211</v>
      </c>
      <c r="P61" s="53" t="str">
        <f>IFERROR(VLOOKUP(A61&amp;$K$2,ODDS!B60:$K$50000,6,0)," ")</f>
        <v xml:space="preserve"> </v>
      </c>
      <c r="Q61" s="39" t="str">
        <f>IFERROR(VLOOKUP(A61&amp;$K$2,ODDS!B60:$K$50000,4,0)," ")</f>
        <v xml:space="preserve"> </v>
      </c>
      <c r="R61" s="53" t="str">
        <f t="shared" si="4"/>
        <v xml:space="preserve"> </v>
      </c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</row>
    <row r="62" spans="2:31" x14ac:dyDescent="0.25">
      <c r="B62" s="54" t="str">
        <f>IFERROR(VLOOKUP(A62&amp;$I$2,ODDS!A61:$K$50000,3,0)," ")</f>
        <v xml:space="preserve"> </v>
      </c>
      <c r="C62" s="53" t="str">
        <f>IFERROR(VLOOKUP(A62&amp;$I$2,ODDS!A61:$K$50000,4,0)," ")</f>
        <v xml:space="preserve"> </v>
      </c>
      <c r="D62" s="53" t="str">
        <f>IFERROR(VLOOKUP(A62&amp;$I$2,ODDS!A61:$K$50000,6,0)," ")</f>
        <v xml:space="preserve"> </v>
      </c>
      <c r="E62" s="53" t="s">
        <v>211</v>
      </c>
      <c r="F62" s="53" t="str">
        <f>IFERROR(VLOOKUP(A62&amp;$I$2,ODDS!A61:$K$50000,7,0)," ")</f>
        <v xml:space="preserve"> </v>
      </c>
      <c r="G62" s="53" t="str">
        <f>IFERROR(VLOOKUP(A62&amp;$I$2,ODDS!A61:$K$50000,5,0)," ")</f>
        <v xml:space="preserve"> </v>
      </c>
      <c r="H62" s="53" t="str">
        <f t="shared" si="3"/>
        <v xml:space="preserve"> </v>
      </c>
      <c r="I62" s="22"/>
      <c r="J62" s="22"/>
      <c r="K62" s="22"/>
      <c r="L62" s="60" t="str">
        <f>IFERROR(VLOOKUP(A62&amp;$K$2,ODDS!B61:$K$50000,2,0)," ")</f>
        <v xml:space="preserve"> </v>
      </c>
      <c r="M62" s="39" t="str">
        <f>IFERROR(VLOOKUP(A62&amp;$K$2,ODDS!B61:$K$50000,3,0)," ")</f>
        <v xml:space="preserve"> </v>
      </c>
      <c r="N62" s="53" t="str">
        <f>IFERROR(VLOOKUP(A62&amp;$K$2,ODDS!B61:$K$50000,5,0)," ")</f>
        <v xml:space="preserve"> </v>
      </c>
      <c r="O62" s="53" t="s">
        <v>211</v>
      </c>
      <c r="P62" s="53" t="str">
        <f>IFERROR(VLOOKUP(A62&amp;$K$2,ODDS!B61:$K$50000,6,0)," ")</f>
        <v xml:space="preserve"> </v>
      </c>
      <c r="Q62" s="39" t="str">
        <f>IFERROR(VLOOKUP(A62&amp;$K$2,ODDS!B61:$K$50000,4,0)," ")</f>
        <v xml:space="preserve"> </v>
      </c>
      <c r="R62" s="53" t="str">
        <f t="shared" si="4"/>
        <v xml:space="preserve"> </v>
      </c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 t="s">
        <v>217</v>
      </c>
    </row>
    <row r="63" spans="2:31" x14ac:dyDescent="0.25">
      <c r="B63" s="54" t="str">
        <f>IFERROR(VLOOKUP(A63&amp;$I$2,ODDS!A62:$K$50000,3,0)," ")</f>
        <v xml:space="preserve"> </v>
      </c>
      <c r="C63" s="53" t="str">
        <f>IFERROR(VLOOKUP(A63&amp;$I$2,ODDS!A62:$K$50000,4,0)," ")</f>
        <v xml:space="preserve"> </v>
      </c>
      <c r="D63" s="53" t="str">
        <f>IFERROR(VLOOKUP(A63&amp;$I$2,ODDS!A62:$K$50000,6,0)," ")</f>
        <v xml:space="preserve"> </v>
      </c>
      <c r="E63" s="53" t="s">
        <v>211</v>
      </c>
      <c r="F63" s="53" t="str">
        <f>IFERROR(VLOOKUP(A63&amp;$I$2,ODDS!A62:$K$50000,7,0)," ")</f>
        <v xml:space="preserve"> </v>
      </c>
      <c r="G63" s="53" t="str">
        <f>IFERROR(VLOOKUP(A63&amp;$I$2,ODDS!A62:$K$50000,5,0)," ")</f>
        <v xml:space="preserve"> </v>
      </c>
      <c r="H63" s="53" t="str">
        <f t="shared" si="3"/>
        <v xml:space="preserve"> </v>
      </c>
      <c r="I63" s="22"/>
      <c r="J63" s="22"/>
      <c r="K63" s="22"/>
      <c r="L63" s="60" t="str">
        <f>IFERROR(VLOOKUP(A63&amp;$K$2,ODDS!B62:$K$50000,2,0)," ")</f>
        <v xml:space="preserve"> </v>
      </c>
      <c r="M63" s="39" t="str">
        <f>IFERROR(VLOOKUP(A63&amp;$K$2,ODDS!B62:$K$50000,3,0)," ")</f>
        <v xml:space="preserve"> </v>
      </c>
      <c r="N63" s="53" t="str">
        <f>IFERROR(VLOOKUP(A63&amp;$K$2,ODDS!B62:$K$50000,5,0)," ")</f>
        <v xml:space="preserve"> </v>
      </c>
      <c r="O63" s="53" t="s">
        <v>211</v>
      </c>
      <c r="P63" s="53" t="str">
        <f>IFERROR(VLOOKUP(A63&amp;$K$2,ODDS!B62:$K$50000,6,0)," ")</f>
        <v xml:space="preserve"> </v>
      </c>
      <c r="Q63" s="39" t="str">
        <f>IFERROR(VLOOKUP(A63&amp;$K$2,ODDS!B62:$K$50000,4,0)," ")</f>
        <v xml:space="preserve"> </v>
      </c>
      <c r="R63" s="53" t="str">
        <f t="shared" si="4"/>
        <v xml:space="preserve"> </v>
      </c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</row>
    <row r="64" spans="2:31" x14ac:dyDescent="0.25">
      <c r="B64" s="54" t="str">
        <f>IFERROR(VLOOKUP(A64&amp;$I$2,ODDS!A63:$K$50000,3,0)," ")</f>
        <v xml:space="preserve"> </v>
      </c>
      <c r="C64" s="53" t="str">
        <f>IFERROR(VLOOKUP(A64&amp;$I$2,ODDS!A63:$K$50000,4,0)," ")</f>
        <v xml:space="preserve"> </v>
      </c>
      <c r="D64" s="53" t="str">
        <f>IFERROR(VLOOKUP(A64&amp;$I$2,ODDS!A63:$K$50000,6,0)," ")</f>
        <v xml:space="preserve"> </v>
      </c>
      <c r="E64" s="53" t="s">
        <v>211</v>
      </c>
      <c r="F64" s="53" t="str">
        <f>IFERROR(VLOOKUP(A64&amp;$I$2,ODDS!A63:$K$50000,7,0)," ")</f>
        <v xml:space="preserve"> </v>
      </c>
      <c r="G64" s="53" t="str">
        <f>IFERROR(VLOOKUP(A64&amp;$I$2,ODDS!A63:$K$50000,5,0)," ")</f>
        <v xml:space="preserve"> </v>
      </c>
      <c r="H64" s="53" t="str">
        <f t="shared" si="3"/>
        <v xml:space="preserve"> </v>
      </c>
      <c r="I64" s="22"/>
      <c r="J64" s="22"/>
      <c r="K64" s="22"/>
      <c r="L64" s="60" t="str">
        <f>IFERROR(VLOOKUP(A64&amp;$K$2,ODDS!B63:$K$50000,2,0)," ")</f>
        <v xml:space="preserve"> </v>
      </c>
      <c r="M64" s="39" t="str">
        <f>IFERROR(VLOOKUP(A64&amp;$K$2,ODDS!B63:$K$50000,3,0)," ")</f>
        <v xml:space="preserve"> </v>
      </c>
      <c r="N64" s="53" t="str">
        <f>IFERROR(VLOOKUP(A64&amp;$K$2,ODDS!B63:$K$50000,5,0)," ")</f>
        <v xml:space="preserve"> </v>
      </c>
      <c r="O64" s="53" t="s">
        <v>211</v>
      </c>
      <c r="P64" s="53" t="str">
        <f>IFERROR(VLOOKUP(A64&amp;$K$2,ODDS!B63:$K$50000,6,0)," ")</f>
        <v xml:space="preserve"> </v>
      </c>
      <c r="Q64" s="39" t="str">
        <f>IFERROR(VLOOKUP(A64&amp;$K$2,ODDS!B63:$K$50000,4,0)," ")</f>
        <v xml:space="preserve"> </v>
      </c>
      <c r="R64" s="53" t="str">
        <f t="shared" si="4"/>
        <v xml:space="preserve"> </v>
      </c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 t="s">
        <v>217</v>
      </c>
    </row>
    <row r="65" spans="2:31" x14ac:dyDescent="0.25">
      <c r="B65" s="54" t="str">
        <f>IFERROR(VLOOKUP(A65&amp;$I$2,ODDS!A64:$K$50000,3,0)," ")</f>
        <v xml:space="preserve"> </v>
      </c>
      <c r="C65" s="53" t="str">
        <f>IFERROR(VLOOKUP(A65&amp;$I$2,ODDS!A64:$K$50000,4,0)," ")</f>
        <v xml:space="preserve"> </v>
      </c>
      <c r="D65" s="53" t="str">
        <f>IFERROR(VLOOKUP(A65&amp;$I$2,ODDS!A64:$K$50000,6,0)," ")</f>
        <v xml:space="preserve"> </v>
      </c>
      <c r="E65" s="53" t="s">
        <v>211</v>
      </c>
      <c r="F65" s="53" t="str">
        <f>IFERROR(VLOOKUP(A65&amp;$I$2,ODDS!A64:$K$50000,7,0)," ")</f>
        <v xml:space="preserve"> </v>
      </c>
      <c r="G65" s="53" t="str">
        <f>IFERROR(VLOOKUP(A65&amp;$I$2,ODDS!A64:$K$50000,5,0)," ")</f>
        <v xml:space="preserve"> </v>
      </c>
      <c r="H65" s="53" t="str">
        <f t="shared" si="3"/>
        <v xml:space="preserve"> </v>
      </c>
      <c r="I65" s="22"/>
      <c r="J65" s="22"/>
      <c r="K65" s="22"/>
      <c r="L65" s="60" t="str">
        <f>IFERROR(VLOOKUP(A65&amp;$K$2,ODDS!B64:$K$50000,2,0)," ")</f>
        <v xml:space="preserve"> </v>
      </c>
      <c r="M65" s="39" t="str">
        <f>IFERROR(VLOOKUP(A65&amp;$K$2,ODDS!B64:$K$50000,3,0)," ")</f>
        <v xml:space="preserve"> </v>
      </c>
      <c r="N65" s="53" t="str">
        <f>IFERROR(VLOOKUP(A65&amp;$K$2,ODDS!B64:$K$50000,5,0)," ")</f>
        <v xml:space="preserve"> </v>
      </c>
      <c r="O65" s="53" t="s">
        <v>211</v>
      </c>
      <c r="P65" s="53" t="str">
        <f>IFERROR(VLOOKUP(A65&amp;$K$2,ODDS!B64:$K$50000,6,0)," ")</f>
        <v xml:space="preserve"> </v>
      </c>
      <c r="Q65" s="39" t="str">
        <f>IFERROR(VLOOKUP(A65&amp;$K$2,ODDS!B64:$K$50000,4,0)," ")</f>
        <v xml:space="preserve"> </v>
      </c>
      <c r="R65" s="53" t="str">
        <f t="shared" si="4"/>
        <v xml:space="preserve"> </v>
      </c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</row>
    <row r="66" spans="2:31" x14ac:dyDescent="0.25">
      <c r="B66" s="54" t="str">
        <f>IFERROR(VLOOKUP(A66&amp;$I$2,ODDS!A65:$K$50000,3,0)," ")</f>
        <v xml:space="preserve"> </v>
      </c>
      <c r="C66" s="53" t="str">
        <f>IFERROR(VLOOKUP(A66&amp;$I$2,ODDS!A65:$K$50000,4,0)," ")</f>
        <v xml:space="preserve"> </v>
      </c>
      <c r="D66" s="53" t="str">
        <f>IFERROR(VLOOKUP(A66&amp;$I$2,ODDS!A65:$K$50000,6,0)," ")</f>
        <v xml:space="preserve"> </v>
      </c>
      <c r="E66" s="53" t="s">
        <v>211</v>
      </c>
      <c r="F66" s="53" t="str">
        <f>IFERROR(VLOOKUP(A66&amp;$I$2,ODDS!A65:$K$50000,7,0)," ")</f>
        <v xml:space="preserve"> </v>
      </c>
      <c r="G66" s="53" t="str">
        <f>IFERROR(VLOOKUP(A66&amp;$I$2,ODDS!A65:$K$50000,5,0)," ")</f>
        <v xml:space="preserve"> </v>
      </c>
      <c r="H66" s="53" t="str">
        <f t="shared" si="3"/>
        <v xml:space="preserve"> </v>
      </c>
      <c r="I66" s="22"/>
      <c r="J66" s="22"/>
      <c r="K66" s="22"/>
      <c r="L66" s="60" t="str">
        <f>IFERROR(VLOOKUP(A66&amp;$K$2,ODDS!B65:$K$50000,2,0)," ")</f>
        <v xml:space="preserve"> </v>
      </c>
      <c r="M66" s="39" t="str">
        <f>IFERROR(VLOOKUP(A66&amp;$K$2,ODDS!B65:$K$50000,3,0)," ")</f>
        <v xml:space="preserve"> </v>
      </c>
      <c r="N66" s="53" t="str">
        <f>IFERROR(VLOOKUP(A66&amp;$K$2,ODDS!B65:$K$50000,5,0)," ")</f>
        <v xml:space="preserve"> </v>
      </c>
      <c r="O66" s="53" t="s">
        <v>211</v>
      </c>
      <c r="P66" s="53" t="str">
        <f>IFERROR(VLOOKUP(A66&amp;$K$2,ODDS!B65:$K$50000,6,0)," ")</f>
        <v xml:space="preserve"> </v>
      </c>
      <c r="Q66" s="39" t="str">
        <f>IFERROR(VLOOKUP(A66&amp;$K$2,ODDS!B65:$K$50000,4,0)," ")</f>
        <v xml:space="preserve"> </v>
      </c>
      <c r="R66" s="53" t="str">
        <f t="shared" si="4"/>
        <v xml:space="preserve"> </v>
      </c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 t="s">
        <v>217</v>
      </c>
    </row>
    <row r="67" spans="2:31" x14ac:dyDescent="0.25">
      <c r="B67" s="54" t="str">
        <f>IFERROR(VLOOKUP(A67&amp;$I$2,ODDS!A66:$K$50000,3,0)," ")</f>
        <v xml:space="preserve"> </v>
      </c>
      <c r="C67" s="53" t="str">
        <f>IFERROR(VLOOKUP(A67&amp;$I$2,ODDS!A66:$K$50000,4,0)," ")</f>
        <v xml:space="preserve"> </v>
      </c>
      <c r="D67" s="53" t="str">
        <f>IFERROR(VLOOKUP(A67&amp;$I$2,ODDS!A66:$K$50000,6,0)," ")</f>
        <v xml:space="preserve"> </v>
      </c>
      <c r="E67" s="53" t="s">
        <v>211</v>
      </c>
      <c r="F67" s="53" t="str">
        <f>IFERROR(VLOOKUP(A67&amp;$I$2,ODDS!A66:$K$50000,7,0)," ")</f>
        <v xml:space="preserve"> </v>
      </c>
      <c r="G67" s="53" t="str">
        <f>IFERROR(VLOOKUP(A67&amp;$I$2,ODDS!A66:$K$50000,5,0)," ")</f>
        <v xml:space="preserve"> </v>
      </c>
      <c r="H67" s="53" t="str">
        <f t="shared" si="3"/>
        <v xml:space="preserve"> </v>
      </c>
      <c r="I67" s="22"/>
      <c r="J67" s="22"/>
      <c r="K67" s="22"/>
      <c r="L67" s="60" t="str">
        <f>IFERROR(VLOOKUP(A67&amp;$K$2,ODDS!B66:$K$50000,2,0)," ")</f>
        <v xml:space="preserve"> </v>
      </c>
      <c r="M67" s="39" t="str">
        <f>IFERROR(VLOOKUP(A67&amp;$K$2,ODDS!B66:$K$50000,3,0)," ")</f>
        <v xml:space="preserve"> </v>
      </c>
      <c r="N67" s="53" t="str">
        <f>IFERROR(VLOOKUP(A67&amp;$K$2,ODDS!B66:$K$50000,5,0)," ")</f>
        <v xml:space="preserve"> </v>
      </c>
      <c r="O67" s="53" t="s">
        <v>211</v>
      </c>
      <c r="P67" s="53" t="str">
        <f>IFERROR(VLOOKUP(A67&amp;$K$2,ODDS!B66:$K$50000,6,0)," ")</f>
        <v xml:space="preserve"> </v>
      </c>
      <c r="Q67" s="39" t="str">
        <f>IFERROR(VLOOKUP(A67&amp;$K$2,ODDS!B66:$K$50000,4,0)," ")</f>
        <v xml:space="preserve"> </v>
      </c>
      <c r="R67" s="53" t="str">
        <f t="shared" si="4"/>
        <v xml:space="preserve"> </v>
      </c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</row>
    <row r="68" spans="2:31" x14ac:dyDescent="0.25">
      <c r="B68" s="54" t="str">
        <f>IFERROR(VLOOKUP(A68&amp;$I$2,ODDS!A67:$K$50000,3,0)," ")</f>
        <v xml:space="preserve"> </v>
      </c>
      <c r="C68" s="53" t="str">
        <f>IFERROR(VLOOKUP(A68&amp;$I$2,ODDS!A67:$K$50000,4,0)," ")</f>
        <v xml:space="preserve"> </v>
      </c>
      <c r="D68" s="53" t="str">
        <f>IFERROR(VLOOKUP(A68&amp;$I$2,ODDS!A67:$K$50000,6,0)," ")</f>
        <v xml:space="preserve"> </v>
      </c>
      <c r="E68" s="53" t="s">
        <v>211</v>
      </c>
      <c r="F68" s="53" t="str">
        <f>IFERROR(VLOOKUP(A68&amp;$I$2,ODDS!A67:$K$50000,7,0)," ")</f>
        <v xml:space="preserve"> </v>
      </c>
      <c r="G68" s="53" t="str">
        <f>IFERROR(VLOOKUP(A68&amp;$I$2,ODDS!A67:$K$50000,5,0)," ")</f>
        <v xml:space="preserve"> </v>
      </c>
      <c r="H68" s="53" t="str">
        <f t="shared" si="3"/>
        <v xml:space="preserve"> </v>
      </c>
      <c r="I68" s="22"/>
      <c r="J68" s="22"/>
      <c r="K68" s="22"/>
      <c r="L68" s="60" t="str">
        <f>IFERROR(VLOOKUP(A68&amp;$K$2,ODDS!B67:$K$50000,2,0)," ")</f>
        <v xml:space="preserve"> </v>
      </c>
      <c r="M68" s="39" t="str">
        <f>IFERROR(VLOOKUP(A68&amp;$K$2,ODDS!B67:$K$50000,3,0)," ")</f>
        <v xml:space="preserve"> </v>
      </c>
      <c r="N68" s="53" t="str">
        <f>IFERROR(VLOOKUP(A68&amp;$K$2,ODDS!B67:$K$50000,5,0)," ")</f>
        <v xml:space="preserve"> </v>
      </c>
      <c r="O68" s="53" t="s">
        <v>211</v>
      </c>
      <c r="P68" s="53" t="str">
        <f>IFERROR(VLOOKUP(A68&amp;$K$2,ODDS!B67:$K$50000,6,0)," ")</f>
        <v xml:space="preserve"> </v>
      </c>
      <c r="Q68" s="39" t="str">
        <f>IFERROR(VLOOKUP(A68&amp;$K$2,ODDS!B67:$K$50000,4,0)," ")</f>
        <v xml:space="preserve"> </v>
      </c>
      <c r="R68" s="53" t="str">
        <f t="shared" si="4"/>
        <v xml:space="preserve"> </v>
      </c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 t="s">
        <v>217</v>
      </c>
    </row>
    <row r="69" spans="2:31" x14ac:dyDescent="0.25">
      <c r="B69" s="54" t="str">
        <f>IFERROR(VLOOKUP(A69&amp;$I$2,ODDS!A68:$K$50000,3,0)," ")</f>
        <v xml:space="preserve"> </v>
      </c>
      <c r="C69" s="53" t="str">
        <f>IFERROR(VLOOKUP(A69&amp;$I$2,ODDS!A68:$K$50000,4,0)," ")</f>
        <v xml:space="preserve"> </v>
      </c>
      <c r="D69" s="53" t="str">
        <f>IFERROR(VLOOKUP(A69&amp;$I$2,ODDS!A68:$K$50000,6,0)," ")</f>
        <v xml:space="preserve"> </v>
      </c>
      <c r="E69" s="53" t="s">
        <v>211</v>
      </c>
      <c r="F69" s="53" t="str">
        <f>IFERROR(VLOOKUP(A69&amp;$I$2,ODDS!A68:$K$50000,7,0)," ")</f>
        <v xml:space="preserve"> </v>
      </c>
      <c r="G69" s="53" t="str">
        <f>IFERROR(VLOOKUP(A69&amp;$I$2,ODDS!A68:$K$50000,5,0)," ")</f>
        <v xml:space="preserve"> </v>
      </c>
      <c r="H69" s="53" t="str">
        <f t="shared" si="3"/>
        <v xml:space="preserve"> </v>
      </c>
      <c r="I69" s="22"/>
      <c r="J69" s="22"/>
      <c r="K69" s="22"/>
      <c r="L69" s="60" t="str">
        <f>IFERROR(VLOOKUP(A69&amp;$K$2,ODDS!B68:$K$50000,2,0)," ")</f>
        <v xml:space="preserve"> </v>
      </c>
      <c r="M69" s="39" t="str">
        <f>IFERROR(VLOOKUP(A69&amp;$K$2,ODDS!B68:$K$50000,3,0)," ")</f>
        <v xml:space="preserve"> </v>
      </c>
      <c r="N69" s="53" t="str">
        <f>IFERROR(VLOOKUP(A69&amp;$K$2,ODDS!B68:$K$50000,5,0)," ")</f>
        <v xml:space="preserve"> </v>
      </c>
      <c r="O69" s="53" t="s">
        <v>211</v>
      </c>
      <c r="P69" s="53" t="str">
        <f>IFERROR(VLOOKUP(A69&amp;$K$2,ODDS!B68:$K$50000,6,0)," ")</f>
        <v xml:space="preserve"> </v>
      </c>
      <c r="Q69" s="39" t="str">
        <f>IFERROR(VLOOKUP(A69&amp;$K$2,ODDS!B68:$K$50000,4,0)," ")</f>
        <v xml:space="preserve"> </v>
      </c>
      <c r="R69" s="53" t="str">
        <f t="shared" si="4"/>
        <v xml:space="preserve"> </v>
      </c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</row>
    <row r="70" spans="2:31" x14ac:dyDescent="0.25">
      <c r="B70" s="54" t="str">
        <f>IFERROR(VLOOKUP(A70&amp;$I$2,ODDS!A69:$K$50000,3,0)," ")</f>
        <v xml:space="preserve"> </v>
      </c>
      <c r="C70" s="53" t="str">
        <f>IFERROR(VLOOKUP(A70&amp;$I$2,ODDS!A69:$K$50000,4,0)," ")</f>
        <v xml:space="preserve"> </v>
      </c>
      <c r="D70" s="53" t="str">
        <f>IFERROR(VLOOKUP(A70&amp;$I$2,ODDS!A69:$K$50000,6,0)," ")</f>
        <v xml:space="preserve"> </v>
      </c>
      <c r="E70" s="53" t="s">
        <v>211</v>
      </c>
      <c r="F70" s="53" t="str">
        <f>IFERROR(VLOOKUP(A70&amp;$I$2,ODDS!A69:$K$50000,7,0)," ")</f>
        <v xml:space="preserve"> </v>
      </c>
      <c r="G70" s="53" t="str">
        <f>IFERROR(VLOOKUP(A70&amp;$I$2,ODDS!A69:$K$50000,5,0)," ")</f>
        <v xml:space="preserve"> </v>
      </c>
      <c r="H70" s="53" t="str">
        <f t="shared" si="3"/>
        <v xml:space="preserve"> </v>
      </c>
      <c r="I70" s="22"/>
      <c r="J70" s="22"/>
      <c r="K70" s="22"/>
      <c r="L70" s="60" t="str">
        <f>IFERROR(VLOOKUP(A70&amp;$K$2,ODDS!B69:$K$50000,2,0)," ")</f>
        <v xml:space="preserve"> </v>
      </c>
      <c r="M70" s="39" t="str">
        <f>IFERROR(VLOOKUP(A70&amp;$K$2,ODDS!B69:$K$50000,3,0)," ")</f>
        <v xml:space="preserve"> </v>
      </c>
      <c r="N70" s="53" t="str">
        <f>IFERROR(VLOOKUP(A70&amp;$K$2,ODDS!B69:$K$50000,5,0)," ")</f>
        <v xml:space="preserve"> </v>
      </c>
      <c r="O70" s="53" t="s">
        <v>211</v>
      </c>
      <c r="P70" s="53" t="str">
        <f>IFERROR(VLOOKUP(A70&amp;$K$2,ODDS!B69:$K$50000,6,0)," ")</f>
        <v xml:space="preserve"> </v>
      </c>
      <c r="Q70" s="39" t="str">
        <f>IFERROR(VLOOKUP(A70&amp;$K$2,ODDS!B69:$K$50000,4,0)," ")</f>
        <v xml:space="preserve"> </v>
      </c>
      <c r="R70" s="53" t="str">
        <f t="shared" si="4"/>
        <v xml:space="preserve"> </v>
      </c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 t="s">
        <v>217</v>
      </c>
    </row>
    <row r="71" spans="2:31" x14ac:dyDescent="0.25">
      <c r="B71" s="54" t="str">
        <f>IFERROR(VLOOKUP(A71&amp;$I$2,ODDS!A70:$K$50000,3,0)," ")</f>
        <v xml:space="preserve"> </v>
      </c>
      <c r="C71" s="53" t="str">
        <f>IFERROR(VLOOKUP(A71&amp;$I$2,ODDS!A70:$K$50000,4,0)," ")</f>
        <v xml:space="preserve"> </v>
      </c>
      <c r="D71" s="53" t="str">
        <f>IFERROR(VLOOKUP(A71&amp;$I$2,ODDS!A70:$K$50000,6,0)," ")</f>
        <v xml:space="preserve"> </v>
      </c>
      <c r="E71" s="53" t="s">
        <v>211</v>
      </c>
      <c r="F71" s="53" t="str">
        <f>IFERROR(VLOOKUP(A71&amp;$I$2,ODDS!A70:$K$50000,7,0)," ")</f>
        <v xml:space="preserve"> </v>
      </c>
      <c r="G71" s="53" t="str">
        <f>IFERROR(VLOOKUP(A71&amp;$I$2,ODDS!A70:$K$50000,5,0)," ")</f>
        <v xml:space="preserve"> </v>
      </c>
      <c r="H71" s="53" t="str">
        <f t="shared" si="3"/>
        <v xml:space="preserve"> </v>
      </c>
      <c r="I71" s="22"/>
      <c r="J71" s="22"/>
      <c r="K71" s="22"/>
      <c r="L71" s="60" t="str">
        <f>IFERROR(VLOOKUP(A71&amp;$K$2,ODDS!B70:$K$50000,2,0)," ")</f>
        <v xml:space="preserve"> </v>
      </c>
      <c r="M71" s="39" t="str">
        <f>IFERROR(VLOOKUP(A71&amp;$K$2,ODDS!B70:$K$50000,3,0)," ")</f>
        <v xml:space="preserve"> </v>
      </c>
      <c r="N71" s="53" t="str">
        <f>IFERROR(VLOOKUP(A71&amp;$K$2,ODDS!B70:$K$50000,5,0)," ")</f>
        <v xml:space="preserve"> </v>
      </c>
      <c r="O71" s="53" t="s">
        <v>211</v>
      </c>
      <c r="P71" s="53" t="str">
        <f>IFERROR(VLOOKUP(A71&amp;$K$2,ODDS!B70:$K$50000,6,0)," ")</f>
        <v xml:space="preserve"> </v>
      </c>
      <c r="Q71" s="39" t="str">
        <f>IFERROR(VLOOKUP(A71&amp;$K$2,ODDS!B70:$K$50000,4,0)," ")</f>
        <v xml:space="preserve"> </v>
      </c>
      <c r="R71" s="53" t="str">
        <f t="shared" si="4"/>
        <v xml:space="preserve"> </v>
      </c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</row>
    <row r="72" spans="2:31" x14ac:dyDescent="0.25">
      <c r="B72" s="54" t="str">
        <f>IFERROR(VLOOKUP(A72&amp;$I$2,ODDS!A71:$K$50000,3,0)," ")</f>
        <v xml:space="preserve"> </v>
      </c>
      <c r="C72" s="53" t="str">
        <f>IFERROR(VLOOKUP(A72&amp;$I$2,ODDS!A71:$K$50000,4,0)," ")</f>
        <v xml:space="preserve"> </v>
      </c>
      <c r="D72" s="53" t="str">
        <f>IFERROR(VLOOKUP(A72&amp;$I$2,ODDS!A71:$K$50000,6,0)," ")</f>
        <v xml:space="preserve"> </v>
      </c>
      <c r="E72" s="53" t="s">
        <v>211</v>
      </c>
      <c r="F72" s="53" t="str">
        <f>IFERROR(VLOOKUP(A72&amp;$I$2,ODDS!A71:$K$50000,7,0)," ")</f>
        <v xml:space="preserve"> </v>
      </c>
      <c r="G72" s="53" t="str">
        <f>IFERROR(VLOOKUP(A72&amp;$I$2,ODDS!A71:$K$50000,5,0)," ")</f>
        <v xml:space="preserve"> </v>
      </c>
      <c r="H72" s="53" t="str">
        <f t="shared" si="3"/>
        <v xml:space="preserve"> </v>
      </c>
      <c r="I72" s="22"/>
      <c r="J72" s="22"/>
      <c r="K72" s="22"/>
      <c r="L72" s="60" t="str">
        <f>IFERROR(VLOOKUP(A72&amp;$K$2,ODDS!B71:$K$50000,2,0)," ")</f>
        <v xml:space="preserve"> </v>
      </c>
      <c r="M72" s="39" t="str">
        <f>IFERROR(VLOOKUP(A72&amp;$K$2,ODDS!B71:$K$50000,3,0)," ")</f>
        <v xml:space="preserve"> </v>
      </c>
      <c r="N72" s="53" t="str">
        <f>IFERROR(VLOOKUP(A72&amp;$K$2,ODDS!B71:$K$50000,5,0)," ")</f>
        <v xml:space="preserve"> </v>
      </c>
      <c r="O72" s="53" t="s">
        <v>211</v>
      </c>
      <c r="P72" s="53" t="str">
        <f>IFERROR(VLOOKUP(A72&amp;$K$2,ODDS!B71:$K$50000,6,0)," ")</f>
        <v xml:space="preserve"> </v>
      </c>
      <c r="Q72" s="39" t="str">
        <f>IFERROR(VLOOKUP(A72&amp;$K$2,ODDS!B71:$K$50000,4,0)," ")</f>
        <v xml:space="preserve"> </v>
      </c>
      <c r="R72" s="53" t="str">
        <f t="shared" si="4"/>
        <v xml:space="preserve"> </v>
      </c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 t="s">
        <v>217</v>
      </c>
    </row>
    <row r="73" spans="2:31" x14ac:dyDescent="0.25">
      <c r="B73" s="54" t="str">
        <f>IFERROR(VLOOKUP(A73&amp;$I$2,ODDS!A72:$K$50000,3,0)," ")</f>
        <v xml:space="preserve"> </v>
      </c>
      <c r="C73" s="53" t="str">
        <f>IFERROR(VLOOKUP(A73&amp;$I$2,ODDS!A72:$K$50000,4,0)," ")</f>
        <v xml:space="preserve"> </v>
      </c>
      <c r="D73" s="53" t="str">
        <f>IFERROR(VLOOKUP(A73&amp;$I$2,ODDS!A72:$K$50000,6,0)," ")</f>
        <v xml:space="preserve"> </v>
      </c>
      <c r="E73" s="53" t="s">
        <v>211</v>
      </c>
      <c r="F73" s="53" t="str">
        <f>IFERROR(VLOOKUP(A73&amp;$I$2,ODDS!A72:$K$50000,7,0)," ")</f>
        <v xml:space="preserve"> </v>
      </c>
      <c r="G73" s="53" t="str">
        <f>IFERROR(VLOOKUP(A73&amp;$I$2,ODDS!A72:$K$50000,5,0)," ")</f>
        <v xml:space="preserve"> </v>
      </c>
      <c r="H73" s="53" t="str">
        <f t="shared" si="3"/>
        <v xml:space="preserve"> </v>
      </c>
      <c r="I73" s="22"/>
      <c r="J73" s="22"/>
      <c r="K73" s="22"/>
      <c r="L73" s="60" t="str">
        <f>IFERROR(VLOOKUP(A73&amp;$K$2,ODDS!B72:$K$50000,2,0)," ")</f>
        <v xml:space="preserve"> </v>
      </c>
      <c r="M73" s="39" t="str">
        <f>IFERROR(VLOOKUP(A73&amp;$K$2,ODDS!B72:$K$50000,3,0)," ")</f>
        <v xml:space="preserve"> </v>
      </c>
      <c r="N73" s="53" t="str">
        <f>IFERROR(VLOOKUP(A73&amp;$K$2,ODDS!B72:$K$50000,5,0)," ")</f>
        <v xml:space="preserve"> </v>
      </c>
      <c r="O73" s="53" t="s">
        <v>211</v>
      </c>
      <c r="P73" s="53" t="str">
        <f>IFERROR(VLOOKUP(A73&amp;$K$2,ODDS!B72:$K$50000,6,0)," ")</f>
        <v xml:space="preserve"> </v>
      </c>
      <c r="Q73" s="39" t="str">
        <f>IFERROR(VLOOKUP(A73&amp;$K$2,ODDS!B72:$K$50000,4,0)," ")</f>
        <v xml:space="preserve"> </v>
      </c>
      <c r="R73" s="53" t="str">
        <f t="shared" si="4"/>
        <v xml:space="preserve"> </v>
      </c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</row>
    <row r="74" spans="2:31" x14ac:dyDescent="0.25">
      <c r="B74" s="54" t="str">
        <f>IFERROR(VLOOKUP(A74&amp;$I$2,ODDS!A73:$K$50000,3,0)," ")</f>
        <v xml:space="preserve"> </v>
      </c>
      <c r="C74" s="53" t="str">
        <f>IFERROR(VLOOKUP(A74&amp;$I$2,ODDS!A73:$K$50000,4,0)," ")</f>
        <v xml:space="preserve"> </v>
      </c>
      <c r="D74" s="53" t="str">
        <f>IFERROR(VLOOKUP(A74&amp;$I$2,ODDS!A73:$K$50000,6,0)," ")</f>
        <v xml:space="preserve"> </v>
      </c>
      <c r="E74" s="53" t="s">
        <v>211</v>
      </c>
      <c r="F74" s="53" t="str">
        <f>IFERROR(VLOOKUP(A74&amp;$I$2,ODDS!A73:$K$50000,7,0)," ")</f>
        <v xml:space="preserve"> </v>
      </c>
      <c r="G74" s="53" t="str">
        <f>IFERROR(VLOOKUP(A74&amp;$I$2,ODDS!A73:$K$50000,5,0)," ")</f>
        <v xml:space="preserve"> </v>
      </c>
      <c r="H74" s="53" t="str">
        <f t="shared" si="3"/>
        <v xml:space="preserve"> </v>
      </c>
      <c r="I74" s="22"/>
      <c r="J74" s="22"/>
      <c r="K74" s="22"/>
      <c r="L74" s="60" t="str">
        <f>IFERROR(VLOOKUP(A74&amp;$K$2,ODDS!B73:$K$50000,2,0)," ")</f>
        <v xml:space="preserve"> </v>
      </c>
      <c r="M74" s="39" t="str">
        <f>IFERROR(VLOOKUP(A74&amp;$K$2,ODDS!B73:$K$50000,3,0)," ")</f>
        <v xml:space="preserve"> </v>
      </c>
      <c r="N74" s="53" t="str">
        <f>IFERROR(VLOOKUP(A74&amp;$K$2,ODDS!B73:$K$50000,5,0)," ")</f>
        <v xml:space="preserve"> </v>
      </c>
      <c r="O74" s="53" t="s">
        <v>211</v>
      </c>
      <c r="P74" s="53" t="str">
        <f>IFERROR(VLOOKUP(A74&amp;$K$2,ODDS!B73:$K$50000,6,0)," ")</f>
        <v xml:space="preserve"> </v>
      </c>
      <c r="Q74" s="39" t="str">
        <f>IFERROR(VLOOKUP(A74&amp;$K$2,ODDS!B73:$K$50000,4,0)," ")</f>
        <v xml:space="preserve"> </v>
      </c>
      <c r="R74" s="53" t="str">
        <f t="shared" si="4"/>
        <v xml:space="preserve"> </v>
      </c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 t="s">
        <v>217</v>
      </c>
    </row>
    <row r="75" spans="2:31" x14ac:dyDescent="0.25">
      <c r="B75" s="54" t="str">
        <f>IFERROR(VLOOKUP(A75&amp;$I$2,ODDS!A74:$K$50000,3,0)," ")</f>
        <v xml:space="preserve"> </v>
      </c>
      <c r="C75" s="53" t="str">
        <f>IFERROR(VLOOKUP(A75&amp;$I$2,ODDS!A74:$K$50000,4,0)," ")</f>
        <v xml:space="preserve"> </v>
      </c>
      <c r="D75" s="53" t="str">
        <f>IFERROR(VLOOKUP(A75&amp;$I$2,ODDS!A74:$K$50000,6,0)," ")</f>
        <v xml:space="preserve"> </v>
      </c>
      <c r="E75" s="53" t="s">
        <v>211</v>
      </c>
      <c r="F75" s="53" t="str">
        <f>IFERROR(VLOOKUP(A75&amp;$I$2,ODDS!A74:$K$50000,7,0)," ")</f>
        <v xml:space="preserve"> </v>
      </c>
      <c r="G75" s="53" t="str">
        <f>IFERROR(VLOOKUP(A75&amp;$I$2,ODDS!A74:$K$50000,5,0)," ")</f>
        <v xml:space="preserve"> </v>
      </c>
      <c r="H75" s="53" t="str">
        <f t="shared" si="3"/>
        <v xml:space="preserve"> </v>
      </c>
      <c r="I75" s="22"/>
      <c r="J75" s="22"/>
      <c r="K75" s="22"/>
      <c r="L75" s="60" t="str">
        <f>IFERROR(VLOOKUP(A75&amp;$K$2,ODDS!B74:$K$50000,2,0)," ")</f>
        <v xml:space="preserve"> </v>
      </c>
      <c r="M75" s="39" t="str">
        <f>IFERROR(VLOOKUP(A75&amp;$K$2,ODDS!B74:$K$50000,3,0)," ")</f>
        <v xml:space="preserve"> </v>
      </c>
      <c r="N75" s="53" t="str">
        <f>IFERROR(VLOOKUP(A75&amp;$K$2,ODDS!B74:$K$50000,5,0)," ")</f>
        <v xml:space="preserve"> </v>
      </c>
      <c r="O75" s="53" t="s">
        <v>211</v>
      </c>
      <c r="P75" s="53" t="str">
        <f>IFERROR(VLOOKUP(A75&amp;$K$2,ODDS!B74:$K$50000,6,0)," ")</f>
        <v xml:space="preserve"> </v>
      </c>
      <c r="Q75" s="39" t="str">
        <f>IFERROR(VLOOKUP(A75&amp;$K$2,ODDS!B74:$K$50000,4,0)," ")</f>
        <v xml:space="preserve"> </v>
      </c>
      <c r="R75" s="53" t="str">
        <f t="shared" si="4"/>
        <v xml:space="preserve"> </v>
      </c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</row>
    <row r="76" spans="2:31" x14ac:dyDescent="0.25">
      <c r="B76" s="54" t="str">
        <f>IFERROR(VLOOKUP(A76&amp;$I$2,ODDS!A75:$K$50000,3,0)," ")</f>
        <v xml:space="preserve"> </v>
      </c>
      <c r="C76" s="53" t="str">
        <f>IFERROR(VLOOKUP(A76&amp;$I$2,ODDS!A75:$K$50000,4,0)," ")</f>
        <v xml:space="preserve"> </v>
      </c>
      <c r="D76" s="53" t="str">
        <f>IFERROR(VLOOKUP(A76&amp;$I$2,ODDS!A75:$K$50000,6,0)," ")</f>
        <v xml:space="preserve"> </v>
      </c>
      <c r="E76" s="53" t="s">
        <v>211</v>
      </c>
      <c r="F76" s="53" t="str">
        <f>IFERROR(VLOOKUP(A76&amp;$I$2,ODDS!A75:$K$50000,7,0)," ")</f>
        <v xml:space="preserve"> </v>
      </c>
      <c r="G76" s="53" t="str">
        <f>IFERROR(VLOOKUP(A76&amp;$I$2,ODDS!A75:$K$50000,5,0)," ")</f>
        <v xml:space="preserve"> </v>
      </c>
      <c r="H76" s="53" t="str">
        <f t="shared" si="3"/>
        <v xml:space="preserve"> </v>
      </c>
      <c r="I76" s="22"/>
      <c r="J76" s="22"/>
      <c r="K76" s="22"/>
      <c r="L76" s="60" t="str">
        <f>IFERROR(VLOOKUP(A76&amp;$K$2,ODDS!B75:$K$50000,2,0)," ")</f>
        <v xml:space="preserve"> </v>
      </c>
      <c r="M76" s="39" t="str">
        <f>IFERROR(VLOOKUP(A76&amp;$K$2,ODDS!B75:$K$50000,3,0)," ")</f>
        <v xml:space="preserve"> </v>
      </c>
      <c r="N76" s="53" t="str">
        <f>IFERROR(VLOOKUP(A76&amp;$K$2,ODDS!B75:$K$50000,5,0)," ")</f>
        <v xml:space="preserve"> </v>
      </c>
      <c r="O76" s="53" t="s">
        <v>211</v>
      </c>
      <c r="P76" s="53" t="str">
        <f>IFERROR(VLOOKUP(A76&amp;$K$2,ODDS!B75:$K$50000,6,0)," ")</f>
        <v xml:space="preserve"> </v>
      </c>
      <c r="Q76" s="39" t="str">
        <f>IFERROR(VLOOKUP(A76&amp;$K$2,ODDS!B75:$K$50000,4,0)," ")</f>
        <v xml:space="preserve"> </v>
      </c>
      <c r="R76" s="53" t="str">
        <f t="shared" si="4"/>
        <v xml:space="preserve"> </v>
      </c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 t="s">
        <v>217</v>
      </c>
    </row>
    <row r="77" spans="2:31" x14ac:dyDescent="0.25">
      <c r="B77" s="54" t="str">
        <f>IFERROR(VLOOKUP(A77&amp;$I$2,ODDS!A76:$K$50000,3,0)," ")</f>
        <v xml:space="preserve"> </v>
      </c>
      <c r="C77" s="53" t="str">
        <f>IFERROR(VLOOKUP(A77&amp;$I$2,ODDS!A76:$K$50000,4,0)," ")</f>
        <v xml:space="preserve"> </v>
      </c>
      <c r="D77" s="53" t="str">
        <f>IFERROR(VLOOKUP(A77&amp;$I$2,ODDS!A76:$K$50000,6,0)," ")</f>
        <v xml:space="preserve"> </v>
      </c>
      <c r="E77" s="53" t="s">
        <v>211</v>
      </c>
      <c r="F77" s="53" t="str">
        <f>IFERROR(VLOOKUP(A77&amp;$I$2,ODDS!A76:$K$50000,7,0)," ")</f>
        <v xml:space="preserve"> </v>
      </c>
      <c r="G77" s="53" t="str">
        <f>IFERROR(VLOOKUP(A77&amp;$I$2,ODDS!A76:$K$50000,5,0)," ")</f>
        <v xml:space="preserve"> </v>
      </c>
      <c r="H77" s="53" t="str">
        <f t="shared" ref="H77:H140" si="5">IF(C77=$I$2,IF(D77&gt;F77,"VENCEU",IF(D77=F77,"EMPATOU",IF(F77&gt;D77,"PERDEU")))," ")</f>
        <v xml:space="preserve"> </v>
      </c>
      <c r="I77" s="22"/>
      <c r="J77" s="22"/>
      <c r="K77" s="22"/>
      <c r="L77" s="60" t="str">
        <f>IFERROR(VLOOKUP(A77&amp;$K$2,ODDS!B76:$K$50000,2,0)," ")</f>
        <v xml:space="preserve"> </v>
      </c>
      <c r="M77" s="39" t="str">
        <f>IFERROR(VLOOKUP(A77&amp;$K$2,ODDS!B76:$K$50000,3,0)," ")</f>
        <v xml:space="preserve"> </v>
      </c>
      <c r="N77" s="53" t="str">
        <f>IFERROR(VLOOKUP(A77&amp;$K$2,ODDS!B76:$K$50000,5,0)," ")</f>
        <v xml:space="preserve"> </v>
      </c>
      <c r="O77" s="53" t="s">
        <v>211</v>
      </c>
      <c r="P77" s="53" t="str">
        <f>IFERROR(VLOOKUP(A77&amp;$K$2,ODDS!B76:$K$50000,6,0)," ")</f>
        <v xml:space="preserve"> </v>
      </c>
      <c r="Q77" s="39" t="str">
        <f>IFERROR(VLOOKUP(A77&amp;$K$2,ODDS!B76:$K$50000,4,0)," ")</f>
        <v xml:space="preserve"> </v>
      </c>
      <c r="R77" s="53" t="str">
        <f t="shared" ref="R77:R140" si="6">IF(Q77=$K$2,IF(P77&gt;N77,"VENCEU",IF(P77=N77,"EMPATOU",IF(N77&gt;P77,"PERDEU")))," ")</f>
        <v xml:space="preserve"> </v>
      </c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</row>
    <row r="78" spans="2:31" x14ac:dyDescent="0.25">
      <c r="B78" s="54" t="str">
        <f>IFERROR(VLOOKUP(A78&amp;$I$2,ODDS!A77:$K$50000,3,0)," ")</f>
        <v xml:space="preserve"> </v>
      </c>
      <c r="C78" s="53" t="str">
        <f>IFERROR(VLOOKUP(A78&amp;$I$2,ODDS!A77:$K$50000,4,0)," ")</f>
        <v xml:space="preserve"> </v>
      </c>
      <c r="D78" s="53" t="str">
        <f>IFERROR(VLOOKUP(A78&amp;$I$2,ODDS!A77:$K$50000,6,0)," ")</f>
        <v xml:space="preserve"> </v>
      </c>
      <c r="E78" s="53" t="s">
        <v>211</v>
      </c>
      <c r="F78" s="53" t="str">
        <f>IFERROR(VLOOKUP(A78&amp;$I$2,ODDS!A77:$K$50000,7,0)," ")</f>
        <v xml:space="preserve"> </v>
      </c>
      <c r="G78" s="53" t="str">
        <f>IFERROR(VLOOKUP(A78&amp;$I$2,ODDS!A77:$K$50000,5,0)," ")</f>
        <v xml:space="preserve"> </v>
      </c>
      <c r="H78" s="53" t="str">
        <f t="shared" si="5"/>
        <v xml:space="preserve"> </v>
      </c>
      <c r="I78" s="22"/>
      <c r="J78" s="22"/>
      <c r="K78" s="22"/>
      <c r="L78" s="60" t="str">
        <f>IFERROR(VLOOKUP(A78&amp;$K$2,ODDS!B77:$K$50000,2,0)," ")</f>
        <v xml:space="preserve"> </v>
      </c>
      <c r="M78" s="39" t="str">
        <f>IFERROR(VLOOKUP(A78&amp;$K$2,ODDS!B77:$K$50000,3,0)," ")</f>
        <v xml:space="preserve"> </v>
      </c>
      <c r="N78" s="53" t="str">
        <f>IFERROR(VLOOKUP(A78&amp;$K$2,ODDS!B77:$K$50000,5,0)," ")</f>
        <v xml:space="preserve"> </v>
      </c>
      <c r="O78" s="53" t="s">
        <v>211</v>
      </c>
      <c r="P78" s="53" t="str">
        <f>IFERROR(VLOOKUP(A78&amp;$K$2,ODDS!B77:$K$50000,6,0)," ")</f>
        <v xml:space="preserve"> </v>
      </c>
      <c r="Q78" s="39" t="str">
        <f>IFERROR(VLOOKUP(A78&amp;$K$2,ODDS!B77:$K$50000,4,0)," ")</f>
        <v xml:space="preserve"> </v>
      </c>
      <c r="R78" s="53" t="str">
        <f t="shared" si="6"/>
        <v xml:space="preserve"> </v>
      </c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 t="s">
        <v>217</v>
      </c>
    </row>
    <row r="79" spans="2:31" x14ac:dyDescent="0.25">
      <c r="B79" s="54" t="str">
        <f>IFERROR(VLOOKUP(A79&amp;$I$2,ODDS!A78:$K$50000,3,0)," ")</f>
        <v xml:space="preserve"> </v>
      </c>
      <c r="C79" s="53" t="str">
        <f>IFERROR(VLOOKUP(A79&amp;$I$2,ODDS!A78:$K$50000,4,0)," ")</f>
        <v xml:space="preserve"> </v>
      </c>
      <c r="D79" s="53" t="str">
        <f>IFERROR(VLOOKUP(A79&amp;$I$2,ODDS!A78:$K$50000,6,0)," ")</f>
        <v xml:space="preserve"> </v>
      </c>
      <c r="E79" s="53" t="s">
        <v>211</v>
      </c>
      <c r="F79" s="53" t="str">
        <f>IFERROR(VLOOKUP(A79&amp;$I$2,ODDS!A78:$K$50000,7,0)," ")</f>
        <v xml:space="preserve"> </v>
      </c>
      <c r="G79" s="53" t="str">
        <f>IFERROR(VLOOKUP(A79&amp;$I$2,ODDS!A78:$K$50000,5,0)," ")</f>
        <v xml:space="preserve"> </v>
      </c>
      <c r="H79" s="53" t="str">
        <f t="shared" si="5"/>
        <v xml:space="preserve"> </v>
      </c>
      <c r="I79" s="22"/>
      <c r="J79" s="22"/>
      <c r="K79" s="22"/>
      <c r="L79" s="60" t="str">
        <f>IFERROR(VLOOKUP(A79&amp;$K$2,ODDS!B78:$K$50000,2,0)," ")</f>
        <v xml:space="preserve"> </v>
      </c>
      <c r="M79" s="39" t="str">
        <f>IFERROR(VLOOKUP(A79&amp;$K$2,ODDS!B78:$K$50000,3,0)," ")</f>
        <v xml:space="preserve"> </v>
      </c>
      <c r="N79" s="53" t="str">
        <f>IFERROR(VLOOKUP(A79&amp;$K$2,ODDS!B78:$K$50000,5,0)," ")</f>
        <v xml:space="preserve"> </v>
      </c>
      <c r="O79" s="53" t="s">
        <v>211</v>
      </c>
      <c r="P79" s="53" t="str">
        <f>IFERROR(VLOOKUP(A79&amp;$K$2,ODDS!B78:$K$50000,6,0)," ")</f>
        <v xml:space="preserve"> </v>
      </c>
      <c r="Q79" s="39" t="str">
        <f>IFERROR(VLOOKUP(A79&amp;$K$2,ODDS!B78:$K$50000,4,0)," ")</f>
        <v xml:space="preserve"> </v>
      </c>
      <c r="R79" s="53" t="str">
        <f t="shared" si="6"/>
        <v xml:space="preserve"> </v>
      </c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</row>
    <row r="80" spans="2:31" x14ac:dyDescent="0.25">
      <c r="B80" s="54" t="str">
        <f>IFERROR(VLOOKUP(A80&amp;$I$2,ODDS!A79:$K$50000,3,0)," ")</f>
        <v xml:space="preserve"> </v>
      </c>
      <c r="C80" s="53" t="str">
        <f>IFERROR(VLOOKUP(A80&amp;$I$2,ODDS!A79:$K$50000,4,0)," ")</f>
        <v xml:space="preserve"> </v>
      </c>
      <c r="D80" s="53" t="str">
        <f>IFERROR(VLOOKUP(A80&amp;$I$2,ODDS!A79:$K$50000,6,0)," ")</f>
        <v xml:space="preserve"> </v>
      </c>
      <c r="E80" s="53" t="s">
        <v>211</v>
      </c>
      <c r="F80" s="53" t="str">
        <f>IFERROR(VLOOKUP(A80&amp;$I$2,ODDS!A79:$K$50000,7,0)," ")</f>
        <v xml:space="preserve"> </v>
      </c>
      <c r="G80" s="53" t="str">
        <f>IFERROR(VLOOKUP(A80&amp;$I$2,ODDS!A79:$K$50000,5,0)," ")</f>
        <v xml:space="preserve"> </v>
      </c>
      <c r="H80" s="53" t="str">
        <f t="shared" si="5"/>
        <v xml:space="preserve"> </v>
      </c>
      <c r="I80" s="22"/>
      <c r="J80" s="22"/>
      <c r="K80" s="22"/>
      <c r="L80" s="60" t="str">
        <f>IFERROR(VLOOKUP(A80&amp;$K$2,ODDS!B79:$K$50000,2,0)," ")</f>
        <v xml:space="preserve"> </v>
      </c>
      <c r="M80" s="39" t="str">
        <f>IFERROR(VLOOKUP(A80&amp;$K$2,ODDS!B79:$K$50000,3,0)," ")</f>
        <v xml:space="preserve"> </v>
      </c>
      <c r="N80" s="53" t="str">
        <f>IFERROR(VLOOKUP(A80&amp;$K$2,ODDS!B79:$K$50000,5,0)," ")</f>
        <v xml:space="preserve"> </v>
      </c>
      <c r="O80" s="53" t="s">
        <v>211</v>
      </c>
      <c r="P80" s="53" t="str">
        <f>IFERROR(VLOOKUP(A80&amp;$K$2,ODDS!B79:$K$50000,6,0)," ")</f>
        <v xml:space="preserve"> </v>
      </c>
      <c r="Q80" s="39" t="str">
        <f>IFERROR(VLOOKUP(A80&amp;$K$2,ODDS!B79:$K$50000,4,0)," ")</f>
        <v xml:space="preserve"> </v>
      </c>
      <c r="R80" s="53" t="str">
        <f t="shared" si="6"/>
        <v xml:space="preserve"> </v>
      </c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 t="s">
        <v>217</v>
      </c>
    </row>
    <row r="81" spans="2:31" x14ac:dyDescent="0.25">
      <c r="B81" s="54" t="str">
        <f>IFERROR(VLOOKUP(A81&amp;$I$2,ODDS!A80:$K$50000,3,0)," ")</f>
        <v xml:space="preserve"> </v>
      </c>
      <c r="C81" s="53" t="str">
        <f>IFERROR(VLOOKUP(A81&amp;$I$2,ODDS!A80:$K$50000,4,0)," ")</f>
        <v xml:space="preserve"> </v>
      </c>
      <c r="D81" s="53" t="str">
        <f>IFERROR(VLOOKUP(A81&amp;$I$2,ODDS!A80:$K$50000,6,0)," ")</f>
        <v xml:space="preserve"> </v>
      </c>
      <c r="E81" s="53" t="s">
        <v>211</v>
      </c>
      <c r="F81" s="53" t="str">
        <f>IFERROR(VLOOKUP(A81&amp;$I$2,ODDS!A80:$K$50000,7,0)," ")</f>
        <v xml:space="preserve"> </v>
      </c>
      <c r="G81" s="53" t="str">
        <f>IFERROR(VLOOKUP(A81&amp;$I$2,ODDS!A80:$K$50000,5,0)," ")</f>
        <v xml:space="preserve"> </v>
      </c>
      <c r="H81" s="53" t="str">
        <f t="shared" si="5"/>
        <v xml:space="preserve"> </v>
      </c>
      <c r="I81" s="22"/>
      <c r="J81" s="22"/>
      <c r="K81" s="22"/>
      <c r="L81" s="60" t="str">
        <f>IFERROR(VLOOKUP(A81&amp;$K$2,ODDS!B80:$K$50000,2,0)," ")</f>
        <v xml:space="preserve"> </v>
      </c>
      <c r="M81" s="39" t="str">
        <f>IFERROR(VLOOKUP(A81&amp;$K$2,ODDS!B80:$K$50000,3,0)," ")</f>
        <v xml:space="preserve"> </v>
      </c>
      <c r="N81" s="53" t="str">
        <f>IFERROR(VLOOKUP(A81&amp;$K$2,ODDS!B80:$K$50000,5,0)," ")</f>
        <v xml:space="preserve"> </v>
      </c>
      <c r="O81" s="53" t="s">
        <v>211</v>
      </c>
      <c r="P81" s="53" t="str">
        <f>IFERROR(VLOOKUP(A81&amp;$K$2,ODDS!B80:$K$50000,6,0)," ")</f>
        <v xml:space="preserve"> </v>
      </c>
      <c r="Q81" s="39" t="str">
        <f>IFERROR(VLOOKUP(A81&amp;$K$2,ODDS!B80:$K$50000,4,0)," ")</f>
        <v xml:space="preserve"> </v>
      </c>
      <c r="R81" s="53" t="str">
        <f t="shared" si="6"/>
        <v xml:space="preserve"> </v>
      </c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</row>
    <row r="82" spans="2:31" x14ac:dyDescent="0.25">
      <c r="B82" s="54" t="str">
        <f>IFERROR(VLOOKUP(A82&amp;$I$2,ODDS!A81:$K$50000,3,0)," ")</f>
        <v xml:space="preserve"> </v>
      </c>
      <c r="C82" s="53" t="str">
        <f>IFERROR(VLOOKUP(A82&amp;$I$2,ODDS!A81:$K$50000,4,0)," ")</f>
        <v xml:space="preserve"> </v>
      </c>
      <c r="D82" s="53" t="str">
        <f>IFERROR(VLOOKUP(A82&amp;$I$2,ODDS!A81:$K$50000,6,0)," ")</f>
        <v xml:space="preserve"> </v>
      </c>
      <c r="E82" s="53" t="s">
        <v>211</v>
      </c>
      <c r="F82" s="53" t="str">
        <f>IFERROR(VLOOKUP(A82&amp;$I$2,ODDS!A81:$K$50000,7,0)," ")</f>
        <v xml:space="preserve"> </v>
      </c>
      <c r="G82" s="53" t="str">
        <f>IFERROR(VLOOKUP(A82&amp;$I$2,ODDS!A81:$K$50000,5,0)," ")</f>
        <v xml:space="preserve"> </v>
      </c>
      <c r="H82" s="53" t="str">
        <f t="shared" si="5"/>
        <v xml:space="preserve"> </v>
      </c>
      <c r="I82" s="22"/>
      <c r="J82" s="22"/>
      <c r="K82" s="22"/>
      <c r="L82" s="60" t="str">
        <f>IFERROR(VLOOKUP(A82&amp;$K$2,ODDS!B81:$K$50000,2,0)," ")</f>
        <v xml:space="preserve"> </v>
      </c>
      <c r="M82" s="39" t="str">
        <f>IFERROR(VLOOKUP(A82&amp;$K$2,ODDS!B81:$K$50000,3,0)," ")</f>
        <v xml:space="preserve"> </v>
      </c>
      <c r="N82" s="53" t="str">
        <f>IFERROR(VLOOKUP(A82&amp;$K$2,ODDS!B81:$K$50000,5,0)," ")</f>
        <v xml:space="preserve"> </v>
      </c>
      <c r="O82" s="53" t="s">
        <v>211</v>
      </c>
      <c r="P82" s="53" t="str">
        <f>IFERROR(VLOOKUP(A82&amp;$K$2,ODDS!B81:$K$50000,6,0)," ")</f>
        <v xml:space="preserve"> </v>
      </c>
      <c r="Q82" s="39" t="str">
        <f>IFERROR(VLOOKUP(A82&amp;$K$2,ODDS!B81:$K$50000,4,0)," ")</f>
        <v xml:space="preserve"> </v>
      </c>
      <c r="R82" s="53" t="str">
        <f t="shared" si="6"/>
        <v xml:space="preserve"> </v>
      </c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 t="s">
        <v>217</v>
      </c>
    </row>
    <row r="83" spans="2:31" x14ac:dyDescent="0.25">
      <c r="B83" s="54" t="str">
        <f>IFERROR(VLOOKUP(A83&amp;$I$2,ODDS!A82:$K$50000,3,0)," ")</f>
        <v xml:space="preserve"> </v>
      </c>
      <c r="C83" s="53" t="str">
        <f>IFERROR(VLOOKUP(A83&amp;$I$2,ODDS!A82:$K$50000,4,0)," ")</f>
        <v xml:space="preserve"> </v>
      </c>
      <c r="D83" s="53" t="str">
        <f>IFERROR(VLOOKUP(A83&amp;$I$2,ODDS!A82:$K$50000,6,0)," ")</f>
        <v xml:space="preserve"> </v>
      </c>
      <c r="E83" s="53" t="s">
        <v>211</v>
      </c>
      <c r="F83" s="53" t="str">
        <f>IFERROR(VLOOKUP(A83&amp;$I$2,ODDS!A82:$K$50000,7,0)," ")</f>
        <v xml:space="preserve"> </v>
      </c>
      <c r="G83" s="53" t="str">
        <f>IFERROR(VLOOKUP(A83&amp;$I$2,ODDS!A82:$K$50000,5,0)," ")</f>
        <v xml:space="preserve"> </v>
      </c>
      <c r="H83" s="53" t="str">
        <f t="shared" si="5"/>
        <v xml:space="preserve"> </v>
      </c>
      <c r="I83" s="22"/>
      <c r="J83" s="22"/>
      <c r="K83" s="22"/>
      <c r="L83" s="60" t="str">
        <f>IFERROR(VLOOKUP(A83&amp;$K$2,ODDS!B82:$K$50000,2,0)," ")</f>
        <v xml:space="preserve"> </v>
      </c>
      <c r="M83" s="39" t="str">
        <f>IFERROR(VLOOKUP(A83&amp;$K$2,ODDS!B82:$K$50000,3,0)," ")</f>
        <v xml:space="preserve"> </v>
      </c>
      <c r="N83" s="53" t="str">
        <f>IFERROR(VLOOKUP(A83&amp;$K$2,ODDS!B82:$K$50000,5,0)," ")</f>
        <v xml:space="preserve"> </v>
      </c>
      <c r="O83" s="53" t="s">
        <v>211</v>
      </c>
      <c r="P83" s="53" t="str">
        <f>IFERROR(VLOOKUP(A83&amp;$K$2,ODDS!B82:$K$50000,6,0)," ")</f>
        <v xml:space="preserve"> </v>
      </c>
      <c r="Q83" s="39" t="str">
        <f>IFERROR(VLOOKUP(A83&amp;$K$2,ODDS!B82:$K$50000,4,0)," ")</f>
        <v xml:space="preserve"> </v>
      </c>
      <c r="R83" s="53" t="str">
        <f t="shared" si="6"/>
        <v xml:space="preserve"> </v>
      </c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</row>
    <row r="84" spans="2:31" x14ac:dyDescent="0.25">
      <c r="B84" s="54" t="str">
        <f>IFERROR(VLOOKUP(A84&amp;$I$2,ODDS!A83:$K$50000,3,0)," ")</f>
        <v xml:space="preserve"> </v>
      </c>
      <c r="C84" s="53" t="str">
        <f>IFERROR(VLOOKUP(A84&amp;$I$2,ODDS!A83:$K$50000,4,0)," ")</f>
        <v xml:space="preserve"> </v>
      </c>
      <c r="D84" s="53" t="str">
        <f>IFERROR(VLOOKUP(A84&amp;$I$2,ODDS!A83:$K$50000,6,0)," ")</f>
        <v xml:space="preserve"> </v>
      </c>
      <c r="E84" s="53" t="s">
        <v>211</v>
      </c>
      <c r="F84" s="53" t="str">
        <f>IFERROR(VLOOKUP(A84&amp;$I$2,ODDS!A83:$K$50000,7,0)," ")</f>
        <v xml:space="preserve"> </v>
      </c>
      <c r="G84" s="53" t="str">
        <f>IFERROR(VLOOKUP(A84&amp;$I$2,ODDS!A83:$K$50000,5,0)," ")</f>
        <v xml:space="preserve"> </v>
      </c>
      <c r="H84" s="53" t="str">
        <f t="shared" si="5"/>
        <v xml:space="preserve"> </v>
      </c>
      <c r="I84" s="22"/>
      <c r="J84" s="22"/>
      <c r="K84" s="22"/>
      <c r="L84" s="60" t="str">
        <f>IFERROR(VLOOKUP(A84&amp;$K$2,ODDS!B83:$K$50000,2,0)," ")</f>
        <v xml:space="preserve"> </v>
      </c>
      <c r="M84" s="39" t="str">
        <f>IFERROR(VLOOKUP(A84&amp;$K$2,ODDS!B83:$K$50000,3,0)," ")</f>
        <v xml:space="preserve"> </v>
      </c>
      <c r="N84" s="53" t="str">
        <f>IFERROR(VLOOKUP(A84&amp;$K$2,ODDS!B83:$K$50000,5,0)," ")</f>
        <v xml:space="preserve"> </v>
      </c>
      <c r="O84" s="53" t="s">
        <v>211</v>
      </c>
      <c r="P84" s="53" t="str">
        <f>IFERROR(VLOOKUP(A84&amp;$K$2,ODDS!B83:$K$50000,6,0)," ")</f>
        <v xml:space="preserve"> </v>
      </c>
      <c r="Q84" s="39" t="str">
        <f>IFERROR(VLOOKUP(A84&amp;$K$2,ODDS!B83:$K$50000,4,0)," ")</f>
        <v xml:space="preserve"> </v>
      </c>
      <c r="R84" s="53" t="str">
        <f t="shared" si="6"/>
        <v xml:space="preserve"> </v>
      </c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 t="s">
        <v>217</v>
      </c>
    </row>
    <row r="85" spans="2:31" x14ac:dyDescent="0.25">
      <c r="B85" s="54" t="str">
        <f>IFERROR(VLOOKUP(A85&amp;$I$2,ODDS!A84:$K$50000,3,0)," ")</f>
        <v xml:space="preserve"> </v>
      </c>
      <c r="C85" s="53" t="str">
        <f>IFERROR(VLOOKUP(A85&amp;$I$2,ODDS!A84:$K$50000,4,0)," ")</f>
        <v xml:space="preserve"> </v>
      </c>
      <c r="D85" s="53" t="str">
        <f>IFERROR(VLOOKUP(A85&amp;$I$2,ODDS!A84:$K$50000,6,0)," ")</f>
        <v xml:space="preserve"> </v>
      </c>
      <c r="E85" s="53" t="s">
        <v>211</v>
      </c>
      <c r="F85" s="53" t="str">
        <f>IFERROR(VLOOKUP(A85&amp;$I$2,ODDS!A84:$K$50000,7,0)," ")</f>
        <v xml:space="preserve"> </v>
      </c>
      <c r="G85" s="53" t="str">
        <f>IFERROR(VLOOKUP(A85&amp;$I$2,ODDS!A84:$K$50000,5,0)," ")</f>
        <v xml:space="preserve"> </v>
      </c>
      <c r="H85" s="53" t="str">
        <f t="shared" si="5"/>
        <v xml:space="preserve"> </v>
      </c>
      <c r="I85" s="22"/>
      <c r="J85" s="22"/>
      <c r="K85" s="22"/>
      <c r="L85" s="60" t="str">
        <f>IFERROR(VLOOKUP(A85&amp;$K$2,ODDS!B84:$K$50000,2,0)," ")</f>
        <v xml:space="preserve"> </v>
      </c>
      <c r="M85" s="39" t="str">
        <f>IFERROR(VLOOKUP(A85&amp;$K$2,ODDS!B84:$K$50000,3,0)," ")</f>
        <v xml:space="preserve"> </v>
      </c>
      <c r="N85" s="53" t="str">
        <f>IFERROR(VLOOKUP(A85&amp;$K$2,ODDS!B84:$K$50000,5,0)," ")</f>
        <v xml:space="preserve"> </v>
      </c>
      <c r="O85" s="53" t="s">
        <v>211</v>
      </c>
      <c r="P85" s="53" t="str">
        <f>IFERROR(VLOOKUP(A85&amp;$K$2,ODDS!B84:$K$50000,6,0)," ")</f>
        <v xml:space="preserve"> </v>
      </c>
      <c r="Q85" s="39" t="str">
        <f>IFERROR(VLOOKUP(A85&amp;$K$2,ODDS!B84:$K$50000,4,0)," ")</f>
        <v xml:space="preserve"> </v>
      </c>
      <c r="R85" s="53" t="str">
        <f t="shared" si="6"/>
        <v xml:space="preserve"> </v>
      </c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</row>
    <row r="86" spans="2:31" x14ac:dyDescent="0.25">
      <c r="B86" s="54" t="str">
        <f>IFERROR(VLOOKUP(A86&amp;$I$2,ODDS!A85:$K$50000,3,0)," ")</f>
        <v xml:space="preserve"> </v>
      </c>
      <c r="C86" s="53" t="str">
        <f>IFERROR(VLOOKUP(A86&amp;$I$2,ODDS!A85:$K$50000,4,0)," ")</f>
        <v xml:space="preserve"> </v>
      </c>
      <c r="D86" s="53" t="str">
        <f>IFERROR(VLOOKUP(A86&amp;$I$2,ODDS!A85:$K$50000,6,0)," ")</f>
        <v xml:space="preserve"> </v>
      </c>
      <c r="E86" s="53" t="s">
        <v>211</v>
      </c>
      <c r="F86" s="53" t="str">
        <f>IFERROR(VLOOKUP(A86&amp;$I$2,ODDS!A85:$K$50000,7,0)," ")</f>
        <v xml:space="preserve"> </v>
      </c>
      <c r="G86" s="53" t="str">
        <f>IFERROR(VLOOKUP(A86&amp;$I$2,ODDS!A85:$K$50000,5,0)," ")</f>
        <v xml:space="preserve"> </v>
      </c>
      <c r="H86" s="53" t="str">
        <f t="shared" si="5"/>
        <v xml:space="preserve"> </v>
      </c>
      <c r="I86" s="22"/>
      <c r="J86" s="22"/>
      <c r="K86" s="22"/>
      <c r="L86" s="60" t="str">
        <f>IFERROR(VLOOKUP(A86&amp;$K$2,ODDS!B85:$K$50000,2,0)," ")</f>
        <v xml:space="preserve"> </v>
      </c>
      <c r="M86" s="39" t="str">
        <f>IFERROR(VLOOKUP(A86&amp;$K$2,ODDS!B85:$K$50000,3,0)," ")</f>
        <v xml:space="preserve"> </v>
      </c>
      <c r="N86" s="53" t="str">
        <f>IFERROR(VLOOKUP(A86&amp;$K$2,ODDS!B85:$K$50000,5,0)," ")</f>
        <v xml:space="preserve"> </v>
      </c>
      <c r="O86" s="53" t="s">
        <v>211</v>
      </c>
      <c r="P86" s="53" t="str">
        <f>IFERROR(VLOOKUP(A86&amp;$K$2,ODDS!B85:$K$50000,6,0)," ")</f>
        <v xml:space="preserve"> </v>
      </c>
      <c r="Q86" s="39" t="str">
        <f>IFERROR(VLOOKUP(A86&amp;$K$2,ODDS!B85:$K$50000,4,0)," ")</f>
        <v xml:space="preserve"> </v>
      </c>
      <c r="R86" s="53" t="str">
        <f t="shared" si="6"/>
        <v xml:space="preserve"> </v>
      </c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 t="s">
        <v>217</v>
      </c>
    </row>
    <row r="87" spans="2:31" x14ac:dyDescent="0.25">
      <c r="B87" s="54" t="str">
        <f>IFERROR(VLOOKUP(A87&amp;$I$2,ODDS!A86:$K$50000,3,0)," ")</f>
        <v xml:space="preserve"> </v>
      </c>
      <c r="C87" s="53" t="str">
        <f>IFERROR(VLOOKUP(A87&amp;$I$2,ODDS!A86:$K$50000,4,0)," ")</f>
        <v xml:space="preserve"> </v>
      </c>
      <c r="D87" s="53" t="str">
        <f>IFERROR(VLOOKUP(A87&amp;$I$2,ODDS!A86:$K$50000,6,0)," ")</f>
        <v xml:space="preserve"> </v>
      </c>
      <c r="E87" s="53" t="s">
        <v>211</v>
      </c>
      <c r="F87" s="53" t="str">
        <f>IFERROR(VLOOKUP(A87&amp;$I$2,ODDS!A86:$K$50000,7,0)," ")</f>
        <v xml:space="preserve"> </v>
      </c>
      <c r="G87" s="53" t="str">
        <f>IFERROR(VLOOKUP(A87&amp;$I$2,ODDS!A86:$K$50000,5,0)," ")</f>
        <v xml:space="preserve"> </v>
      </c>
      <c r="H87" s="53" t="str">
        <f t="shared" si="5"/>
        <v xml:space="preserve"> </v>
      </c>
      <c r="I87" s="22"/>
      <c r="J87" s="22"/>
      <c r="K87" s="22"/>
      <c r="L87" s="60" t="str">
        <f>IFERROR(VLOOKUP(A87&amp;$K$2,ODDS!B86:$K$50000,2,0)," ")</f>
        <v xml:space="preserve"> </v>
      </c>
      <c r="M87" s="39" t="str">
        <f>IFERROR(VLOOKUP(A87&amp;$K$2,ODDS!B86:$K$50000,3,0)," ")</f>
        <v xml:space="preserve"> </v>
      </c>
      <c r="N87" s="53" t="str">
        <f>IFERROR(VLOOKUP(A87&amp;$K$2,ODDS!B86:$K$50000,5,0)," ")</f>
        <v xml:space="preserve"> </v>
      </c>
      <c r="O87" s="53" t="s">
        <v>211</v>
      </c>
      <c r="P87" s="53" t="str">
        <f>IFERROR(VLOOKUP(A87&amp;$K$2,ODDS!B86:$K$50000,6,0)," ")</f>
        <v xml:space="preserve"> </v>
      </c>
      <c r="Q87" s="39" t="str">
        <f>IFERROR(VLOOKUP(A87&amp;$K$2,ODDS!B86:$K$50000,4,0)," ")</f>
        <v xml:space="preserve"> </v>
      </c>
      <c r="R87" s="53" t="str">
        <f t="shared" si="6"/>
        <v xml:space="preserve"> </v>
      </c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</row>
    <row r="88" spans="2:31" x14ac:dyDescent="0.25">
      <c r="B88" s="54" t="str">
        <f>IFERROR(VLOOKUP(A88&amp;$I$2,ODDS!A87:$K$50000,3,0)," ")</f>
        <v xml:space="preserve"> </v>
      </c>
      <c r="C88" s="53" t="str">
        <f>IFERROR(VLOOKUP(A88&amp;$I$2,ODDS!A87:$K$50000,4,0)," ")</f>
        <v xml:space="preserve"> </v>
      </c>
      <c r="D88" s="53" t="str">
        <f>IFERROR(VLOOKUP(A88&amp;$I$2,ODDS!A87:$K$50000,6,0)," ")</f>
        <v xml:space="preserve"> </v>
      </c>
      <c r="E88" s="53" t="s">
        <v>211</v>
      </c>
      <c r="F88" s="53" t="str">
        <f>IFERROR(VLOOKUP(A88&amp;$I$2,ODDS!A87:$K$50000,7,0)," ")</f>
        <v xml:space="preserve"> </v>
      </c>
      <c r="G88" s="53" t="str">
        <f>IFERROR(VLOOKUP(A88&amp;$I$2,ODDS!A87:$K$50000,5,0)," ")</f>
        <v xml:space="preserve"> </v>
      </c>
      <c r="H88" s="53" t="str">
        <f t="shared" si="5"/>
        <v xml:space="preserve"> </v>
      </c>
      <c r="I88" s="22"/>
      <c r="J88" s="22"/>
      <c r="K88" s="22"/>
      <c r="L88" s="60" t="str">
        <f>IFERROR(VLOOKUP(A88&amp;$K$2,ODDS!B87:$K$50000,2,0)," ")</f>
        <v xml:space="preserve"> </v>
      </c>
      <c r="M88" s="39" t="str">
        <f>IFERROR(VLOOKUP(A88&amp;$K$2,ODDS!B87:$K$50000,3,0)," ")</f>
        <v xml:space="preserve"> </v>
      </c>
      <c r="N88" s="53" t="str">
        <f>IFERROR(VLOOKUP(A88&amp;$K$2,ODDS!B87:$K$50000,5,0)," ")</f>
        <v xml:space="preserve"> </v>
      </c>
      <c r="O88" s="53" t="s">
        <v>211</v>
      </c>
      <c r="P88" s="53" t="str">
        <f>IFERROR(VLOOKUP(A88&amp;$K$2,ODDS!B87:$K$50000,6,0)," ")</f>
        <v xml:space="preserve"> </v>
      </c>
      <c r="Q88" s="39" t="str">
        <f>IFERROR(VLOOKUP(A88&amp;$K$2,ODDS!B87:$K$50000,4,0)," ")</f>
        <v xml:space="preserve"> </v>
      </c>
      <c r="R88" s="53" t="str">
        <f t="shared" si="6"/>
        <v xml:space="preserve"> </v>
      </c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 t="s">
        <v>217</v>
      </c>
    </row>
    <row r="89" spans="2:31" x14ac:dyDescent="0.25">
      <c r="B89" s="54" t="str">
        <f>IFERROR(VLOOKUP(A89&amp;$I$2,ODDS!A88:$K$50000,3,0)," ")</f>
        <v xml:space="preserve"> </v>
      </c>
      <c r="C89" s="53" t="str">
        <f>IFERROR(VLOOKUP(A89&amp;$I$2,ODDS!A88:$K$50000,4,0)," ")</f>
        <v xml:space="preserve"> </v>
      </c>
      <c r="D89" s="53" t="str">
        <f>IFERROR(VLOOKUP(A89&amp;$I$2,ODDS!A88:$K$50000,6,0)," ")</f>
        <v xml:space="preserve"> </v>
      </c>
      <c r="E89" s="53" t="s">
        <v>211</v>
      </c>
      <c r="F89" s="53" t="str">
        <f>IFERROR(VLOOKUP(A89&amp;$I$2,ODDS!A88:$K$50000,7,0)," ")</f>
        <v xml:space="preserve"> </v>
      </c>
      <c r="G89" s="53" t="str">
        <f>IFERROR(VLOOKUP(A89&amp;$I$2,ODDS!A88:$K$50000,5,0)," ")</f>
        <v xml:space="preserve"> </v>
      </c>
      <c r="H89" s="53" t="str">
        <f t="shared" si="5"/>
        <v xml:space="preserve"> </v>
      </c>
      <c r="I89" s="22"/>
      <c r="J89" s="22"/>
      <c r="K89" s="22"/>
      <c r="L89" s="60" t="str">
        <f>IFERROR(VLOOKUP(A89&amp;$K$2,ODDS!B88:$K$50000,2,0)," ")</f>
        <v xml:space="preserve"> </v>
      </c>
      <c r="M89" s="39" t="str">
        <f>IFERROR(VLOOKUP(A89&amp;$K$2,ODDS!B88:$K$50000,3,0)," ")</f>
        <v xml:space="preserve"> </v>
      </c>
      <c r="N89" s="53" t="str">
        <f>IFERROR(VLOOKUP(A89&amp;$K$2,ODDS!B88:$K$50000,5,0)," ")</f>
        <v xml:space="preserve"> </v>
      </c>
      <c r="O89" s="53" t="s">
        <v>211</v>
      </c>
      <c r="P89" s="53" t="str">
        <f>IFERROR(VLOOKUP(A89&amp;$K$2,ODDS!B88:$K$50000,6,0)," ")</f>
        <v xml:space="preserve"> </v>
      </c>
      <c r="Q89" s="39" t="str">
        <f>IFERROR(VLOOKUP(A89&amp;$K$2,ODDS!B88:$K$50000,4,0)," ")</f>
        <v xml:space="preserve"> </v>
      </c>
      <c r="R89" s="53" t="str">
        <f t="shared" si="6"/>
        <v xml:space="preserve"> </v>
      </c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</row>
    <row r="90" spans="2:31" x14ac:dyDescent="0.25">
      <c r="B90" s="54" t="str">
        <f>IFERROR(VLOOKUP(A90&amp;$I$2,ODDS!A89:$K$50000,3,0)," ")</f>
        <v xml:space="preserve"> </v>
      </c>
      <c r="C90" s="53" t="str">
        <f>IFERROR(VLOOKUP(A90&amp;$I$2,ODDS!A89:$K$50000,4,0)," ")</f>
        <v xml:space="preserve"> </v>
      </c>
      <c r="D90" s="53" t="str">
        <f>IFERROR(VLOOKUP(A90&amp;$I$2,ODDS!A89:$K$50000,6,0)," ")</f>
        <v xml:space="preserve"> </v>
      </c>
      <c r="E90" s="53" t="s">
        <v>211</v>
      </c>
      <c r="F90" s="53" t="str">
        <f>IFERROR(VLOOKUP(A90&amp;$I$2,ODDS!A89:$K$50000,7,0)," ")</f>
        <v xml:space="preserve"> </v>
      </c>
      <c r="G90" s="53" t="str">
        <f>IFERROR(VLOOKUP(A90&amp;$I$2,ODDS!A89:$K$50000,5,0)," ")</f>
        <v xml:space="preserve"> </v>
      </c>
      <c r="H90" s="53" t="str">
        <f t="shared" si="5"/>
        <v xml:space="preserve"> </v>
      </c>
      <c r="I90" s="22"/>
      <c r="J90" s="22"/>
      <c r="K90" s="22"/>
      <c r="L90" s="60" t="str">
        <f>IFERROR(VLOOKUP(A90&amp;$K$2,ODDS!B89:$K$50000,2,0)," ")</f>
        <v xml:space="preserve"> </v>
      </c>
      <c r="M90" s="39" t="str">
        <f>IFERROR(VLOOKUP(A90&amp;$K$2,ODDS!B89:$K$50000,3,0)," ")</f>
        <v xml:space="preserve"> </v>
      </c>
      <c r="N90" s="53" t="str">
        <f>IFERROR(VLOOKUP(A90&amp;$K$2,ODDS!B89:$K$50000,5,0)," ")</f>
        <v xml:space="preserve"> </v>
      </c>
      <c r="O90" s="53" t="s">
        <v>211</v>
      </c>
      <c r="P90" s="53" t="str">
        <f>IFERROR(VLOOKUP(A90&amp;$K$2,ODDS!B89:$K$50000,6,0)," ")</f>
        <v xml:space="preserve"> </v>
      </c>
      <c r="Q90" s="39" t="str">
        <f>IFERROR(VLOOKUP(A90&amp;$K$2,ODDS!B89:$K$50000,4,0)," ")</f>
        <v xml:space="preserve"> </v>
      </c>
      <c r="R90" s="53" t="str">
        <f t="shared" si="6"/>
        <v xml:space="preserve"> </v>
      </c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 t="s">
        <v>217</v>
      </c>
    </row>
    <row r="91" spans="2:31" x14ac:dyDescent="0.25">
      <c r="B91" s="54" t="str">
        <f>IFERROR(VLOOKUP(A91&amp;$I$2,ODDS!A90:$K$50000,3,0)," ")</f>
        <v xml:space="preserve"> </v>
      </c>
      <c r="C91" s="53" t="str">
        <f>IFERROR(VLOOKUP(A91&amp;$I$2,ODDS!A90:$K$50000,4,0)," ")</f>
        <v xml:space="preserve"> </v>
      </c>
      <c r="D91" s="53" t="str">
        <f>IFERROR(VLOOKUP(A91&amp;$I$2,ODDS!A90:$K$50000,6,0)," ")</f>
        <v xml:space="preserve"> </v>
      </c>
      <c r="E91" s="53" t="s">
        <v>211</v>
      </c>
      <c r="F91" s="53" t="str">
        <f>IFERROR(VLOOKUP(A91&amp;$I$2,ODDS!A90:$K$50000,7,0)," ")</f>
        <v xml:space="preserve"> </v>
      </c>
      <c r="G91" s="53" t="str">
        <f>IFERROR(VLOOKUP(A91&amp;$I$2,ODDS!A90:$K$50000,5,0)," ")</f>
        <v xml:space="preserve"> </v>
      </c>
      <c r="H91" s="53" t="str">
        <f t="shared" si="5"/>
        <v xml:space="preserve"> </v>
      </c>
      <c r="I91" s="22"/>
      <c r="J91" s="22"/>
      <c r="K91" s="22"/>
      <c r="L91" s="60" t="str">
        <f>IFERROR(VLOOKUP(A91&amp;$K$2,ODDS!B90:$K$50000,2,0)," ")</f>
        <v xml:space="preserve"> </v>
      </c>
      <c r="M91" s="39" t="str">
        <f>IFERROR(VLOOKUP(A91&amp;$K$2,ODDS!B90:$K$50000,3,0)," ")</f>
        <v xml:space="preserve"> </v>
      </c>
      <c r="N91" s="53" t="str">
        <f>IFERROR(VLOOKUP(A91&amp;$K$2,ODDS!B90:$K$50000,5,0)," ")</f>
        <v xml:space="preserve"> </v>
      </c>
      <c r="O91" s="53" t="s">
        <v>211</v>
      </c>
      <c r="P91" s="53" t="str">
        <f>IFERROR(VLOOKUP(A91&amp;$K$2,ODDS!B90:$K$50000,6,0)," ")</f>
        <v xml:space="preserve"> </v>
      </c>
      <c r="Q91" s="39" t="str">
        <f>IFERROR(VLOOKUP(A91&amp;$K$2,ODDS!B90:$K$50000,4,0)," ")</f>
        <v xml:space="preserve"> </v>
      </c>
      <c r="R91" s="53" t="str">
        <f t="shared" si="6"/>
        <v xml:space="preserve"> </v>
      </c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</row>
    <row r="92" spans="2:31" x14ac:dyDescent="0.25">
      <c r="B92" s="54" t="str">
        <f>IFERROR(VLOOKUP(A92&amp;$I$2,ODDS!A91:$K$50000,3,0)," ")</f>
        <v xml:space="preserve"> </v>
      </c>
      <c r="C92" s="53" t="str">
        <f>IFERROR(VLOOKUP(A92&amp;$I$2,ODDS!A91:$K$50000,4,0)," ")</f>
        <v xml:space="preserve"> </v>
      </c>
      <c r="D92" s="53" t="str">
        <f>IFERROR(VLOOKUP(A92&amp;$I$2,ODDS!A91:$K$50000,6,0)," ")</f>
        <v xml:space="preserve"> </v>
      </c>
      <c r="E92" s="53" t="s">
        <v>211</v>
      </c>
      <c r="F92" s="53" t="str">
        <f>IFERROR(VLOOKUP(A92&amp;$I$2,ODDS!A91:$K$50000,7,0)," ")</f>
        <v xml:space="preserve"> </v>
      </c>
      <c r="G92" s="53" t="str">
        <f>IFERROR(VLOOKUP(A92&amp;$I$2,ODDS!A91:$K$50000,5,0)," ")</f>
        <v xml:space="preserve"> </v>
      </c>
      <c r="H92" s="53" t="str">
        <f t="shared" si="5"/>
        <v xml:space="preserve"> </v>
      </c>
      <c r="I92" s="22"/>
      <c r="J92" s="22"/>
      <c r="K92" s="22"/>
      <c r="L92" s="60" t="str">
        <f>IFERROR(VLOOKUP(A92&amp;$K$2,ODDS!B91:$K$50000,2,0)," ")</f>
        <v xml:space="preserve"> </v>
      </c>
      <c r="M92" s="39" t="str">
        <f>IFERROR(VLOOKUP(A92&amp;$K$2,ODDS!B91:$K$50000,3,0)," ")</f>
        <v xml:space="preserve"> </v>
      </c>
      <c r="N92" s="53" t="str">
        <f>IFERROR(VLOOKUP(A92&amp;$K$2,ODDS!B91:$K$50000,5,0)," ")</f>
        <v xml:space="preserve"> </v>
      </c>
      <c r="O92" s="53" t="s">
        <v>211</v>
      </c>
      <c r="P92" s="53" t="str">
        <f>IFERROR(VLOOKUP(A92&amp;$K$2,ODDS!B91:$K$50000,6,0)," ")</f>
        <v xml:space="preserve"> </v>
      </c>
      <c r="Q92" s="39" t="str">
        <f>IFERROR(VLOOKUP(A92&amp;$K$2,ODDS!B91:$K$50000,4,0)," ")</f>
        <v xml:space="preserve"> </v>
      </c>
      <c r="R92" s="53" t="str">
        <f t="shared" si="6"/>
        <v xml:space="preserve"> </v>
      </c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 t="s">
        <v>217</v>
      </c>
    </row>
    <row r="93" spans="2:31" x14ac:dyDescent="0.25">
      <c r="B93" s="54" t="str">
        <f>IFERROR(VLOOKUP(A93&amp;$I$2,ODDS!A92:$K$50000,3,0)," ")</f>
        <v xml:space="preserve"> </v>
      </c>
      <c r="C93" s="53" t="str">
        <f>IFERROR(VLOOKUP(A93&amp;$I$2,ODDS!A92:$K$50000,4,0)," ")</f>
        <v xml:space="preserve"> </v>
      </c>
      <c r="D93" s="53" t="str">
        <f>IFERROR(VLOOKUP(A93&amp;$I$2,ODDS!A92:$K$50000,6,0)," ")</f>
        <v xml:space="preserve"> </v>
      </c>
      <c r="E93" s="53" t="s">
        <v>211</v>
      </c>
      <c r="F93" s="53" t="str">
        <f>IFERROR(VLOOKUP(A93&amp;$I$2,ODDS!A92:$K$50000,7,0)," ")</f>
        <v xml:space="preserve"> </v>
      </c>
      <c r="G93" s="53" t="str">
        <f>IFERROR(VLOOKUP(A93&amp;$I$2,ODDS!A92:$K$50000,5,0)," ")</f>
        <v xml:space="preserve"> </v>
      </c>
      <c r="H93" s="53" t="str">
        <f t="shared" si="5"/>
        <v xml:space="preserve"> </v>
      </c>
      <c r="I93" s="22"/>
      <c r="J93" s="22"/>
      <c r="K93" s="22"/>
      <c r="L93" s="60" t="str">
        <f>IFERROR(VLOOKUP(A93&amp;$K$2,ODDS!B92:$K$50000,2,0)," ")</f>
        <v xml:space="preserve"> </v>
      </c>
      <c r="M93" s="39" t="str">
        <f>IFERROR(VLOOKUP(A93&amp;$K$2,ODDS!B92:$K$50000,3,0)," ")</f>
        <v xml:space="preserve"> </v>
      </c>
      <c r="N93" s="53" t="str">
        <f>IFERROR(VLOOKUP(A93&amp;$K$2,ODDS!B92:$K$50000,5,0)," ")</f>
        <v xml:space="preserve"> </v>
      </c>
      <c r="O93" s="53" t="s">
        <v>211</v>
      </c>
      <c r="P93" s="53" t="str">
        <f>IFERROR(VLOOKUP(A93&amp;$K$2,ODDS!B92:$K$50000,6,0)," ")</f>
        <v xml:space="preserve"> </v>
      </c>
      <c r="Q93" s="39" t="str">
        <f>IFERROR(VLOOKUP(A93&amp;$K$2,ODDS!B92:$K$50000,4,0)," ")</f>
        <v xml:space="preserve"> </v>
      </c>
      <c r="R93" s="53" t="str">
        <f t="shared" si="6"/>
        <v xml:space="preserve"> </v>
      </c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</row>
    <row r="94" spans="2:31" x14ac:dyDescent="0.25">
      <c r="B94" s="54" t="str">
        <f>IFERROR(VLOOKUP(A94&amp;$I$2,ODDS!A93:$K$50000,3,0)," ")</f>
        <v xml:space="preserve"> </v>
      </c>
      <c r="C94" s="53" t="str">
        <f>IFERROR(VLOOKUP(A94&amp;$I$2,ODDS!A93:$K$50000,4,0)," ")</f>
        <v xml:space="preserve"> </v>
      </c>
      <c r="D94" s="53" t="str">
        <f>IFERROR(VLOOKUP(A94&amp;$I$2,ODDS!A93:$K$50000,6,0)," ")</f>
        <v xml:space="preserve"> </v>
      </c>
      <c r="E94" s="53" t="s">
        <v>211</v>
      </c>
      <c r="F94" s="53" t="str">
        <f>IFERROR(VLOOKUP(A94&amp;$I$2,ODDS!A93:$K$50000,7,0)," ")</f>
        <v xml:space="preserve"> </v>
      </c>
      <c r="G94" s="53" t="str">
        <f>IFERROR(VLOOKUP(A94&amp;$I$2,ODDS!A93:$K$50000,5,0)," ")</f>
        <v xml:space="preserve"> </v>
      </c>
      <c r="H94" s="53" t="str">
        <f t="shared" si="5"/>
        <v xml:space="preserve"> </v>
      </c>
      <c r="I94" s="22"/>
      <c r="J94" s="22"/>
      <c r="K94" s="22"/>
      <c r="L94" s="60" t="str">
        <f>IFERROR(VLOOKUP(A94&amp;$K$2,ODDS!B93:$K$50000,2,0)," ")</f>
        <v xml:space="preserve"> </v>
      </c>
      <c r="M94" s="39" t="str">
        <f>IFERROR(VLOOKUP(A94&amp;$K$2,ODDS!B93:$K$50000,3,0)," ")</f>
        <v xml:space="preserve"> </v>
      </c>
      <c r="N94" s="53" t="str">
        <f>IFERROR(VLOOKUP(A94&amp;$K$2,ODDS!B93:$K$50000,5,0)," ")</f>
        <v xml:space="preserve"> </v>
      </c>
      <c r="O94" s="53" t="s">
        <v>211</v>
      </c>
      <c r="P94" s="53" t="str">
        <f>IFERROR(VLOOKUP(A94&amp;$K$2,ODDS!B93:$K$50000,6,0)," ")</f>
        <v xml:space="preserve"> </v>
      </c>
      <c r="Q94" s="39" t="str">
        <f>IFERROR(VLOOKUP(A94&amp;$K$2,ODDS!B93:$K$50000,4,0)," ")</f>
        <v xml:space="preserve"> </v>
      </c>
      <c r="R94" s="53" t="str">
        <f t="shared" si="6"/>
        <v xml:space="preserve"> </v>
      </c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 t="s">
        <v>217</v>
      </c>
    </row>
    <row r="95" spans="2:31" x14ac:dyDescent="0.25">
      <c r="B95" s="54" t="str">
        <f>IFERROR(VLOOKUP(A95&amp;$I$2,ODDS!A94:$K$50000,3,0)," ")</f>
        <v xml:space="preserve"> </v>
      </c>
      <c r="C95" s="53" t="str">
        <f>IFERROR(VLOOKUP(A95&amp;$I$2,ODDS!A94:$K$50000,4,0)," ")</f>
        <v xml:space="preserve"> </v>
      </c>
      <c r="D95" s="53" t="str">
        <f>IFERROR(VLOOKUP(A95&amp;$I$2,ODDS!A94:$K$50000,6,0)," ")</f>
        <v xml:space="preserve"> </v>
      </c>
      <c r="E95" s="53" t="s">
        <v>211</v>
      </c>
      <c r="F95" s="53" t="str">
        <f>IFERROR(VLOOKUP(A95&amp;$I$2,ODDS!A94:$K$50000,7,0)," ")</f>
        <v xml:space="preserve"> </v>
      </c>
      <c r="G95" s="53" t="str">
        <f>IFERROR(VLOOKUP(A95&amp;$I$2,ODDS!A94:$K$50000,5,0)," ")</f>
        <v xml:space="preserve"> </v>
      </c>
      <c r="H95" s="53" t="str">
        <f t="shared" si="5"/>
        <v xml:space="preserve"> </v>
      </c>
      <c r="I95" s="22"/>
      <c r="J95" s="22"/>
      <c r="K95" s="22"/>
      <c r="L95" s="60" t="str">
        <f>IFERROR(VLOOKUP(A95&amp;$K$2,ODDS!B94:$K$50000,2,0)," ")</f>
        <v xml:space="preserve"> </v>
      </c>
      <c r="M95" s="39" t="str">
        <f>IFERROR(VLOOKUP(A95&amp;$K$2,ODDS!B94:$K$50000,3,0)," ")</f>
        <v xml:space="preserve"> </v>
      </c>
      <c r="N95" s="53" t="str">
        <f>IFERROR(VLOOKUP(A95&amp;$K$2,ODDS!B94:$K$50000,5,0)," ")</f>
        <v xml:space="preserve"> </v>
      </c>
      <c r="O95" s="53" t="s">
        <v>211</v>
      </c>
      <c r="P95" s="53" t="str">
        <f>IFERROR(VLOOKUP(A95&amp;$K$2,ODDS!B94:$K$50000,6,0)," ")</f>
        <v xml:space="preserve"> </v>
      </c>
      <c r="Q95" s="39" t="str">
        <f>IFERROR(VLOOKUP(A95&amp;$K$2,ODDS!B94:$K$50000,4,0)," ")</f>
        <v xml:space="preserve"> </v>
      </c>
      <c r="R95" s="53" t="str">
        <f t="shared" si="6"/>
        <v xml:space="preserve"> </v>
      </c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</row>
    <row r="96" spans="2:31" x14ac:dyDescent="0.25">
      <c r="B96" s="54" t="str">
        <f>IFERROR(VLOOKUP(A96&amp;$I$2,ODDS!A95:$K$50000,3,0)," ")</f>
        <v xml:space="preserve"> </v>
      </c>
      <c r="C96" s="53" t="str">
        <f>IFERROR(VLOOKUP(A96&amp;$I$2,ODDS!A95:$K$50000,4,0)," ")</f>
        <v xml:space="preserve"> </v>
      </c>
      <c r="D96" s="53" t="str">
        <f>IFERROR(VLOOKUP(A96&amp;$I$2,ODDS!A95:$K$50000,6,0)," ")</f>
        <v xml:space="preserve"> </v>
      </c>
      <c r="E96" s="53" t="s">
        <v>211</v>
      </c>
      <c r="F96" s="53" t="str">
        <f>IFERROR(VLOOKUP(A96&amp;$I$2,ODDS!A95:$K$50000,7,0)," ")</f>
        <v xml:space="preserve"> </v>
      </c>
      <c r="G96" s="53" t="str">
        <f>IFERROR(VLOOKUP(A96&amp;$I$2,ODDS!A95:$K$50000,5,0)," ")</f>
        <v xml:space="preserve"> </v>
      </c>
      <c r="H96" s="53" t="str">
        <f t="shared" si="5"/>
        <v xml:space="preserve"> </v>
      </c>
      <c r="I96" s="22"/>
      <c r="J96" s="22"/>
      <c r="K96" s="22"/>
      <c r="L96" s="60" t="str">
        <f>IFERROR(VLOOKUP(A96&amp;$K$2,ODDS!B95:$K$50000,2,0)," ")</f>
        <v xml:space="preserve"> </v>
      </c>
      <c r="M96" s="39" t="str">
        <f>IFERROR(VLOOKUP(A96&amp;$K$2,ODDS!B95:$K$50000,3,0)," ")</f>
        <v xml:space="preserve"> </v>
      </c>
      <c r="N96" s="53" t="str">
        <f>IFERROR(VLOOKUP(A96&amp;$K$2,ODDS!B95:$K$50000,5,0)," ")</f>
        <v xml:space="preserve"> </v>
      </c>
      <c r="O96" s="53" t="s">
        <v>211</v>
      </c>
      <c r="P96" s="53" t="str">
        <f>IFERROR(VLOOKUP(A96&amp;$K$2,ODDS!B95:$K$50000,6,0)," ")</f>
        <v xml:space="preserve"> </v>
      </c>
      <c r="Q96" s="39" t="str">
        <f>IFERROR(VLOOKUP(A96&amp;$K$2,ODDS!B95:$K$50000,4,0)," ")</f>
        <v xml:space="preserve"> </v>
      </c>
      <c r="R96" s="53" t="str">
        <f t="shared" si="6"/>
        <v xml:space="preserve"> </v>
      </c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 t="s">
        <v>217</v>
      </c>
    </row>
    <row r="97" spans="2:31" x14ac:dyDescent="0.25">
      <c r="B97" s="54" t="str">
        <f>IFERROR(VLOOKUP(A97&amp;$I$2,ODDS!A96:$K$50000,3,0)," ")</f>
        <v xml:space="preserve"> </v>
      </c>
      <c r="C97" s="53" t="str">
        <f>IFERROR(VLOOKUP(A97&amp;$I$2,ODDS!A96:$K$50000,4,0)," ")</f>
        <v xml:space="preserve"> </v>
      </c>
      <c r="D97" s="53" t="str">
        <f>IFERROR(VLOOKUP(A97&amp;$I$2,ODDS!A96:$K$50000,6,0)," ")</f>
        <v xml:space="preserve"> </v>
      </c>
      <c r="E97" s="53" t="s">
        <v>211</v>
      </c>
      <c r="F97" s="53" t="str">
        <f>IFERROR(VLOOKUP(A97&amp;$I$2,ODDS!A96:$K$50000,7,0)," ")</f>
        <v xml:space="preserve"> </v>
      </c>
      <c r="G97" s="53" t="str">
        <f>IFERROR(VLOOKUP(A97&amp;$I$2,ODDS!A96:$K$50000,5,0)," ")</f>
        <v xml:space="preserve"> </v>
      </c>
      <c r="H97" s="53" t="str">
        <f t="shared" si="5"/>
        <v xml:space="preserve"> </v>
      </c>
      <c r="I97" s="22"/>
      <c r="J97" s="22"/>
      <c r="K97" s="22"/>
      <c r="L97" s="60" t="str">
        <f>IFERROR(VLOOKUP(A97&amp;$K$2,ODDS!B96:$K$50000,2,0)," ")</f>
        <v xml:space="preserve"> </v>
      </c>
      <c r="M97" s="39" t="str">
        <f>IFERROR(VLOOKUP(A97&amp;$K$2,ODDS!B96:$K$50000,3,0)," ")</f>
        <v xml:space="preserve"> </v>
      </c>
      <c r="N97" s="53" t="str">
        <f>IFERROR(VLOOKUP(A97&amp;$K$2,ODDS!B96:$K$50000,5,0)," ")</f>
        <v xml:space="preserve"> </v>
      </c>
      <c r="O97" s="53" t="s">
        <v>211</v>
      </c>
      <c r="P97" s="53" t="str">
        <f>IFERROR(VLOOKUP(A97&amp;$K$2,ODDS!B96:$K$50000,6,0)," ")</f>
        <v xml:space="preserve"> </v>
      </c>
      <c r="Q97" s="39" t="str">
        <f>IFERROR(VLOOKUP(A97&amp;$K$2,ODDS!B96:$K$50000,4,0)," ")</f>
        <v xml:space="preserve"> </v>
      </c>
      <c r="R97" s="53" t="str">
        <f t="shared" si="6"/>
        <v xml:space="preserve"> </v>
      </c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</row>
    <row r="98" spans="2:31" x14ac:dyDescent="0.25">
      <c r="B98" s="54" t="str">
        <f>IFERROR(VLOOKUP(A98&amp;$I$2,ODDS!A97:$K$50000,3,0)," ")</f>
        <v xml:space="preserve"> </v>
      </c>
      <c r="C98" s="53" t="str">
        <f>IFERROR(VLOOKUP(A98&amp;$I$2,ODDS!A97:$K$50000,4,0)," ")</f>
        <v xml:space="preserve"> </v>
      </c>
      <c r="D98" s="53" t="str">
        <f>IFERROR(VLOOKUP(A98&amp;$I$2,ODDS!A97:$K$50000,6,0)," ")</f>
        <v xml:space="preserve"> </v>
      </c>
      <c r="E98" s="53" t="s">
        <v>211</v>
      </c>
      <c r="F98" s="53" t="str">
        <f>IFERROR(VLOOKUP(A98&amp;$I$2,ODDS!A97:$K$50000,7,0)," ")</f>
        <v xml:space="preserve"> </v>
      </c>
      <c r="G98" s="53" t="str">
        <f>IFERROR(VLOOKUP(A98&amp;$I$2,ODDS!A97:$K$50000,5,0)," ")</f>
        <v xml:space="preserve"> </v>
      </c>
      <c r="H98" s="53" t="str">
        <f t="shared" si="5"/>
        <v xml:space="preserve"> </v>
      </c>
      <c r="I98" s="22"/>
      <c r="J98" s="22"/>
      <c r="K98" s="22"/>
      <c r="L98" s="60" t="str">
        <f>IFERROR(VLOOKUP(A98&amp;$K$2,ODDS!B97:$K$50000,2,0)," ")</f>
        <v xml:space="preserve"> </v>
      </c>
      <c r="M98" s="39" t="str">
        <f>IFERROR(VLOOKUP(A98&amp;$K$2,ODDS!B97:$K$50000,3,0)," ")</f>
        <v xml:space="preserve"> </v>
      </c>
      <c r="N98" s="53" t="str">
        <f>IFERROR(VLOOKUP(A98&amp;$K$2,ODDS!B97:$K$50000,5,0)," ")</f>
        <v xml:space="preserve"> </v>
      </c>
      <c r="O98" s="53" t="s">
        <v>211</v>
      </c>
      <c r="P98" s="53" t="str">
        <f>IFERROR(VLOOKUP(A98&amp;$K$2,ODDS!B97:$K$50000,6,0)," ")</f>
        <v xml:space="preserve"> </v>
      </c>
      <c r="Q98" s="39" t="str">
        <f>IFERROR(VLOOKUP(A98&amp;$K$2,ODDS!B97:$K$50000,4,0)," ")</f>
        <v xml:space="preserve"> </v>
      </c>
      <c r="R98" s="53" t="str">
        <f t="shared" si="6"/>
        <v xml:space="preserve"> </v>
      </c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 t="s">
        <v>217</v>
      </c>
    </row>
    <row r="99" spans="2:31" x14ac:dyDescent="0.25">
      <c r="B99" s="54" t="str">
        <f>IFERROR(VLOOKUP(A99&amp;$I$2,ODDS!A98:$K$50000,3,0)," ")</f>
        <v xml:space="preserve"> </v>
      </c>
      <c r="C99" s="53" t="str">
        <f>IFERROR(VLOOKUP(A99&amp;$I$2,ODDS!A98:$K$50000,4,0)," ")</f>
        <v xml:space="preserve"> </v>
      </c>
      <c r="D99" s="53" t="str">
        <f>IFERROR(VLOOKUP(A99&amp;$I$2,ODDS!A98:$K$50000,6,0)," ")</f>
        <v xml:space="preserve"> </v>
      </c>
      <c r="E99" s="53" t="s">
        <v>211</v>
      </c>
      <c r="F99" s="53" t="str">
        <f>IFERROR(VLOOKUP(A99&amp;$I$2,ODDS!A98:$K$50000,7,0)," ")</f>
        <v xml:space="preserve"> </v>
      </c>
      <c r="G99" s="53" t="str">
        <f>IFERROR(VLOOKUP(A99&amp;$I$2,ODDS!A98:$K$50000,5,0)," ")</f>
        <v xml:space="preserve"> </v>
      </c>
      <c r="H99" s="53" t="str">
        <f t="shared" si="5"/>
        <v xml:space="preserve"> </v>
      </c>
      <c r="I99" s="22"/>
      <c r="J99" s="22"/>
      <c r="K99" s="22"/>
      <c r="L99" s="60" t="str">
        <f>IFERROR(VLOOKUP(A99&amp;$K$2,ODDS!B98:$K$50000,2,0)," ")</f>
        <v xml:space="preserve"> </v>
      </c>
      <c r="M99" s="39" t="str">
        <f>IFERROR(VLOOKUP(A99&amp;$K$2,ODDS!B98:$K$50000,3,0)," ")</f>
        <v xml:space="preserve"> </v>
      </c>
      <c r="N99" s="53" t="str">
        <f>IFERROR(VLOOKUP(A99&amp;$K$2,ODDS!B98:$K$50000,5,0)," ")</f>
        <v xml:space="preserve"> </v>
      </c>
      <c r="O99" s="53" t="s">
        <v>211</v>
      </c>
      <c r="P99" s="53" t="str">
        <f>IFERROR(VLOOKUP(A99&amp;$K$2,ODDS!B98:$K$50000,6,0)," ")</f>
        <v xml:space="preserve"> </v>
      </c>
      <c r="Q99" s="39" t="str">
        <f>IFERROR(VLOOKUP(A99&amp;$K$2,ODDS!B98:$K$50000,4,0)," ")</f>
        <v xml:space="preserve"> </v>
      </c>
      <c r="R99" s="53" t="str">
        <f t="shared" si="6"/>
        <v xml:space="preserve"> </v>
      </c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</row>
    <row r="100" spans="2:31" x14ac:dyDescent="0.25">
      <c r="B100" s="54" t="str">
        <f>IFERROR(VLOOKUP(A100&amp;$I$2,ODDS!A99:$K$50000,3,0)," ")</f>
        <v xml:space="preserve"> </v>
      </c>
      <c r="C100" s="53" t="str">
        <f>IFERROR(VLOOKUP(A100&amp;$I$2,ODDS!A99:$K$50000,4,0)," ")</f>
        <v xml:space="preserve"> </v>
      </c>
      <c r="D100" s="53" t="str">
        <f>IFERROR(VLOOKUP(A100&amp;$I$2,ODDS!A99:$K$50000,6,0)," ")</f>
        <v xml:space="preserve"> </v>
      </c>
      <c r="E100" s="53" t="s">
        <v>211</v>
      </c>
      <c r="F100" s="53" t="str">
        <f>IFERROR(VLOOKUP(A100&amp;$I$2,ODDS!A99:$K$50000,7,0)," ")</f>
        <v xml:space="preserve"> </v>
      </c>
      <c r="G100" s="53" t="str">
        <f>IFERROR(VLOOKUP(A100&amp;$I$2,ODDS!A99:$K$50000,5,0)," ")</f>
        <v xml:space="preserve"> </v>
      </c>
      <c r="H100" s="53" t="str">
        <f t="shared" si="5"/>
        <v xml:space="preserve"> </v>
      </c>
      <c r="I100" s="22"/>
      <c r="J100" s="22"/>
      <c r="K100" s="22"/>
      <c r="L100" s="60" t="str">
        <f>IFERROR(VLOOKUP(A100&amp;$K$2,ODDS!B99:$K$50000,2,0)," ")</f>
        <v xml:space="preserve"> </v>
      </c>
      <c r="M100" s="39" t="str">
        <f>IFERROR(VLOOKUP(A100&amp;$K$2,ODDS!B99:$K$50000,3,0)," ")</f>
        <v xml:space="preserve"> </v>
      </c>
      <c r="N100" s="53" t="str">
        <f>IFERROR(VLOOKUP(A100&amp;$K$2,ODDS!B99:$K$50000,5,0)," ")</f>
        <v xml:space="preserve"> </v>
      </c>
      <c r="O100" s="53" t="s">
        <v>211</v>
      </c>
      <c r="P100" s="53" t="str">
        <f>IFERROR(VLOOKUP(A100&amp;$K$2,ODDS!B99:$K$50000,6,0)," ")</f>
        <v xml:space="preserve"> </v>
      </c>
      <c r="Q100" s="39" t="str">
        <f>IFERROR(VLOOKUP(A100&amp;$K$2,ODDS!B99:$K$50000,4,0)," ")</f>
        <v xml:space="preserve"> </v>
      </c>
      <c r="R100" s="53" t="str">
        <f t="shared" si="6"/>
        <v xml:space="preserve"> </v>
      </c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 t="s">
        <v>217</v>
      </c>
    </row>
    <row r="101" spans="2:31" x14ac:dyDescent="0.25">
      <c r="B101" s="54" t="str">
        <f>IFERROR(VLOOKUP(A101&amp;$I$2,ODDS!A100:$K$50000,3,0)," ")</f>
        <v xml:space="preserve"> </v>
      </c>
      <c r="C101" s="53" t="str">
        <f>IFERROR(VLOOKUP(A101&amp;$I$2,ODDS!A100:$K$50000,4,0)," ")</f>
        <v xml:space="preserve"> </v>
      </c>
      <c r="D101" s="53" t="str">
        <f>IFERROR(VLOOKUP(A101&amp;$I$2,ODDS!A100:$K$50000,6,0)," ")</f>
        <v xml:space="preserve"> </v>
      </c>
      <c r="E101" s="53" t="s">
        <v>211</v>
      </c>
      <c r="F101" s="53" t="str">
        <f>IFERROR(VLOOKUP(A101&amp;$I$2,ODDS!A100:$K$50000,7,0)," ")</f>
        <v xml:space="preserve"> </v>
      </c>
      <c r="G101" s="53" t="str">
        <f>IFERROR(VLOOKUP(A101&amp;$I$2,ODDS!A100:$K$50000,5,0)," ")</f>
        <v xml:space="preserve"> </v>
      </c>
      <c r="H101" s="53" t="str">
        <f t="shared" si="5"/>
        <v xml:space="preserve"> </v>
      </c>
      <c r="I101" s="22"/>
      <c r="J101" s="22"/>
      <c r="K101" s="22"/>
      <c r="L101" s="60" t="str">
        <f>IFERROR(VLOOKUP(A101&amp;$K$2,ODDS!B100:$K$50000,2,0)," ")</f>
        <v xml:space="preserve"> </v>
      </c>
      <c r="M101" s="39" t="str">
        <f>IFERROR(VLOOKUP(A101&amp;$K$2,ODDS!B100:$K$50000,3,0)," ")</f>
        <v xml:space="preserve"> </v>
      </c>
      <c r="N101" s="53" t="str">
        <f>IFERROR(VLOOKUP(A101&amp;$K$2,ODDS!B100:$K$50000,5,0)," ")</f>
        <v xml:space="preserve"> </v>
      </c>
      <c r="O101" s="53" t="s">
        <v>211</v>
      </c>
      <c r="P101" s="53" t="str">
        <f>IFERROR(VLOOKUP(A101&amp;$K$2,ODDS!B100:$K$50000,6,0)," ")</f>
        <v xml:space="preserve"> </v>
      </c>
      <c r="Q101" s="39" t="str">
        <f>IFERROR(VLOOKUP(A101&amp;$K$2,ODDS!B100:$K$50000,4,0)," ")</f>
        <v xml:space="preserve"> </v>
      </c>
      <c r="R101" s="53" t="str">
        <f t="shared" si="6"/>
        <v xml:space="preserve"> </v>
      </c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</row>
    <row r="102" spans="2:31" x14ac:dyDescent="0.25">
      <c r="B102" s="54" t="str">
        <f>IFERROR(VLOOKUP(A102&amp;$I$2,ODDS!A101:$K$50000,3,0)," ")</f>
        <v xml:space="preserve"> </v>
      </c>
      <c r="C102" s="53" t="str">
        <f>IFERROR(VLOOKUP(A102&amp;$I$2,ODDS!A101:$K$50000,4,0)," ")</f>
        <v xml:space="preserve"> </v>
      </c>
      <c r="D102" s="53" t="str">
        <f>IFERROR(VLOOKUP(A102&amp;$I$2,ODDS!A101:$K$50000,6,0)," ")</f>
        <v xml:space="preserve"> </v>
      </c>
      <c r="E102" s="53" t="s">
        <v>211</v>
      </c>
      <c r="F102" s="53" t="str">
        <f>IFERROR(VLOOKUP(A102&amp;$I$2,ODDS!A101:$K$50000,7,0)," ")</f>
        <v xml:space="preserve"> </v>
      </c>
      <c r="G102" s="53" t="str">
        <f>IFERROR(VLOOKUP(A102&amp;$I$2,ODDS!A101:$K$50000,5,0)," ")</f>
        <v xml:space="preserve"> </v>
      </c>
      <c r="H102" s="53" t="str">
        <f t="shared" si="5"/>
        <v xml:space="preserve"> </v>
      </c>
      <c r="I102" s="22"/>
      <c r="J102" s="22"/>
      <c r="K102" s="22"/>
      <c r="L102" s="60" t="str">
        <f>IFERROR(VLOOKUP(A102&amp;$K$2,ODDS!B101:$K$50000,2,0)," ")</f>
        <v xml:space="preserve"> </v>
      </c>
      <c r="M102" s="39" t="str">
        <f>IFERROR(VLOOKUP(A102&amp;$K$2,ODDS!B101:$K$50000,3,0)," ")</f>
        <v xml:space="preserve"> </v>
      </c>
      <c r="N102" s="53" t="str">
        <f>IFERROR(VLOOKUP(A102&amp;$K$2,ODDS!B101:$K$50000,5,0)," ")</f>
        <v xml:space="preserve"> </v>
      </c>
      <c r="O102" s="53" t="s">
        <v>211</v>
      </c>
      <c r="P102" s="53" t="str">
        <f>IFERROR(VLOOKUP(A102&amp;$K$2,ODDS!B101:$K$50000,6,0)," ")</f>
        <v xml:space="preserve"> </v>
      </c>
      <c r="Q102" s="39" t="str">
        <f>IFERROR(VLOOKUP(A102&amp;$K$2,ODDS!B101:$K$50000,4,0)," ")</f>
        <v xml:space="preserve"> </v>
      </c>
      <c r="R102" s="53" t="str">
        <f t="shared" si="6"/>
        <v xml:space="preserve"> </v>
      </c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 t="s">
        <v>217</v>
      </c>
    </row>
    <row r="103" spans="2:31" x14ac:dyDescent="0.25">
      <c r="B103" s="54" t="str">
        <f>IFERROR(VLOOKUP(A103&amp;$I$2,ODDS!A102:$K$50000,3,0)," ")</f>
        <v xml:space="preserve"> </v>
      </c>
      <c r="C103" s="53" t="str">
        <f>IFERROR(VLOOKUP(A103&amp;$I$2,ODDS!A102:$K$50000,4,0)," ")</f>
        <v xml:space="preserve"> </v>
      </c>
      <c r="D103" s="53" t="str">
        <f>IFERROR(VLOOKUP(A103&amp;$I$2,ODDS!A102:$K$50000,6,0)," ")</f>
        <v xml:space="preserve"> </v>
      </c>
      <c r="E103" s="53" t="s">
        <v>211</v>
      </c>
      <c r="F103" s="53" t="str">
        <f>IFERROR(VLOOKUP(A103&amp;$I$2,ODDS!A102:$K$50000,7,0)," ")</f>
        <v xml:space="preserve"> </v>
      </c>
      <c r="G103" s="53" t="str">
        <f>IFERROR(VLOOKUP(A103&amp;$I$2,ODDS!A102:$K$50000,5,0)," ")</f>
        <v xml:space="preserve"> </v>
      </c>
      <c r="H103" s="53" t="str">
        <f t="shared" si="5"/>
        <v xml:space="preserve"> </v>
      </c>
      <c r="I103" s="22"/>
      <c r="J103" s="22"/>
      <c r="K103" s="22"/>
      <c r="L103" s="60" t="str">
        <f>IFERROR(VLOOKUP(A103&amp;$K$2,ODDS!B102:$K$50000,2,0)," ")</f>
        <v xml:space="preserve"> </v>
      </c>
      <c r="M103" s="39" t="str">
        <f>IFERROR(VLOOKUP(A103&amp;$K$2,ODDS!B102:$K$50000,3,0)," ")</f>
        <v xml:space="preserve"> </v>
      </c>
      <c r="N103" s="53" t="str">
        <f>IFERROR(VLOOKUP(A103&amp;$K$2,ODDS!B102:$K$50000,5,0)," ")</f>
        <v xml:space="preserve"> </v>
      </c>
      <c r="O103" s="53" t="s">
        <v>211</v>
      </c>
      <c r="P103" s="53" t="str">
        <f>IFERROR(VLOOKUP(A103&amp;$K$2,ODDS!B102:$K$50000,6,0)," ")</f>
        <v xml:space="preserve"> </v>
      </c>
      <c r="Q103" s="39" t="str">
        <f>IFERROR(VLOOKUP(A103&amp;$K$2,ODDS!B102:$K$50000,4,0)," ")</f>
        <v xml:space="preserve"> </v>
      </c>
      <c r="R103" s="53" t="str">
        <f t="shared" si="6"/>
        <v xml:space="preserve"> </v>
      </c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</row>
    <row r="104" spans="2:31" x14ac:dyDescent="0.25">
      <c r="B104" s="54" t="str">
        <f>IFERROR(VLOOKUP(A104&amp;$I$2,ODDS!A103:$K$50000,3,0)," ")</f>
        <v xml:space="preserve"> </v>
      </c>
      <c r="C104" s="53" t="str">
        <f>IFERROR(VLOOKUP(A104&amp;$I$2,ODDS!A103:$K$50000,4,0)," ")</f>
        <v xml:space="preserve"> </v>
      </c>
      <c r="D104" s="53" t="str">
        <f>IFERROR(VLOOKUP(A104&amp;$I$2,ODDS!A103:$K$50000,6,0)," ")</f>
        <v xml:space="preserve"> </v>
      </c>
      <c r="E104" s="53" t="s">
        <v>211</v>
      </c>
      <c r="F104" s="53" t="str">
        <f>IFERROR(VLOOKUP(A104&amp;$I$2,ODDS!A103:$K$50000,7,0)," ")</f>
        <v xml:space="preserve"> </v>
      </c>
      <c r="G104" s="53" t="str">
        <f>IFERROR(VLOOKUP(A104&amp;$I$2,ODDS!A103:$K$50000,5,0)," ")</f>
        <v xml:space="preserve"> </v>
      </c>
      <c r="H104" s="53" t="str">
        <f t="shared" si="5"/>
        <v xml:space="preserve"> </v>
      </c>
      <c r="I104" s="22"/>
      <c r="J104" s="22"/>
      <c r="K104" s="22"/>
      <c r="L104" s="60" t="str">
        <f>IFERROR(VLOOKUP(A104&amp;$K$2,ODDS!B103:$K$50000,2,0)," ")</f>
        <v xml:space="preserve"> </v>
      </c>
      <c r="M104" s="39" t="str">
        <f>IFERROR(VLOOKUP(A104&amp;$K$2,ODDS!B103:$K$50000,3,0)," ")</f>
        <v xml:space="preserve"> </v>
      </c>
      <c r="N104" s="53" t="str">
        <f>IFERROR(VLOOKUP(A104&amp;$K$2,ODDS!B103:$K$50000,5,0)," ")</f>
        <v xml:space="preserve"> </v>
      </c>
      <c r="O104" s="53" t="s">
        <v>211</v>
      </c>
      <c r="P104" s="53" t="str">
        <f>IFERROR(VLOOKUP(A104&amp;$K$2,ODDS!B103:$K$50000,6,0)," ")</f>
        <v xml:space="preserve"> </v>
      </c>
      <c r="Q104" s="39" t="str">
        <f>IFERROR(VLOOKUP(A104&amp;$K$2,ODDS!B103:$K$50000,4,0)," ")</f>
        <v xml:space="preserve"> </v>
      </c>
      <c r="R104" s="53" t="str">
        <f t="shared" si="6"/>
        <v xml:space="preserve"> </v>
      </c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 t="s">
        <v>217</v>
      </c>
    </row>
    <row r="105" spans="2:31" x14ac:dyDescent="0.25">
      <c r="B105" s="54" t="str">
        <f>IFERROR(VLOOKUP(A105&amp;$I$2,ODDS!A104:$K$50000,3,0)," ")</f>
        <v xml:space="preserve"> </v>
      </c>
      <c r="C105" s="53" t="str">
        <f>IFERROR(VLOOKUP(A105&amp;$I$2,ODDS!A104:$K$50000,4,0)," ")</f>
        <v xml:space="preserve"> </v>
      </c>
      <c r="D105" s="53" t="str">
        <f>IFERROR(VLOOKUP(A105&amp;$I$2,ODDS!A104:$K$50000,6,0)," ")</f>
        <v xml:space="preserve"> </v>
      </c>
      <c r="E105" s="53" t="s">
        <v>211</v>
      </c>
      <c r="F105" s="53" t="str">
        <f>IFERROR(VLOOKUP(A105&amp;$I$2,ODDS!A104:$K$50000,7,0)," ")</f>
        <v xml:space="preserve"> </v>
      </c>
      <c r="G105" s="53" t="str">
        <f>IFERROR(VLOOKUP(A105&amp;$I$2,ODDS!A104:$K$50000,5,0)," ")</f>
        <v xml:space="preserve"> </v>
      </c>
      <c r="H105" s="53" t="str">
        <f t="shared" si="5"/>
        <v xml:space="preserve"> </v>
      </c>
      <c r="I105" s="22"/>
      <c r="J105" s="22"/>
      <c r="K105" s="22"/>
      <c r="L105" s="60" t="str">
        <f>IFERROR(VLOOKUP(A105&amp;$K$2,ODDS!B104:$K$50000,2,0)," ")</f>
        <v xml:space="preserve"> </v>
      </c>
      <c r="M105" s="39" t="str">
        <f>IFERROR(VLOOKUP(A105&amp;$K$2,ODDS!B104:$K$50000,3,0)," ")</f>
        <v xml:space="preserve"> </v>
      </c>
      <c r="N105" s="53" t="str">
        <f>IFERROR(VLOOKUP(A105&amp;$K$2,ODDS!B104:$K$50000,5,0)," ")</f>
        <v xml:space="preserve"> </v>
      </c>
      <c r="O105" s="53" t="s">
        <v>211</v>
      </c>
      <c r="P105" s="53" t="str">
        <f>IFERROR(VLOOKUP(A105&amp;$K$2,ODDS!B104:$K$50000,6,0)," ")</f>
        <v xml:space="preserve"> </v>
      </c>
      <c r="Q105" s="39" t="str">
        <f>IFERROR(VLOOKUP(A105&amp;$K$2,ODDS!B104:$K$50000,4,0)," ")</f>
        <v xml:space="preserve"> </v>
      </c>
      <c r="R105" s="53" t="str">
        <f t="shared" si="6"/>
        <v xml:space="preserve"> </v>
      </c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</row>
    <row r="106" spans="2:31" x14ac:dyDescent="0.25">
      <c r="B106" s="54" t="str">
        <f>IFERROR(VLOOKUP(A106&amp;$I$2,ODDS!A105:$K$50000,3,0)," ")</f>
        <v xml:space="preserve"> </v>
      </c>
      <c r="C106" s="53" t="str">
        <f>IFERROR(VLOOKUP(A106&amp;$I$2,ODDS!A105:$K$50000,4,0)," ")</f>
        <v xml:space="preserve"> </v>
      </c>
      <c r="D106" s="53" t="str">
        <f>IFERROR(VLOOKUP(A106&amp;$I$2,ODDS!A105:$K$50000,6,0)," ")</f>
        <v xml:space="preserve"> </v>
      </c>
      <c r="E106" s="53" t="s">
        <v>211</v>
      </c>
      <c r="F106" s="53" t="str">
        <f>IFERROR(VLOOKUP(A106&amp;$I$2,ODDS!A105:$K$50000,7,0)," ")</f>
        <v xml:space="preserve"> </v>
      </c>
      <c r="G106" s="53" t="str">
        <f>IFERROR(VLOOKUP(A106&amp;$I$2,ODDS!A105:$K$50000,5,0)," ")</f>
        <v xml:space="preserve"> </v>
      </c>
      <c r="H106" s="53" t="str">
        <f t="shared" si="5"/>
        <v xml:space="preserve"> </v>
      </c>
      <c r="I106" s="22"/>
      <c r="J106" s="22"/>
      <c r="K106" s="22"/>
      <c r="L106" s="60" t="str">
        <f>IFERROR(VLOOKUP(A106&amp;$K$2,ODDS!B105:$K$50000,2,0)," ")</f>
        <v xml:space="preserve"> </v>
      </c>
      <c r="M106" s="39" t="str">
        <f>IFERROR(VLOOKUP(A106&amp;$K$2,ODDS!B105:$K$50000,3,0)," ")</f>
        <v xml:space="preserve"> </v>
      </c>
      <c r="N106" s="53" t="str">
        <f>IFERROR(VLOOKUP(A106&amp;$K$2,ODDS!B105:$K$50000,5,0)," ")</f>
        <v xml:space="preserve"> </v>
      </c>
      <c r="O106" s="53" t="s">
        <v>211</v>
      </c>
      <c r="P106" s="53" t="str">
        <f>IFERROR(VLOOKUP(A106&amp;$K$2,ODDS!B105:$K$50000,6,0)," ")</f>
        <v xml:space="preserve"> </v>
      </c>
      <c r="Q106" s="39" t="str">
        <f>IFERROR(VLOOKUP(A106&amp;$K$2,ODDS!B105:$K$50000,4,0)," ")</f>
        <v xml:space="preserve"> </v>
      </c>
      <c r="R106" s="53" t="str">
        <f t="shared" si="6"/>
        <v xml:space="preserve"> </v>
      </c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 t="s">
        <v>217</v>
      </c>
    </row>
    <row r="107" spans="2:31" x14ac:dyDescent="0.25">
      <c r="B107" s="54" t="str">
        <f>IFERROR(VLOOKUP(A107&amp;$I$2,ODDS!A106:$K$50000,3,0)," ")</f>
        <v xml:space="preserve"> </v>
      </c>
      <c r="C107" s="53" t="str">
        <f>IFERROR(VLOOKUP(A107&amp;$I$2,ODDS!A106:$K$50000,4,0)," ")</f>
        <v xml:space="preserve"> </v>
      </c>
      <c r="D107" s="53" t="str">
        <f>IFERROR(VLOOKUP(A107&amp;$I$2,ODDS!A106:$K$50000,6,0)," ")</f>
        <v xml:space="preserve"> </v>
      </c>
      <c r="E107" s="53" t="s">
        <v>211</v>
      </c>
      <c r="F107" s="53" t="str">
        <f>IFERROR(VLOOKUP(A107&amp;$I$2,ODDS!A106:$K$50000,7,0)," ")</f>
        <v xml:space="preserve"> </v>
      </c>
      <c r="G107" s="53" t="str">
        <f>IFERROR(VLOOKUP(A107&amp;$I$2,ODDS!A106:$K$50000,5,0)," ")</f>
        <v xml:space="preserve"> </v>
      </c>
      <c r="H107" s="53" t="str">
        <f t="shared" si="5"/>
        <v xml:space="preserve"> </v>
      </c>
      <c r="I107" s="22"/>
      <c r="J107" s="22"/>
      <c r="K107" s="22"/>
      <c r="L107" s="60" t="str">
        <f>IFERROR(VLOOKUP(A107&amp;$K$2,ODDS!B106:$K$50000,2,0)," ")</f>
        <v xml:space="preserve"> </v>
      </c>
      <c r="M107" s="39" t="str">
        <f>IFERROR(VLOOKUP(A107&amp;$K$2,ODDS!B106:$K$50000,3,0)," ")</f>
        <v xml:space="preserve"> </v>
      </c>
      <c r="N107" s="53" t="str">
        <f>IFERROR(VLOOKUP(A107&amp;$K$2,ODDS!B106:$K$50000,5,0)," ")</f>
        <v xml:space="preserve"> </v>
      </c>
      <c r="O107" s="53" t="s">
        <v>211</v>
      </c>
      <c r="P107" s="53" t="str">
        <f>IFERROR(VLOOKUP(A107&amp;$K$2,ODDS!B106:$K$50000,6,0)," ")</f>
        <v xml:space="preserve"> </v>
      </c>
      <c r="Q107" s="39" t="str">
        <f>IFERROR(VLOOKUP(A107&amp;$K$2,ODDS!B106:$K$50000,4,0)," ")</f>
        <v xml:space="preserve"> </v>
      </c>
      <c r="R107" s="53" t="str">
        <f t="shared" si="6"/>
        <v xml:space="preserve"> </v>
      </c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</row>
    <row r="108" spans="2:31" x14ac:dyDescent="0.25">
      <c r="B108" s="54" t="str">
        <f>IFERROR(VLOOKUP(A108&amp;$I$2,ODDS!A107:$K$50000,3,0)," ")</f>
        <v xml:space="preserve"> </v>
      </c>
      <c r="C108" s="53" t="str">
        <f>IFERROR(VLOOKUP(A108&amp;$I$2,ODDS!A107:$K$50000,4,0)," ")</f>
        <v xml:space="preserve"> </v>
      </c>
      <c r="D108" s="53" t="str">
        <f>IFERROR(VLOOKUP(A108&amp;$I$2,ODDS!A107:$K$50000,6,0)," ")</f>
        <v xml:space="preserve"> </v>
      </c>
      <c r="E108" s="53" t="s">
        <v>211</v>
      </c>
      <c r="F108" s="53" t="str">
        <f>IFERROR(VLOOKUP(A108&amp;$I$2,ODDS!A107:$K$50000,7,0)," ")</f>
        <v xml:space="preserve"> </v>
      </c>
      <c r="G108" s="53" t="str">
        <f>IFERROR(VLOOKUP(A108&amp;$I$2,ODDS!A107:$K$50000,5,0)," ")</f>
        <v xml:space="preserve"> </v>
      </c>
      <c r="H108" s="53" t="str">
        <f t="shared" si="5"/>
        <v xml:space="preserve"> </v>
      </c>
      <c r="I108" s="22"/>
      <c r="J108" s="22"/>
      <c r="K108" s="22"/>
      <c r="L108" s="60" t="str">
        <f>IFERROR(VLOOKUP(A108&amp;$K$2,ODDS!B107:$K$50000,2,0)," ")</f>
        <v xml:space="preserve"> </v>
      </c>
      <c r="M108" s="39" t="str">
        <f>IFERROR(VLOOKUP(A108&amp;$K$2,ODDS!B107:$K$50000,3,0)," ")</f>
        <v xml:space="preserve"> </v>
      </c>
      <c r="N108" s="53" t="str">
        <f>IFERROR(VLOOKUP(A108&amp;$K$2,ODDS!B107:$K$50000,5,0)," ")</f>
        <v xml:space="preserve"> </v>
      </c>
      <c r="O108" s="53" t="s">
        <v>211</v>
      </c>
      <c r="P108" s="53" t="str">
        <f>IFERROR(VLOOKUP(A108&amp;$K$2,ODDS!B107:$K$50000,6,0)," ")</f>
        <v xml:space="preserve"> </v>
      </c>
      <c r="Q108" s="39" t="str">
        <f>IFERROR(VLOOKUP(A108&amp;$K$2,ODDS!B107:$K$50000,4,0)," ")</f>
        <v xml:space="preserve"> </v>
      </c>
      <c r="R108" s="53" t="str">
        <f t="shared" si="6"/>
        <v xml:space="preserve"> </v>
      </c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 t="s">
        <v>217</v>
      </c>
    </row>
    <row r="109" spans="2:31" x14ac:dyDescent="0.25">
      <c r="B109" s="54" t="str">
        <f>IFERROR(VLOOKUP(A109&amp;$I$2,ODDS!A108:$K$50000,3,0)," ")</f>
        <v xml:space="preserve"> </v>
      </c>
      <c r="C109" s="53" t="str">
        <f>IFERROR(VLOOKUP(A109&amp;$I$2,ODDS!A108:$K$50000,4,0)," ")</f>
        <v xml:space="preserve"> </v>
      </c>
      <c r="D109" s="53" t="str">
        <f>IFERROR(VLOOKUP(A109&amp;$I$2,ODDS!A108:$K$50000,6,0)," ")</f>
        <v xml:space="preserve"> </v>
      </c>
      <c r="E109" s="53" t="s">
        <v>211</v>
      </c>
      <c r="F109" s="53" t="str">
        <f>IFERROR(VLOOKUP(A109&amp;$I$2,ODDS!A108:$K$50000,7,0)," ")</f>
        <v xml:space="preserve"> </v>
      </c>
      <c r="G109" s="53" t="str">
        <f>IFERROR(VLOOKUP(A109&amp;$I$2,ODDS!A108:$K$50000,5,0)," ")</f>
        <v xml:space="preserve"> </v>
      </c>
      <c r="H109" s="53" t="str">
        <f t="shared" si="5"/>
        <v xml:space="preserve"> </v>
      </c>
      <c r="I109" s="22"/>
      <c r="J109" s="22"/>
      <c r="K109" s="22"/>
      <c r="L109" s="60" t="str">
        <f>IFERROR(VLOOKUP(A109&amp;$K$2,ODDS!B108:$K$50000,2,0)," ")</f>
        <v xml:space="preserve"> </v>
      </c>
      <c r="M109" s="39" t="str">
        <f>IFERROR(VLOOKUP(A109&amp;$K$2,ODDS!B108:$K$50000,3,0)," ")</f>
        <v xml:space="preserve"> </v>
      </c>
      <c r="N109" s="53" t="str">
        <f>IFERROR(VLOOKUP(A109&amp;$K$2,ODDS!B108:$K$50000,5,0)," ")</f>
        <v xml:space="preserve"> </v>
      </c>
      <c r="O109" s="53" t="s">
        <v>211</v>
      </c>
      <c r="P109" s="53" t="str">
        <f>IFERROR(VLOOKUP(A109&amp;$K$2,ODDS!B108:$K$50000,6,0)," ")</f>
        <v xml:space="preserve"> </v>
      </c>
      <c r="Q109" s="39" t="str">
        <f>IFERROR(VLOOKUP(A109&amp;$K$2,ODDS!B108:$K$50000,4,0)," ")</f>
        <v xml:space="preserve"> </v>
      </c>
      <c r="R109" s="53" t="str">
        <f t="shared" si="6"/>
        <v xml:space="preserve"> </v>
      </c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</row>
    <row r="110" spans="2:31" x14ac:dyDescent="0.25">
      <c r="B110" s="54" t="str">
        <f>IFERROR(VLOOKUP(A110&amp;$I$2,ODDS!A109:$K$50000,3,0)," ")</f>
        <v xml:space="preserve"> </v>
      </c>
      <c r="C110" s="53" t="str">
        <f>IFERROR(VLOOKUP(A110&amp;$I$2,ODDS!A109:$K$50000,4,0)," ")</f>
        <v xml:space="preserve"> </v>
      </c>
      <c r="D110" s="53" t="str">
        <f>IFERROR(VLOOKUP(A110&amp;$I$2,ODDS!A109:$K$50000,6,0)," ")</f>
        <v xml:space="preserve"> </v>
      </c>
      <c r="E110" s="53" t="s">
        <v>211</v>
      </c>
      <c r="F110" s="53" t="str">
        <f>IFERROR(VLOOKUP(A110&amp;$I$2,ODDS!A109:$K$50000,7,0)," ")</f>
        <v xml:space="preserve"> </v>
      </c>
      <c r="G110" s="53" t="str">
        <f>IFERROR(VLOOKUP(A110&amp;$I$2,ODDS!A109:$K$50000,5,0)," ")</f>
        <v xml:space="preserve"> </v>
      </c>
      <c r="H110" s="53" t="str">
        <f t="shared" si="5"/>
        <v xml:space="preserve"> </v>
      </c>
      <c r="I110" s="22"/>
      <c r="J110" s="22"/>
      <c r="K110" s="22"/>
      <c r="L110" s="60" t="str">
        <f>IFERROR(VLOOKUP(A110&amp;$K$2,ODDS!B109:$K$50000,2,0)," ")</f>
        <v xml:space="preserve"> </v>
      </c>
      <c r="M110" s="39" t="str">
        <f>IFERROR(VLOOKUP(A110&amp;$K$2,ODDS!B109:$K$50000,3,0)," ")</f>
        <v xml:space="preserve"> </v>
      </c>
      <c r="N110" s="53" t="str">
        <f>IFERROR(VLOOKUP(A110&amp;$K$2,ODDS!B109:$K$50000,5,0)," ")</f>
        <v xml:space="preserve"> </v>
      </c>
      <c r="O110" s="53" t="s">
        <v>211</v>
      </c>
      <c r="P110" s="53" t="str">
        <f>IFERROR(VLOOKUP(A110&amp;$K$2,ODDS!B109:$K$50000,6,0)," ")</f>
        <v xml:space="preserve"> </v>
      </c>
      <c r="Q110" s="39" t="str">
        <f>IFERROR(VLOOKUP(A110&amp;$K$2,ODDS!B109:$K$50000,4,0)," ")</f>
        <v xml:space="preserve"> </v>
      </c>
      <c r="R110" s="53" t="str">
        <f t="shared" si="6"/>
        <v xml:space="preserve"> </v>
      </c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 t="s">
        <v>217</v>
      </c>
    </row>
    <row r="111" spans="2:31" x14ac:dyDescent="0.25">
      <c r="B111" s="54" t="str">
        <f>IFERROR(VLOOKUP(A111&amp;$I$2,ODDS!A110:$K$50000,3,0)," ")</f>
        <v xml:space="preserve"> </v>
      </c>
      <c r="C111" s="53" t="str">
        <f>IFERROR(VLOOKUP(A111&amp;$I$2,ODDS!A110:$K$50000,4,0)," ")</f>
        <v xml:space="preserve"> </v>
      </c>
      <c r="D111" s="53" t="str">
        <f>IFERROR(VLOOKUP(A111&amp;$I$2,ODDS!A110:$K$50000,6,0)," ")</f>
        <v xml:space="preserve"> </v>
      </c>
      <c r="E111" s="53" t="s">
        <v>211</v>
      </c>
      <c r="F111" s="53" t="str">
        <f>IFERROR(VLOOKUP(A111&amp;$I$2,ODDS!A110:$K$50000,7,0)," ")</f>
        <v xml:space="preserve"> </v>
      </c>
      <c r="G111" s="53" t="str">
        <f>IFERROR(VLOOKUP(A111&amp;$I$2,ODDS!A110:$K$50000,5,0)," ")</f>
        <v xml:space="preserve"> </v>
      </c>
      <c r="H111" s="53" t="str">
        <f t="shared" si="5"/>
        <v xml:space="preserve"> </v>
      </c>
      <c r="I111" s="22"/>
      <c r="J111" s="22"/>
      <c r="K111" s="22"/>
      <c r="L111" s="60" t="str">
        <f>IFERROR(VLOOKUP(A111&amp;$K$2,ODDS!B110:$K$50000,2,0)," ")</f>
        <v xml:space="preserve"> </v>
      </c>
      <c r="M111" s="39" t="str">
        <f>IFERROR(VLOOKUP(A111&amp;$K$2,ODDS!B110:$K$50000,3,0)," ")</f>
        <v xml:space="preserve"> </v>
      </c>
      <c r="N111" s="53" t="str">
        <f>IFERROR(VLOOKUP(A111&amp;$K$2,ODDS!B110:$K$50000,5,0)," ")</f>
        <v xml:space="preserve"> </v>
      </c>
      <c r="O111" s="53" t="s">
        <v>211</v>
      </c>
      <c r="P111" s="53" t="str">
        <f>IFERROR(VLOOKUP(A111&amp;$K$2,ODDS!B110:$K$50000,6,0)," ")</f>
        <v xml:space="preserve"> </v>
      </c>
      <c r="Q111" s="39" t="str">
        <f>IFERROR(VLOOKUP(A111&amp;$K$2,ODDS!B110:$K$50000,4,0)," ")</f>
        <v xml:space="preserve"> </v>
      </c>
      <c r="R111" s="53" t="str">
        <f t="shared" si="6"/>
        <v xml:space="preserve"> </v>
      </c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</row>
    <row r="112" spans="2:31" x14ac:dyDescent="0.25">
      <c r="B112" s="54" t="str">
        <f>IFERROR(VLOOKUP(A112&amp;$I$2,ODDS!A111:$K$50000,3,0)," ")</f>
        <v xml:space="preserve"> </v>
      </c>
      <c r="C112" s="53" t="str">
        <f>IFERROR(VLOOKUP(A112&amp;$I$2,ODDS!A111:$K$50000,4,0)," ")</f>
        <v xml:space="preserve"> </v>
      </c>
      <c r="D112" s="53" t="str">
        <f>IFERROR(VLOOKUP(A112&amp;$I$2,ODDS!A111:$K$50000,6,0)," ")</f>
        <v xml:space="preserve"> </v>
      </c>
      <c r="E112" s="53" t="s">
        <v>211</v>
      </c>
      <c r="F112" s="53" t="str">
        <f>IFERROR(VLOOKUP(A112&amp;$I$2,ODDS!A111:$K$50000,7,0)," ")</f>
        <v xml:space="preserve"> </v>
      </c>
      <c r="G112" s="53" t="str">
        <f>IFERROR(VLOOKUP(A112&amp;$I$2,ODDS!A111:$K$50000,5,0)," ")</f>
        <v xml:space="preserve"> </v>
      </c>
      <c r="H112" s="53" t="str">
        <f t="shared" si="5"/>
        <v xml:space="preserve"> </v>
      </c>
      <c r="I112" s="22"/>
      <c r="J112" s="22"/>
      <c r="K112" s="22"/>
      <c r="L112" s="60" t="str">
        <f>IFERROR(VLOOKUP(A112&amp;$K$2,ODDS!B111:$K$50000,2,0)," ")</f>
        <v xml:space="preserve"> </v>
      </c>
      <c r="M112" s="39" t="str">
        <f>IFERROR(VLOOKUP(A112&amp;$K$2,ODDS!B111:$K$50000,3,0)," ")</f>
        <v xml:space="preserve"> </v>
      </c>
      <c r="N112" s="53" t="str">
        <f>IFERROR(VLOOKUP(A112&amp;$K$2,ODDS!B111:$K$50000,5,0)," ")</f>
        <v xml:space="preserve"> </v>
      </c>
      <c r="O112" s="53" t="s">
        <v>211</v>
      </c>
      <c r="P112" s="53" t="str">
        <f>IFERROR(VLOOKUP(A112&amp;$K$2,ODDS!B111:$K$50000,6,0)," ")</f>
        <v xml:space="preserve"> </v>
      </c>
      <c r="Q112" s="39" t="str">
        <f>IFERROR(VLOOKUP(A112&amp;$K$2,ODDS!B111:$K$50000,4,0)," ")</f>
        <v xml:space="preserve"> </v>
      </c>
      <c r="R112" s="53" t="str">
        <f t="shared" si="6"/>
        <v xml:space="preserve"> </v>
      </c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 t="s">
        <v>217</v>
      </c>
    </row>
    <row r="113" spans="2:31" x14ac:dyDescent="0.25">
      <c r="B113" s="54" t="str">
        <f>IFERROR(VLOOKUP(A113&amp;$I$2,ODDS!A112:$K$50000,3,0)," ")</f>
        <v xml:space="preserve"> </v>
      </c>
      <c r="C113" s="53" t="str">
        <f>IFERROR(VLOOKUP(A113&amp;$I$2,ODDS!A112:$K$50000,4,0)," ")</f>
        <v xml:space="preserve"> </v>
      </c>
      <c r="D113" s="53" t="str">
        <f>IFERROR(VLOOKUP(A113&amp;$I$2,ODDS!A112:$K$50000,6,0)," ")</f>
        <v xml:space="preserve"> </v>
      </c>
      <c r="E113" s="53" t="s">
        <v>211</v>
      </c>
      <c r="F113" s="53" t="str">
        <f>IFERROR(VLOOKUP(A113&amp;$I$2,ODDS!A112:$K$50000,7,0)," ")</f>
        <v xml:space="preserve"> </v>
      </c>
      <c r="G113" s="53" t="str">
        <f>IFERROR(VLOOKUP(A113&amp;$I$2,ODDS!A112:$K$50000,5,0)," ")</f>
        <v xml:space="preserve"> </v>
      </c>
      <c r="H113" s="53" t="str">
        <f t="shared" si="5"/>
        <v xml:space="preserve"> </v>
      </c>
      <c r="I113" s="22"/>
      <c r="J113" s="22"/>
      <c r="K113" s="22"/>
      <c r="L113" s="60" t="str">
        <f>IFERROR(VLOOKUP(A113&amp;$K$2,ODDS!B112:$K$50000,2,0)," ")</f>
        <v xml:space="preserve"> </v>
      </c>
      <c r="M113" s="39" t="str">
        <f>IFERROR(VLOOKUP(A113&amp;$K$2,ODDS!B112:$K$50000,3,0)," ")</f>
        <v xml:space="preserve"> </v>
      </c>
      <c r="N113" s="53" t="str">
        <f>IFERROR(VLOOKUP(A113&amp;$K$2,ODDS!B112:$K$50000,5,0)," ")</f>
        <v xml:space="preserve"> </v>
      </c>
      <c r="O113" s="53" t="s">
        <v>211</v>
      </c>
      <c r="P113" s="53" t="str">
        <f>IFERROR(VLOOKUP(A113&amp;$K$2,ODDS!B112:$K$50000,6,0)," ")</f>
        <v xml:space="preserve"> </v>
      </c>
      <c r="Q113" s="39" t="str">
        <f>IFERROR(VLOOKUP(A113&amp;$K$2,ODDS!B112:$K$50000,4,0)," ")</f>
        <v xml:space="preserve"> </v>
      </c>
      <c r="R113" s="53" t="str">
        <f t="shared" si="6"/>
        <v xml:space="preserve"> </v>
      </c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</row>
    <row r="114" spans="2:31" x14ac:dyDescent="0.25">
      <c r="B114" s="54" t="str">
        <f>IFERROR(VLOOKUP(A114&amp;$I$2,ODDS!A113:$K$50000,3,0)," ")</f>
        <v xml:space="preserve"> </v>
      </c>
      <c r="C114" s="53" t="str">
        <f>IFERROR(VLOOKUP(A114&amp;$I$2,ODDS!A113:$K$50000,4,0)," ")</f>
        <v xml:space="preserve"> </v>
      </c>
      <c r="D114" s="53" t="str">
        <f>IFERROR(VLOOKUP(A114&amp;$I$2,ODDS!A113:$K$50000,6,0)," ")</f>
        <v xml:space="preserve"> </v>
      </c>
      <c r="E114" s="53" t="s">
        <v>211</v>
      </c>
      <c r="F114" s="53" t="str">
        <f>IFERROR(VLOOKUP(A114&amp;$I$2,ODDS!A113:$K$50000,7,0)," ")</f>
        <v xml:space="preserve"> </v>
      </c>
      <c r="G114" s="53" t="str">
        <f>IFERROR(VLOOKUP(A114&amp;$I$2,ODDS!A113:$K$50000,5,0)," ")</f>
        <v xml:space="preserve"> </v>
      </c>
      <c r="H114" s="53" t="str">
        <f t="shared" si="5"/>
        <v xml:space="preserve"> </v>
      </c>
      <c r="I114" s="22"/>
      <c r="J114" s="22"/>
      <c r="K114" s="22"/>
      <c r="L114" s="60" t="str">
        <f>IFERROR(VLOOKUP(A114&amp;$K$2,ODDS!B113:$K$50000,2,0)," ")</f>
        <v xml:space="preserve"> </v>
      </c>
      <c r="M114" s="39" t="str">
        <f>IFERROR(VLOOKUP(A114&amp;$K$2,ODDS!B113:$K$50000,3,0)," ")</f>
        <v xml:space="preserve"> </v>
      </c>
      <c r="N114" s="53" t="str">
        <f>IFERROR(VLOOKUP(A114&amp;$K$2,ODDS!B113:$K$50000,5,0)," ")</f>
        <v xml:space="preserve"> </v>
      </c>
      <c r="O114" s="53" t="s">
        <v>211</v>
      </c>
      <c r="P114" s="53" t="str">
        <f>IFERROR(VLOOKUP(A114&amp;$K$2,ODDS!B113:$K$50000,6,0)," ")</f>
        <v xml:space="preserve"> </v>
      </c>
      <c r="Q114" s="39" t="str">
        <f>IFERROR(VLOOKUP(A114&amp;$K$2,ODDS!B113:$K$50000,4,0)," ")</f>
        <v xml:space="preserve"> </v>
      </c>
      <c r="R114" s="53" t="str">
        <f t="shared" si="6"/>
        <v xml:space="preserve"> </v>
      </c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 t="s">
        <v>217</v>
      </c>
    </row>
    <row r="115" spans="2:31" x14ac:dyDescent="0.25">
      <c r="B115" s="54" t="str">
        <f>IFERROR(VLOOKUP(A115&amp;$I$2,ODDS!A114:$K$50000,3,0)," ")</f>
        <v xml:space="preserve"> </v>
      </c>
      <c r="C115" s="53" t="str">
        <f>IFERROR(VLOOKUP(A115&amp;$I$2,ODDS!A114:$K$50000,4,0)," ")</f>
        <v xml:space="preserve"> </v>
      </c>
      <c r="D115" s="53" t="str">
        <f>IFERROR(VLOOKUP(A115&amp;$I$2,ODDS!A114:$K$50000,6,0)," ")</f>
        <v xml:space="preserve"> </v>
      </c>
      <c r="E115" s="53" t="s">
        <v>211</v>
      </c>
      <c r="F115" s="53" t="str">
        <f>IFERROR(VLOOKUP(A115&amp;$I$2,ODDS!A114:$K$50000,7,0)," ")</f>
        <v xml:space="preserve"> </v>
      </c>
      <c r="G115" s="53" t="str">
        <f>IFERROR(VLOOKUP(A115&amp;$I$2,ODDS!A114:$K$50000,5,0)," ")</f>
        <v xml:space="preserve"> </v>
      </c>
      <c r="H115" s="53" t="str">
        <f t="shared" si="5"/>
        <v xml:space="preserve"> </v>
      </c>
      <c r="I115" s="22"/>
      <c r="J115" s="22"/>
      <c r="K115" s="22"/>
      <c r="L115" s="60" t="str">
        <f>IFERROR(VLOOKUP(A115&amp;$K$2,ODDS!B114:$K$50000,2,0)," ")</f>
        <v xml:space="preserve"> </v>
      </c>
      <c r="M115" s="39" t="str">
        <f>IFERROR(VLOOKUP(A115&amp;$K$2,ODDS!B114:$K$50000,3,0)," ")</f>
        <v xml:space="preserve"> </v>
      </c>
      <c r="N115" s="53" t="str">
        <f>IFERROR(VLOOKUP(A115&amp;$K$2,ODDS!B114:$K$50000,5,0)," ")</f>
        <v xml:space="preserve"> </v>
      </c>
      <c r="O115" s="53" t="s">
        <v>211</v>
      </c>
      <c r="P115" s="53" t="str">
        <f>IFERROR(VLOOKUP(A115&amp;$K$2,ODDS!B114:$K$50000,6,0)," ")</f>
        <v xml:space="preserve"> </v>
      </c>
      <c r="Q115" s="39" t="str">
        <f>IFERROR(VLOOKUP(A115&amp;$K$2,ODDS!B114:$K$50000,4,0)," ")</f>
        <v xml:space="preserve"> </v>
      </c>
      <c r="R115" s="53" t="str">
        <f t="shared" si="6"/>
        <v xml:space="preserve"> </v>
      </c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</row>
    <row r="116" spans="2:31" x14ac:dyDescent="0.25">
      <c r="B116" s="54" t="str">
        <f>IFERROR(VLOOKUP(A116&amp;$I$2,ODDS!A115:$K$50000,3,0)," ")</f>
        <v xml:space="preserve"> </v>
      </c>
      <c r="C116" s="53" t="str">
        <f>IFERROR(VLOOKUP(A116&amp;$I$2,ODDS!A115:$K$50000,4,0)," ")</f>
        <v xml:space="preserve"> </v>
      </c>
      <c r="D116" s="53" t="str">
        <f>IFERROR(VLOOKUP(A116&amp;$I$2,ODDS!A115:$K$50000,6,0)," ")</f>
        <v xml:space="preserve"> </v>
      </c>
      <c r="E116" s="53" t="s">
        <v>211</v>
      </c>
      <c r="F116" s="53" t="str">
        <f>IFERROR(VLOOKUP(A116&amp;$I$2,ODDS!A115:$K$50000,7,0)," ")</f>
        <v xml:space="preserve"> </v>
      </c>
      <c r="G116" s="53" t="str">
        <f>IFERROR(VLOOKUP(A116&amp;$I$2,ODDS!A115:$K$50000,5,0)," ")</f>
        <v xml:space="preserve"> </v>
      </c>
      <c r="H116" s="53" t="str">
        <f t="shared" si="5"/>
        <v xml:space="preserve"> </v>
      </c>
      <c r="I116" s="22"/>
      <c r="J116" s="22"/>
      <c r="K116" s="22"/>
      <c r="L116" s="60" t="str">
        <f>IFERROR(VLOOKUP(A116&amp;$K$2,ODDS!B115:$K$50000,2,0)," ")</f>
        <v xml:space="preserve"> </v>
      </c>
      <c r="M116" s="39" t="str">
        <f>IFERROR(VLOOKUP(A116&amp;$K$2,ODDS!B115:$K$50000,3,0)," ")</f>
        <v xml:space="preserve"> </v>
      </c>
      <c r="N116" s="53" t="str">
        <f>IFERROR(VLOOKUP(A116&amp;$K$2,ODDS!B115:$K$50000,5,0)," ")</f>
        <v xml:space="preserve"> </v>
      </c>
      <c r="O116" s="53" t="s">
        <v>211</v>
      </c>
      <c r="P116" s="53" t="str">
        <f>IFERROR(VLOOKUP(A116&amp;$K$2,ODDS!B115:$K$50000,6,0)," ")</f>
        <v xml:space="preserve"> </v>
      </c>
      <c r="Q116" s="39" t="str">
        <f>IFERROR(VLOOKUP(A116&amp;$K$2,ODDS!B115:$K$50000,4,0)," ")</f>
        <v xml:space="preserve"> </v>
      </c>
      <c r="R116" s="53" t="str">
        <f t="shared" si="6"/>
        <v xml:space="preserve"> </v>
      </c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 t="s">
        <v>217</v>
      </c>
    </row>
    <row r="117" spans="2:31" x14ac:dyDescent="0.25">
      <c r="B117" s="54" t="str">
        <f>IFERROR(VLOOKUP(A117&amp;$I$2,ODDS!A116:$K$50000,3,0)," ")</f>
        <v xml:space="preserve"> </v>
      </c>
      <c r="C117" s="53" t="str">
        <f>IFERROR(VLOOKUP(A117&amp;$I$2,ODDS!A116:$K$50000,4,0)," ")</f>
        <v xml:space="preserve"> </v>
      </c>
      <c r="D117" s="53" t="str">
        <f>IFERROR(VLOOKUP(A117&amp;$I$2,ODDS!A116:$K$50000,6,0)," ")</f>
        <v xml:space="preserve"> </v>
      </c>
      <c r="E117" s="53" t="s">
        <v>211</v>
      </c>
      <c r="F117" s="53" t="str">
        <f>IFERROR(VLOOKUP(A117&amp;$I$2,ODDS!A116:$K$50000,7,0)," ")</f>
        <v xml:space="preserve"> </v>
      </c>
      <c r="G117" s="53" t="str">
        <f>IFERROR(VLOOKUP(A117&amp;$I$2,ODDS!A116:$K$50000,5,0)," ")</f>
        <v xml:space="preserve"> </v>
      </c>
      <c r="H117" s="53" t="str">
        <f t="shared" si="5"/>
        <v xml:space="preserve"> </v>
      </c>
      <c r="I117" s="22"/>
      <c r="J117" s="22"/>
      <c r="K117" s="22"/>
      <c r="L117" s="60" t="str">
        <f>IFERROR(VLOOKUP(A117&amp;$K$2,ODDS!B116:$K$50000,2,0)," ")</f>
        <v xml:space="preserve"> </v>
      </c>
      <c r="M117" s="39" t="str">
        <f>IFERROR(VLOOKUP(A117&amp;$K$2,ODDS!B116:$K$50000,3,0)," ")</f>
        <v xml:space="preserve"> </v>
      </c>
      <c r="N117" s="53" t="str">
        <f>IFERROR(VLOOKUP(A117&amp;$K$2,ODDS!B116:$K$50000,5,0)," ")</f>
        <v xml:space="preserve"> </v>
      </c>
      <c r="O117" s="53" t="s">
        <v>211</v>
      </c>
      <c r="P117" s="53" t="str">
        <f>IFERROR(VLOOKUP(A117&amp;$K$2,ODDS!B116:$K$50000,6,0)," ")</f>
        <v xml:space="preserve"> </v>
      </c>
      <c r="Q117" s="39" t="str">
        <f>IFERROR(VLOOKUP(A117&amp;$K$2,ODDS!B116:$K$50000,4,0)," ")</f>
        <v xml:space="preserve"> </v>
      </c>
      <c r="R117" s="53" t="str">
        <f t="shared" si="6"/>
        <v xml:space="preserve"> </v>
      </c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</row>
    <row r="118" spans="2:31" x14ac:dyDescent="0.25">
      <c r="B118" s="54" t="str">
        <f>IFERROR(VLOOKUP(A118&amp;$I$2,ODDS!A117:$K$50000,3,0)," ")</f>
        <v xml:space="preserve"> </v>
      </c>
      <c r="C118" s="53" t="str">
        <f>IFERROR(VLOOKUP(A118&amp;$I$2,ODDS!A117:$K$50000,4,0)," ")</f>
        <v xml:space="preserve"> </v>
      </c>
      <c r="D118" s="53" t="str">
        <f>IFERROR(VLOOKUP(A118&amp;$I$2,ODDS!A117:$K$50000,6,0)," ")</f>
        <v xml:space="preserve"> </v>
      </c>
      <c r="E118" s="53" t="s">
        <v>211</v>
      </c>
      <c r="F118" s="53" t="str">
        <f>IFERROR(VLOOKUP(A118&amp;$I$2,ODDS!A117:$K$50000,7,0)," ")</f>
        <v xml:space="preserve"> </v>
      </c>
      <c r="G118" s="53" t="str">
        <f>IFERROR(VLOOKUP(A118&amp;$I$2,ODDS!A117:$K$50000,5,0)," ")</f>
        <v xml:space="preserve"> </v>
      </c>
      <c r="H118" s="53" t="str">
        <f t="shared" si="5"/>
        <v xml:space="preserve"> </v>
      </c>
      <c r="I118" s="22"/>
      <c r="J118" s="22"/>
      <c r="K118" s="22"/>
      <c r="L118" s="60" t="str">
        <f>IFERROR(VLOOKUP(A118&amp;$K$2,ODDS!B117:$K$50000,2,0)," ")</f>
        <v xml:space="preserve"> </v>
      </c>
      <c r="M118" s="39" t="str">
        <f>IFERROR(VLOOKUP(A118&amp;$K$2,ODDS!B117:$K$50000,3,0)," ")</f>
        <v xml:space="preserve"> </v>
      </c>
      <c r="N118" s="53" t="str">
        <f>IFERROR(VLOOKUP(A118&amp;$K$2,ODDS!B117:$K$50000,5,0)," ")</f>
        <v xml:space="preserve"> </v>
      </c>
      <c r="O118" s="53" t="s">
        <v>211</v>
      </c>
      <c r="P118" s="53" t="str">
        <f>IFERROR(VLOOKUP(A118&amp;$K$2,ODDS!B117:$K$50000,6,0)," ")</f>
        <v xml:space="preserve"> </v>
      </c>
      <c r="Q118" s="39" t="str">
        <f>IFERROR(VLOOKUP(A118&amp;$K$2,ODDS!B117:$K$50000,4,0)," ")</f>
        <v xml:space="preserve"> </v>
      </c>
      <c r="R118" s="53" t="str">
        <f t="shared" si="6"/>
        <v xml:space="preserve"> </v>
      </c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 t="s">
        <v>217</v>
      </c>
    </row>
    <row r="119" spans="2:31" x14ac:dyDescent="0.25">
      <c r="B119" s="54" t="str">
        <f>IFERROR(VLOOKUP(A119&amp;$I$2,ODDS!A118:$K$50000,3,0)," ")</f>
        <v xml:space="preserve"> </v>
      </c>
      <c r="C119" s="53" t="str">
        <f>IFERROR(VLOOKUP(A119&amp;$I$2,ODDS!A118:$K$50000,4,0)," ")</f>
        <v xml:space="preserve"> </v>
      </c>
      <c r="D119" s="53" t="str">
        <f>IFERROR(VLOOKUP(A119&amp;$I$2,ODDS!A118:$K$50000,6,0)," ")</f>
        <v xml:space="preserve"> </v>
      </c>
      <c r="E119" s="53" t="s">
        <v>211</v>
      </c>
      <c r="F119" s="53" t="str">
        <f>IFERROR(VLOOKUP(A119&amp;$I$2,ODDS!A118:$K$50000,7,0)," ")</f>
        <v xml:space="preserve"> </v>
      </c>
      <c r="G119" s="53" t="str">
        <f>IFERROR(VLOOKUP(A119&amp;$I$2,ODDS!A118:$K$50000,5,0)," ")</f>
        <v xml:space="preserve"> </v>
      </c>
      <c r="H119" s="53" t="str">
        <f t="shared" si="5"/>
        <v xml:space="preserve"> </v>
      </c>
      <c r="I119" s="22"/>
      <c r="J119" s="22"/>
      <c r="K119" s="22"/>
      <c r="L119" s="60" t="str">
        <f>IFERROR(VLOOKUP(A119&amp;$K$2,ODDS!B118:$K$50000,2,0)," ")</f>
        <v xml:space="preserve"> </v>
      </c>
      <c r="M119" s="39" t="str">
        <f>IFERROR(VLOOKUP(A119&amp;$K$2,ODDS!B118:$K$50000,3,0)," ")</f>
        <v xml:space="preserve"> </v>
      </c>
      <c r="N119" s="53" t="str">
        <f>IFERROR(VLOOKUP(A119&amp;$K$2,ODDS!B118:$K$50000,5,0)," ")</f>
        <v xml:space="preserve"> </v>
      </c>
      <c r="O119" s="53" t="s">
        <v>211</v>
      </c>
      <c r="P119" s="53" t="str">
        <f>IFERROR(VLOOKUP(A119&amp;$K$2,ODDS!B118:$K$50000,6,0)," ")</f>
        <v xml:space="preserve"> </v>
      </c>
      <c r="Q119" s="39" t="str">
        <f>IFERROR(VLOOKUP(A119&amp;$K$2,ODDS!B118:$K$50000,4,0)," ")</f>
        <v xml:space="preserve"> </v>
      </c>
      <c r="R119" s="53" t="str">
        <f t="shared" si="6"/>
        <v xml:space="preserve"> </v>
      </c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</row>
    <row r="120" spans="2:31" x14ac:dyDescent="0.25">
      <c r="B120" s="54" t="str">
        <f>IFERROR(VLOOKUP(A120&amp;$I$2,ODDS!A119:$K$50000,3,0)," ")</f>
        <v xml:space="preserve"> </v>
      </c>
      <c r="C120" s="53" t="str">
        <f>IFERROR(VLOOKUP(A120&amp;$I$2,ODDS!A119:$K$50000,4,0)," ")</f>
        <v xml:space="preserve"> </v>
      </c>
      <c r="D120" s="53" t="str">
        <f>IFERROR(VLOOKUP(A120&amp;$I$2,ODDS!A119:$K$50000,6,0)," ")</f>
        <v xml:space="preserve"> </v>
      </c>
      <c r="E120" s="53" t="s">
        <v>211</v>
      </c>
      <c r="F120" s="53" t="str">
        <f>IFERROR(VLOOKUP(A120&amp;$I$2,ODDS!A119:$K$50000,7,0)," ")</f>
        <v xml:space="preserve"> </v>
      </c>
      <c r="G120" s="53" t="str">
        <f>IFERROR(VLOOKUP(A120&amp;$I$2,ODDS!A119:$K$50000,5,0)," ")</f>
        <v xml:space="preserve"> </v>
      </c>
      <c r="H120" s="53" t="str">
        <f t="shared" si="5"/>
        <v xml:space="preserve"> </v>
      </c>
      <c r="I120" s="22"/>
      <c r="J120" s="22"/>
      <c r="K120" s="22"/>
      <c r="L120" s="60" t="str">
        <f>IFERROR(VLOOKUP(A120&amp;$K$2,ODDS!B119:$K$50000,2,0)," ")</f>
        <v xml:space="preserve"> </v>
      </c>
      <c r="M120" s="39" t="str">
        <f>IFERROR(VLOOKUP(A120&amp;$K$2,ODDS!B119:$K$50000,3,0)," ")</f>
        <v xml:space="preserve"> </v>
      </c>
      <c r="N120" s="53" t="str">
        <f>IFERROR(VLOOKUP(A120&amp;$K$2,ODDS!B119:$K$50000,5,0)," ")</f>
        <v xml:space="preserve"> </v>
      </c>
      <c r="O120" s="53" t="s">
        <v>211</v>
      </c>
      <c r="P120" s="53" t="str">
        <f>IFERROR(VLOOKUP(A120&amp;$K$2,ODDS!B119:$K$50000,6,0)," ")</f>
        <v xml:space="preserve"> </v>
      </c>
      <c r="Q120" s="39" t="str">
        <f>IFERROR(VLOOKUP(A120&amp;$K$2,ODDS!B119:$K$50000,4,0)," ")</f>
        <v xml:space="preserve"> </v>
      </c>
      <c r="R120" s="53" t="str">
        <f t="shared" si="6"/>
        <v xml:space="preserve"> </v>
      </c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 t="s">
        <v>217</v>
      </c>
    </row>
    <row r="121" spans="2:31" x14ac:dyDescent="0.25">
      <c r="B121" s="54" t="str">
        <f>IFERROR(VLOOKUP(A121&amp;$I$2,ODDS!A120:$K$50000,3,0)," ")</f>
        <v xml:space="preserve"> </v>
      </c>
      <c r="C121" s="53" t="str">
        <f>IFERROR(VLOOKUP(A121&amp;$I$2,ODDS!A120:$K$50000,4,0)," ")</f>
        <v xml:space="preserve"> </v>
      </c>
      <c r="D121" s="53" t="str">
        <f>IFERROR(VLOOKUP(A121&amp;$I$2,ODDS!A120:$K$50000,6,0)," ")</f>
        <v xml:space="preserve"> </v>
      </c>
      <c r="E121" s="53" t="s">
        <v>211</v>
      </c>
      <c r="F121" s="53" t="str">
        <f>IFERROR(VLOOKUP(A121&amp;$I$2,ODDS!A120:$K$50000,7,0)," ")</f>
        <v xml:space="preserve"> </v>
      </c>
      <c r="G121" s="53" t="str">
        <f>IFERROR(VLOOKUP(A121&amp;$I$2,ODDS!A120:$K$50000,5,0)," ")</f>
        <v xml:space="preserve"> </v>
      </c>
      <c r="H121" s="53" t="str">
        <f t="shared" si="5"/>
        <v xml:space="preserve"> </v>
      </c>
      <c r="I121" s="22"/>
      <c r="J121" s="22"/>
      <c r="K121" s="22"/>
      <c r="L121" s="60" t="str">
        <f>IFERROR(VLOOKUP(A121&amp;$K$2,ODDS!B120:$K$50000,2,0)," ")</f>
        <v xml:space="preserve"> </v>
      </c>
      <c r="M121" s="39" t="str">
        <f>IFERROR(VLOOKUP(A121&amp;$K$2,ODDS!B120:$K$50000,3,0)," ")</f>
        <v xml:space="preserve"> </v>
      </c>
      <c r="N121" s="53" t="str">
        <f>IFERROR(VLOOKUP(A121&amp;$K$2,ODDS!B120:$K$50000,5,0)," ")</f>
        <v xml:space="preserve"> </v>
      </c>
      <c r="O121" s="53" t="s">
        <v>211</v>
      </c>
      <c r="P121" s="53" t="str">
        <f>IFERROR(VLOOKUP(A121&amp;$K$2,ODDS!B120:$K$50000,6,0)," ")</f>
        <v xml:space="preserve"> </v>
      </c>
      <c r="Q121" s="39" t="str">
        <f>IFERROR(VLOOKUP(A121&amp;$K$2,ODDS!B120:$K$50000,4,0)," ")</f>
        <v xml:space="preserve"> </v>
      </c>
      <c r="R121" s="53" t="str">
        <f t="shared" si="6"/>
        <v xml:space="preserve"> </v>
      </c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</row>
    <row r="122" spans="2:31" x14ac:dyDescent="0.25">
      <c r="B122" s="54" t="str">
        <f>IFERROR(VLOOKUP(A122&amp;$I$2,ODDS!A121:$K$50000,3,0)," ")</f>
        <v xml:space="preserve"> </v>
      </c>
      <c r="C122" s="53" t="str">
        <f>IFERROR(VLOOKUP(A122&amp;$I$2,ODDS!A121:$K$50000,4,0)," ")</f>
        <v xml:space="preserve"> </v>
      </c>
      <c r="D122" s="53" t="str">
        <f>IFERROR(VLOOKUP(A122&amp;$I$2,ODDS!A121:$K$50000,6,0)," ")</f>
        <v xml:space="preserve"> </v>
      </c>
      <c r="E122" s="53" t="s">
        <v>211</v>
      </c>
      <c r="F122" s="53" t="str">
        <f>IFERROR(VLOOKUP(A122&amp;$I$2,ODDS!A121:$K$50000,7,0)," ")</f>
        <v xml:space="preserve"> </v>
      </c>
      <c r="G122" s="53" t="str">
        <f>IFERROR(VLOOKUP(A122&amp;$I$2,ODDS!A121:$K$50000,5,0)," ")</f>
        <v xml:space="preserve"> </v>
      </c>
      <c r="H122" s="53" t="str">
        <f t="shared" si="5"/>
        <v xml:space="preserve"> </v>
      </c>
      <c r="I122" s="22"/>
      <c r="J122" s="22"/>
      <c r="K122" s="22"/>
      <c r="L122" s="60" t="str">
        <f>IFERROR(VLOOKUP(A122&amp;$K$2,ODDS!B121:$K$50000,2,0)," ")</f>
        <v xml:space="preserve"> </v>
      </c>
      <c r="M122" s="39" t="str">
        <f>IFERROR(VLOOKUP(A122&amp;$K$2,ODDS!B121:$K$50000,3,0)," ")</f>
        <v xml:space="preserve"> </v>
      </c>
      <c r="N122" s="53" t="str">
        <f>IFERROR(VLOOKUP(A122&amp;$K$2,ODDS!B121:$K$50000,5,0)," ")</f>
        <v xml:space="preserve"> </v>
      </c>
      <c r="O122" s="53" t="s">
        <v>211</v>
      </c>
      <c r="P122" s="53" t="str">
        <f>IFERROR(VLOOKUP(A122&amp;$K$2,ODDS!B121:$K$50000,6,0)," ")</f>
        <v xml:space="preserve"> </v>
      </c>
      <c r="Q122" s="39" t="str">
        <f>IFERROR(VLOOKUP(A122&amp;$K$2,ODDS!B121:$K$50000,4,0)," ")</f>
        <v xml:space="preserve"> </v>
      </c>
      <c r="R122" s="53" t="str">
        <f t="shared" si="6"/>
        <v xml:space="preserve"> </v>
      </c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 t="s">
        <v>217</v>
      </c>
    </row>
    <row r="123" spans="2:31" x14ac:dyDescent="0.25">
      <c r="B123" s="54" t="str">
        <f>IFERROR(VLOOKUP(A123&amp;$I$2,ODDS!A122:$K$50000,3,0)," ")</f>
        <v xml:space="preserve"> </v>
      </c>
      <c r="C123" s="53" t="str">
        <f>IFERROR(VLOOKUP(A123&amp;$I$2,ODDS!A122:$K$50000,4,0)," ")</f>
        <v xml:space="preserve"> </v>
      </c>
      <c r="D123" s="53" t="str">
        <f>IFERROR(VLOOKUP(A123&amp;$I$2,ODDS!A122:$K$50000,6,0)," ")</f>
        <v xml:space="preserve"> </v>
      </c>
      <c r="E123" s="53" t="s">
        <v>211</v>
      </c>
      <c r="F123" s="53" t="str">
        <f>IFERROR(VLOOKUP(A123&amp;$I$2,ODDS!A122:$K$50000,7,0)," ")</f>
        <v xml:space="preserve"> </v>
      </c>
      <c r="G123" s="53" t="str">
        <f>IFERROR(VLOOKUP(A123&amp;$I$2,ODDS!A122:$K$50000,5,0)," ")</f>
        <v xml:space="preserve"> </v>
      </c>
      <c r="H123" s="53" t="str">
        <f t="shared" si="5"/>
        <v xml:space="preserve"> </v>
      </c>
      <c r="I123" s="22"/>
      <c r="J123" s="22"/>
      <c r="K123" s="22"/>
      <c r="L123" s="60" t="str">
        <f>IFERROR(VLOOKUP(A123&amp;$K$2,ODDS!B122:$K$50000,2,0)," ")</f>
        <v xml:space="preserve"> </v>
      </c>
      <c r="M123" s="39" t="str">
        <f>IFERROR(VLOOKUP(A123&amp;$K$2,ODDS!B122:$K$50000,3,0)," ")</f>
        <v xml:space="preserve"> </v>
      </c>
      <c r="N123" s="53" t="str">
        <f>IFERROR(VLOOKUP(A123&amp;$K$2,ODDS!B122:$K$50000,5,0)," ")</f>
        <v xml:space="preserve"> </v>
      </c>
      <c r="O123" s="53" t="s">
        <v>211</v>
      </c>
      <c r="P123" s="53" t="str">
        <f>IFERROR(VLOOKUP(A123&amp;$K$2,ODDS!B122:$K$50000,6,0)," ")</f>
        <v xml:space="preserve"> </v>
      </c>
      <c r="Q123" s="39" t="str">
        <f>IFERROR(VLOOKUP(A123&amp;$K$2,ODDS!B122:$K$50000,4,0)," ")</f>
        <v xml:space="preserve"> </v>
      </c>
      <c r="R123" s="53" t="str">
        <f t="shared" si="6"/>
        <v xml:space="preserve"> </v>
      </c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</row>
    <row r="124" spans="2:31" x14ac:dyDescent="0.25">
      <c r="B124" s="54" t="str">
        <f>IFERROR(VLOOKUP(A124&amp;$I$2,ODDS!A123:$K$50000,3,0)," ")</f>
        <v xml:space="preserve"> </v>
      </c>
      <c r="C124" s="53" t="str">
        <f>IFERROR(VLOOKUP(A124&amp;$I$2,ODDS!A123:$K$50000,4,0)," ")</f>
        <v xml:space="preserve"> </v>
      </c>
      <c r="D124" s="53" t="str">
        <f>IFERROR(VLOOKUP(A124&amp;$I$2,ODDS!A123:$K$50000,6,0)," ")</f>
        <v xml:space="preserve"> </v>
      </c>
      <c r="E124" s="53" t="s">
        <v>211</v>
      </c>
      <c r="F124" s="53" t="str">
        <f>IFERROR(VLOOKUP(A124&amp;$I$2,ODDS!A123:$K$50000,7,0)," ")</f>
        <v xml:space="preserve"> </v>
      </c>
      <c r="G124" s="53" t="str">
        <f>IFERROR(VLOOKUP(A124&amp;$I$2,ODDS!A123:$K$50000,5,0)," ")</f>
        <v xml:space="preserve"> </v>
      </c>
      <c r="H124" s="53" t="str">
        <f t="shared" si="5"/>
        <v xml:space="preserve"> </v>
      </c>
      <c r="I124" s="22"/>
      <c r="J124" s="22"/>
      <c r="K124" s="22"/>
      <c r="L124" s="60" t="str">
        <f>IFERROR(VLOOKUP(A124&amp;$K$2,ODDS!B123:$K$50000,2,0)," ")</f>
        <v xml:space="preserve"> </v>
      </c>
      <c r="M124" s="39" t="str">
        <f>IFERROR(VLOOKUP(A124&amp;$K$2,ODDS!B123:$K$50000,3,0)," ")</f>
        <v xml:space="preserve"> </v>
      </c>
      <c r="N124" s="53" t="str">
        <f>IFERROR(VLOOKUP(A124&amp;$K$2,ODDS!B123:$K$50000,5,0)," ")</f>
        <v xml:space="preserve"> </v>
      </c>
      <c r="O124" s="53" t="s">
        <v>211</v>
      </c>
      <c r="P124" s="53" t="str">
        <f>IFERROR(VLOOKUP(A124&amp;$K$2,ODDS!B123:$K$50000,6,0)," ")</f>
        <v xml:space="preserve"> </v>
      </c>
      <c r="Q124" s="39" t="str">
        <f>IFERROR(VLOOKUP(A124&amp;$K$2,ODDS!B123:$K$50000,4,0)," ")</f>
        <v xml:space="preserve"> </v>
      </c>
      <c r="R124" s="53" t="str">
        <f t="shared" si="6"/>
        <v xml:space="preserve"> </v>
      </c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 t="s">
        <v>217</v>
      </c>
    </row>
    <row r="125" spans="2:31" x14ac:dyDescent="0.25">
      <c r="B125" s="54" t="str">
        <f>IFERROR(VLOOKUP(A125&amp;$I$2,ODDS!A124:$K$50000,3,0)," ")</f>
        <v xml:space="preserve"> </v>
      </c>
      <c r="C125" s="53" t="str">
        <f>IFERROR(VLOOKUP(A125&amp;$I$2,ODDS!A124:$K$50000,4,0)," ")</f>
        <v xml:space="preserve"> </v>
      </c>
      <c r="D125" s="53" t="str">
        <f>IFERROR(VLOOKUP(A125&amp;$I$2,ODDS!A124:$K$50000,6,0)," ")</f>
        <v xml:space="preserve"> </v>
      </c>
      <c r="E125" s="53" t="s">
        <v>211</v>
      </c>
      <c r="F125" s="53" t="str">
        <f>IFERROR(VLOOKUP(A125&amp;$I$2,ODDS!A124:$K$50000,7,0)," ")</f>
        <v xml:space="preserve"> </v>
      </c>
      <c r="G125" s="53" t="str">
        <f>IFERROR(VLOOKUP(A125&amp;$I$2,ODDS!A124:$K$50000,5,0)," ")</f>
        <v xml:space="preserve"> </v>
      </c>
      <c r="H125" s="53" t="str">
        <f t="shared" si="5"/>
        <v xml:space="preserve"> </v>
      </c>
      <c r="I125" s="22"/>
      <c r="J125" s="22"/>
      <c r="K125" s="22"/>
      <c r="L125" s="60" t="str">
        <f>IFERROR(VLOOKUP(A125&amp;$K$2,ODDS!B124:$K$50000,2,0)," ")</f>
        <v xml:space="preserve"> </v>
      </c>
      <c r="M125" s="39" t="str">
        <f>IFERROR(VLOOKUP(A125&amp;$K$2,ODDS!B124:$K$50000,3,0)," ")</f>
        <v xml:space="preserve"> </v>
      </c>
      <c r="N125" s="53" t="str">
        <f>IFERROR(VLOOKUP(A125&amp;$K$2,ODDS!B124:$K$50000,5,0)," ")</f>
        <v xml:space="preserve"> </v>
      </c>
      <c r="O125" s="53" t="s">
        <v>211</v>
      </c>
      <c r="P125" s="53" t="str">
        <f>IFERROR(VLOOKUP(A125&amp;$K$2,ODDS!B124:$K$50000,6,0)," ")</f>
        <v xml:space="preserve"> </v>
      </c>
      <c r="Q125" s="39" t="str">
        <f>IFERROR(VLOOKUP(A125&amp;$K$2,ODDS!B124:$K$50000,4,0)," ")</f>
        <v xml:space="preserve"> </v>
      </c>
      <c r="R125" s="53" t="str">
        <f t="shared" si="6"/>
        <v xml:space="preserve"> </v>
      </c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</row>
    <row r="126" spans="2:31" x14ac:dyDescent="0.25">
      <c r="B126" s="54" t="str">
        <f>IFERROR(VLOOKUP(A126&amp;$I$2,ODDS!A125:$K$50000,3,0)," ")</f>
        <v xml:space="preserve"> </v>
      </c>
      <c r="C126" s="53" t="str">
        <f>IFERROR(VLOOKUP(A126&amp;$I$2,ODDS!A125:$K$50000,4,0)," ")</f>
        <v xml:space="preserve"> </v>
      </c>
      <c r="D126" s="53" t="str">
        <f>IFERROR(VLOOKUP(A126&amp;$I$2,ODDS!A125:$K$50000,6,0)," ")</f>
        <v xml:space="preserve"> </v>
      </c>
      <c r="E126" s="53" t="s">
        <v>211</v>
      </c>
      <c r="F126" s="53" t="str">
        <f>IFERROR(VLOOKUP(A126&amp;$I$2,ODDS!A125:$K$50000,7,0)," ")</f>
        <v xml:space="preserve"> </v>
      </c>
      <c r="G126" s="53" t="str">
        <f>IFERROR(VLOOKUP(A126&amp;$I$2,ODDS!A125:$K$50000,5,0)," ")</f>
        <v xml:space="preserve"> </v>
      </c>
      <c r="H126" s="53" t="str">
        <f t="shared" si="5"/>
        <v xml:space="preserve"> </v>
      </c>
      <c r="I126" s="22"/>
      <c r="J126" s="22"/>
      <c r="K126" s="22"/>
      <c r="L126" s="60" t="str">
        <f>IFERROR(VLOOKUP(A126&amp;$K$2,ODDS!B125:$K$50000,2,0)," ")</f>
        <v xml:space="preserve"> </v>
      </c>
      <c r="M126" s="39" t="str">
        <f>IFERROR(VLOOKUP(A126&amp;$K$2,ODDS!B125:$K$50000,3,0)," ")</f>
        <v xml:space="preserve"> </v>
      </c>
      <c r="N126" s="53" t="str">
        <f>IFERROR(VLOOKUP(A126&amp;$K$2,ODDS!B125:$K$50000,5,0)," ")</f>
        <v xml:space="preserve"> </v>
      </c>
      <c r="O126" s="53" t="s">
        <v>211</v>
      </c>
      <c r="P126" s="53" t="str">
        <f>IFERROR(VLOOKUP(A126&amp;$K$2,ODDS!B125:$K$50000,6,0)," ")</f>
        <v xml:space="preserve"> </v>
      </c>
      <c r="Q126" s="39" t="str">
        <f>IFERROR(VLOOKUP(A126&amp;$K$2,ODDS!B125:$K$50000,4,0)," ")</f>
        <v xml:space="preserve"> </v>
      </c>
      <c r="R126" s="53" t="str">
        <f t="shared" si="6"/>
        <v xml:space="preserve"> </v>
      </c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 t="s">
        <v>217</v>
      </c>
    </row>
    <row r="127" spans="2:31" x14ac:dyDescent="0.25">
      <c r="B127" s="54" t="str">
        <f>IFERROR(VLOOKUP(A127&amp;$I$2,ODDS!A126:$K$50000,3,0)," ")</f>
        <v xml:space="preserve"> </v>
      </c>
      <c r="C127" s="53" t="str">
        <f>IFERROR(VLOOKUP(A127&amp;$I$2,ODDS!A126:$K$50000,4,0)," ")</f>
        <v xml:space="preserve"> </v>
      </c>
      <c r="D127" s="53" t="str">
        <f>IFERROR(VLOOKUP(A127&amp;$I$2,ODDS!A126:$K$50000,6,0)," ")</f>
        <v xml:space="preserve"> </v>
      </c>
      <c r="E127" s="53" t="s">
        <v>211</v>
      </c>
      <c r="F127" s="53" t="str">
        <f>IFERROR(VLOOKUP(A127&amp;$I$2,ODDS!A126:$K$50000,7,0)," ")</f>
        <v xml:space="preserve"> </v>
      </c>
      <c r="G127" s="53" t="str">
        <f>IFERROR(VLOOKUP(A127&amp;$I$2,ODDS!A126:$K$50000,5,0)," ")</f>
        <v xml:space="preserve"> </v>
      </c>
      <c r="H127" s="53" t="str">
        <f t="shared" si="5"/>
        <v xml:space="preserve"> </v>
      </c>
      <c r="I127" s="22"/>
      <c r="J127" s="22"/>
      <c r="K127" s="22"/>
      <c r="L127" s="60" t="str">
        <f>IFERROR(VLOOKUP(A127&amp;$K$2,ODDS!B126:$K$50000,2,0)," ")</f>
        <v xml:space="preserve"> </v>
      </c>
      <c r="M127" s="39" t="str">
        <f>IFERROR(VLOOKUP(A127&amp;$K$2,ODDS!B126:$K$50000,3,0)," ")</f>
        <v xml:space="preserve"> </v>
      </c>
      <c r="N127" s="53" t="str">
        <f>IFERROR(VLOOKUP(A127&amp;$K$2,ODDS!B126:$K$50000,5,0)," ")</f>
        <v xml:space="preserve"> </v>
      </c>
      <c r="O127" s="53" t="s">
        <v>211</v>
      </c>
      <c r="P127" s="53" t="str">
        <f>IFERROR(VLOOKUP(A127&amp;$K$2,ODDS!B126:$K$50000,6,0)," ")</f>
        <v xml:space="preserve"> </v>
      </c>
      <c r="Q127" s="39" t="str">
        <f>IFERROR(VLOOKUP(A127&amp;$K$2,ODDS!B126:$K$50000,4,0)," ")</f>
        <v xml:space="preserve"> </v>
      </c>
      <c r="R127" s="53" t="str">
        <f t="shared" si="6"/>
        <v xml:space="preserve"> </v>
      </c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</row>
    <row r="128" spans="2:31" x14ac:dyDescent="0.25">
      <c r="B128" s="54" t="str">
        <f>IFERROR(VLOOKUP(A128&amp;$I$2,ODDS!A127:$K$50000,3,0)," ")</f>
        <v xml:space="preserve"> </v>
      </c>
      <c r="C128" s="53" t="str">
        <f>IFERROR(VLOOKUP(A128&amp;$I$2,ODDS!A127:$K$50000,4,0)," ")</f>
        <v xml:space="preserve"> </v>
      </c>
      <c r="D128" s="53" t="str">
        <f>IFERROR(VLOOKUP(A128&amp;$I$2,ODDS!A127:$K$50000,6,0)," ")</f>
        <v xml:space="preserve"> </v>
      </c>
      <c r="E128" s="53" t="s">
        <v>211</v>
      </c>
      <c r="F128" s="53" t="str">
        <f>IFERROR(VLOOKUP(A128&amp;$I$2,ODDS!A127:$K$50000,7,0)," ")</f>
        <v xml:space="preserve"> </v>
      </c>
      <c r="G128" s="53" t="str">
        <f>IFERROR(VLOOKUP(A128&amp;$I$2,ODDS!A127:$K$50000,5,0)," ")</f>
        <v xml:space="preserve"> </v>
      </c>
      <c r="H128" s="53" t="str">
        <f t="shared" si="5"/>
        <v xml:space="preserve"> </v>
      </c>
      <c r="I128" s="22"/>
      <c r="J128" s="22"/>
      <c r="K128" s="22"/>
      <c r="L128" s="60" t="str">
        <f>IFERROR(VLOOKUP(A128&amp;$K$2,ODDS!B127:$K$50000,2,0)," ")</f>
        <v xml:space="preserve"> </v>
      </c>
      <c r="M128" s="39" t="str">
        <f>IFERROR(VLOOKUP(A128&amp;$K$2,ODDS!B127:$K$50000,3,0)," ")</f>
        <v xml:space="preserve"> </v>
      </c>
      <c r="N128" s="53" t="str">
        <f>IFERROR(VLOOKUP(A128&amp;$K$2,ODDS!B127:$K$50000,5,0)," ")</f>
        <v xml:space="preserve"> </v>
      </c>
      <c r="O128" s="53" t="s">
        <v>211</v>
      </c>
      <c r="P128" s="53" t="str">
        <f>IFERROR(VLOOKUP(A128&amp;$K$2,ODDS!B127:$K$50000,6,0)," ")</f>
        <v xml:space="preserve"> </v>
      </c>
      <c r="Q128" s="39" t="str">
        <f>IFERROR(VLOOKUP(A128&amp;$K$2,ODDS!B127:$K$50000,4,0)," ")</f>
        <v xml:space="preserve"> </v>
      </c>
      <c r="R128" s="53" t="str">
        <f t="shared" si="6"/>
        <v xml:space="preserve"> </v>
      </c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 t="s">
        <v>217</v>
      </c>
    </row>
    <row r="129" spans="2:31" x14ac:dyDescent="0.25">
      <c r="B129" s="54" t="str">
        <f>IFERROR(VLOOKUP(A129&amp;$I$2,ODDS!A128:$K$50000,3,0)," ")</f>
        <v xml:space="preserve"> </v>
      </c>
      <c r="C129" s="53" t="str">
        <f>IFERROR(VLOOKUP(A129&amp;$I$2,ODDS!A128:$K$50000,4,0)," ")</f>
        <v xml:space="preserve"> </v>
      </c>
      <c r="D129" s="53" t="str">
        <f>IFERROR(VLOOKUP(A129&amp;$I$2,ODDS!A128:$K$50000,6,0)," ")</f>
        <v xml:space="preserve"> </v>
      </c>
      <c r="E129" s="53" t="s">
        <v>211</v>
      </c>
      <c r="F129" s="53" t="str">
        <f>IFERROR(VLOOKUP(A129&amp;$I$2,ODDS!A128:$K$50000,7,0)," ")</f>
        <v xml:space="preserve"> </v>
      </c>
      <c r="G129" s="53" t="str">
        <f>IFERROR(VLOOKUP(A129&amp;$I$2,ODDS!A128:$K$50000,5,0)," ")</f>
        <v xml:space="preserve"> </v>
      </c>
      <c r="H129" s="53" t="str">
        <f t="shared" si="5"/>
        <v xml:space="preserve"> </v>
      </c>
      <c r="I129" s="22"/>
      <c r="J129" s="22"/>
      <c r="K129" s="22"/>
      <c r="L129" s="60" t="str">
        <f>IFERROR(VLOOKUP(A129&amp;$K$2,ODDS!B128:$K$50000,2,0)," ")</f>
        <v xml:space="preserve"> </v>
      </c>
      <c r="M129" s="39" t="str">
        <f>IFERROR(VLOOKUP(A129&amp;$K$2,ODDS!B128:$K$50000,3,0)," ")</f>
        <v xml:space="preserve"> </v>
      </c>
      <c r="N129" s="53" t="str">
        <f>IFERROR(VLOOKUP(A129&amp;$K$2,ODDS!B128:$K$50000,5,0)," ")</f>
        <v xml:space="preserve"> </v>
      </c>
      <c r="O129" s="53" t="s">
        <v>211</v>
      </c>
      <c r="P129" s="53" t="str">
        <f>IFERROR(VLOOKUP(A129&amp;$K$2,ODDS!B128:$K$50000,6,0)," ")</f>
        <v xml:space="preserve"> </v>
      </c>
      <c r="Q129" s="39" t="str">
        <f>IFERROR(VLOOKUP(A129&amp;$K$2,ODDS!B128:$K$50000,4,0)," ")</f>
        <v xml:space="preserve"> </v>
      </c>
      <c r="R129" s="53" t="str">
        <f t="shared" si="6"/>
        <v xml:space="preserve"> </v>
      </c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</row>
    <row r="130" spans="2:31" x14ac:dyDescent="0.25">
      <c r="B130" s="54" t="str">
        <f>IFERROR(VLOOKUP(A130&amp;$I$2,ODDS!A129:$K$50000,3,0)," ")</f>
        <v xml:space="preserve"> </v>
      </c>
      <c r="C130" s="53" t="str">
        <f>IFERROR(VLOOKUP(A130&amp;$I$2,ODDS!A129:$K$50000,4,0)," ")</f>
        <v xml:space="preserve"> </v>
      </c>
      <c r="D130" s="53" t="str">
        <f>IFERROR(VLOOKUP(A130&amp;$I$2,ODDS!A129:$K$50000,6,0)," ")</f>
        <v xml:space="preserve"> </v>
      </c>
      <c r="E130" s="53" t="s">
        <v>211</v>
      </c>
      <c r="F130" s="53" t="str">
        <f>IFERROR(VLOOKUP(A130&amp;$I$2,ODDS!A129:$K$50000,7,0)," ")</f>
        <v xml:space="preserve"> </v>
      </c>
      <c r="G130" s="53" t="str">
        <f>IFERROR(VLOOKUP(A130&amp;$I$2,ODDS!A129:$K$50000,5,0)," ")</f>
        <v xml:space="preserve"> </v>
      </c>
      <c r="H130" s="53" t="str">
        <f t="shared" si="5"/>
        <v xml:space="preserve"> </v>
      </c>
      <c r="I130" s="22"/>
      <c r="J130" s="22"/>
      <c r="K130" s="22"/>
      <c r="L130" s="60" t="str">
        <f>IFERROR(VLOOKUP(A130&amp;$K$2,ODDS!B129:$K$50000,2,0)," ")</f>
        <v xml:space="preserve"> </v>
      </c>
      <c r="M130" s="39" t="str">
        <f>IFERROR(VLOOKUP(A130&amp;$K$2,ODDS!B129:$K$50000,3,0)," ")</f>
        <v xml:space="preserve"> </v>
      </c>
      <c r="N130" s="53" t="str">
        <f>IFERROR(VLOOKUP(A130&amp;$K$2,ODDS!B129:$K$50000,5,0)," ")</f>
        <v xml:space="preserve"> </v>
      </c>
      <c r="O130" s="53" t="s">
        <v>211</v>
      </c>
      <c r="P130" s="53" t="str">
        <f>IFERROR(VLOOKUP(A130&amp;$K$2,ODDS!B129:$K$50000,6,0)," ")</f>
        <v xml:space="preserve"> </v>
      </c>
      <c r="Q130" s="39" t="str">
        <f>IFERROR(VLOOKUP(A130&amp;$K$2,ODDS!B129:$K$50000,4,0)," ")</f>
        <v xml:space="preserve"> </v>
      </c>
      <c r="R130" s="53" t="str">
        <f t="shared" si="6"/>
        <v xml:space="preserve"> </v>
      </c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 t="s">
        <v>217</v>
      </c>
    </row>
    <row r="131" spans="2:31" x14ac:dyDescent="0.25">
      <c r="B131" s="54" t="str">
        <f>IFERROR(VLOOKUP(A131&amp;$I$2,ODDS!A130:$K$50000,3,0)," ")</f>
        <v xml:space="preserve"> </v>
      </c>
      <c r="C131" s="53" t="str">
        <f>IFERROR(VLOOKUP(A131&amp;$I$2,ODDS!A130:$K$50000,4,0)," ")</f>
        <v xml:space="preserve"> </v>
      </c>
      <c r="D131" s="53" t="str">
        <f>IFERROR(VLOOKUP(A131&amp;$I$2,ODDS!A130:$K$50000,6,0)," ")</f>
        <v xml:space="preserve"> </v>
      </c>
      <c r="E131" s="53" t="s">
        <v>211</v>
      </c>
      <c r="F131" s="53" t="str">
        <f>IFERROR(VLOOKUP(A131&amp;$I$2,ODDS!A130:$K$50000,7,0)," ")</f>
        <v xml:space="preserve"> </v>
      </c>
      <c r="G131" s="53" t="str">
        <f>IFERROR(VLOOKUP(A131&amp;$I$2,ODDS!A130:$K$50000,5,0)," ")</f>
        <v xml:space="preserve"> </v>
      </c>
      <c r="H131" s="53" t="str">
        <f t="shared" si="5"/>
        <v xml:space="preserve"> </v>
      </c>
      <c r="I131" s="22"/>
      <c r="J131" s="22"/>
      <c r="K131" s="22"/>
      <c r="L131" s="60" t="str">
        <f>IFERROR(VLOOKUP(A131&amp;$K$2,ODDS!B130:$K$50000,2,0)," ")</f>
        <v xml:space="preserve"> </v>
      </c>
      <c r="M131" s="39" t="str">
        <f>IFERROR(VLOOKUP(A131&amp;$K$2,ODDS!B130:$K$50000,3,0)," ")</f>
        <v xml:space="preserve"> </v>
      </c>
      <c r="N131" s="53" t="str">
        <f>IFERROR(VLOOKUP(A131&amp;$K$2,ODDS!B130:$K$50000,5,0)," ")</f>
        <v xml:space="preserve"> </v>
      </c>
      <c r="O131" s="53" t="s">
        <v>211</v>
      </c>
      <c r="P131" s="53" t="str">
        <f>IFERROR(VLOOKUP(A131&amp;$K$2,ODDS!B130:$K$50000,6,0)," ")</f>
        <v xml:space="preserve"> </v>
      </c>
      <c r="Q131" s="39" t="str">
        <f>IFERROR(VLOOKUP(A131&amp;$K$2,ODDS!B130:$K$50000,4,0)," ")</f>
        <v xml:space="preserve"> </v>
      </c>
      <c r="R131" s="53" t="str">
        <f t="shared" si="6"/>
        <v xml:space="preserve"> </v>
      </c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</row>
    <row r="132" spans="2:31" x14ac:dyDescent="0.25">
      <c r="B132" s="54" t="str">
        <f>IFERROR(VLOOKUP(A132&amp;$I$2,ODDS!A131:$K$50000,3,0)," ")</f>
        <v xml:space="preserve"> </v>
      </c>
      <c r="C132" s="53" t="str">
        <f>IFERROR(VLOOKUP(A132&amp;$I$2,ODDS!A131:$K$50000,4,0)," ")</f>
        <v xml:space="preserve"> </v>
      </c>
      <c r="D132" s="53" t="str">
        <f>IFERROR(VLOOKUP(A132&amp;$I$2,ODDS!A131:$K$50000,6,0)," ")</f>
        <v xml:space="preserve"> </v>
      </c>
      <c r="E132" s="53" t="s">
        <v>211</v>
      </c>
      <c r="F132" s="53" t="str">
        <f>IFERROR(VLOOKUP(A132&amp;$I$2,ODDS!A131:$K$50000,7,0)," ")</f>
        <v xml:space="preserve"> </v>
      </c>
      <c r="G132" s="53" t="str">
        <f>IFERROR(VLOOKUP(A132&amp;$I$2,ODDS!A131:$K$50000,5,0)," ")</f>
        <v xml:space="preserve"> </v>
      </c>
      <c r="H132" s="53" t="str">
        <f t="shared" si="5"/>
        <v xml:space="preserve"> </v>
      </c>
      <c r="I132" s="22"/>
      <c r="J132" s="22"/>
      <c r="K132" s="22"/>
      <c r="L132" s="60" t="str">
        <f>IFERROR(VLOOKUP(A132&amp;$K$2,ODDS!B131:$K$50000,2,0)," ")</f>
        <v xml:space="preserve"> </v>
      </c>
      <c r="M132" s="39" t="str">
        <f>IFERROR(VLOOKUP(A132&amp;$K$2,ODDS!B131:$K$50000,3,0)," ")</f>
        <v xml:space="preserve"> </v>
      </c>
      <c r="N132" s="53" t="str">
        <f>IFERROR(VLOOKUP(A132&amp;$K$2,ODDS!B131:$K$50000,5,0)," ")</f>
        <v xml:space="preserve"> </v>
      </c>
      <c r="O132" s="53" t="s">
        <v>211</v>
      </c>
      <c r="P132" s="53" t="str">
        <f>IFERROR(VLOOKUP(A132&amp;$K$2,ODDS!B131:$K$50000,6,0)," ")</f>
        <v xml:space="preserve"> </v>
      </c>
      <c r="Q132" s="39" t="str">
        <f>IFERROR(VLOOKUP(A132&amp;$K$2,ODDS!B131:$K$50000,4,0)," ")</f>
        <v xml:space="preserve"> </v>
      </c>
      <c r="R132" s="53" t="str">
        <f t="shared" si="6"/>
        <v xml:space="preserve"> </v>
      </c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 t="s">
        <v>217</v>
      </c>
    </row>
    <row r="133" spans="2:31" x14ac:dyDescent="0.25">
      <c r="B133" s="54" t="str">
        <f>IFERROR(VLOOKUP(A133&amp;$I$2,ODDS!A132:$K$50000,3,0)," ")</f>
        <v xml:space="preserve"> </v>
      </c>
      <c r="C133" s="53" t="str">
        <f>IFERROR(VLOOKUP(A133&amp;$I$2,ODDS!A132:$K$50000,4,0)," ")</f>
        <v xml:space="preserve"> </v>
      </c>
      <c r="D133" s="53" t="str">
        <f>IFERROR(VLOOKUP(A133&amp;$I$2,ODDS!A132:$K$50000,6,0)," ")</f>
        <v xml:space="preserve"> </v>
      </c>
      <c r="E133" s="53" t="s">
        <v>211</v>
      </c>
      <c r="F133" s="53" t="str">
        <f>IFERROR(VLOOKUP(A133&amp;$I$2,ODDS!A132:$K$50000,7,0)," ")</f>
        <v xml:space="preserve"> </v>
      </c>
      <c r="G133" s="53" t="str">
        <f>IFERROR(VLOOKUP(A133&amp;$I$2,ODDS!A132:$K$50000,5,0)," ")</f>
        <v xml:space="preserve"> </v>
      </c>
      <c r="H133" s="53" t="str">
        <f t="shared" si="5"/>
        <v xml:space="preserve"> </v>
      </c>
      <c r="I133" s="22"/>
      <c r="J133" s="22"/>
      <c r="K133" s="22"/>
      <c r="L133" s="60" t="str">
        <f>IFERROR(VLOOKUP(A133&amp;$K$2,ODDS!B132:$K$50000,2,0)," ")</f>
        <v xml:space="preserve"> </v>
      </c>
      <c r="M133" s="39" t="str">
        <f>IFERROR(VLOOKUP(A133&amp;$K$2,ODDS!B132:$K$50000,3,0)," ")</f>
        <v xml:space="preserve"> </v>
      </c>
      <c r="N133" s="53" t="str">
        <f>IFERROR(VLOOKUP(A133&amp;$K$2,ODDS!B132:$K$50000,5,0)," ")</f>
        <v xml:space="preserve"> </v>
      </c>
      <c r="O133" s="53" t="s">
        <v>211</v>
      </c>
      <c r="P133" s="53" t="str">
        <f>IFERROR(VLOOKUP(A133&amp;$K$2,ODDS!B132:$K$50000,6,0)," ")</f>
        <v xml:space="preserve"> </v>
      </c>
      <c r="Q133" s="39" t="str">
        <f>IFERROR(VLOOKUP(A133&amp;$K$2,ODDS!B132:$K$50000,4,0)," ")</f>
        <v xml:space="preserve"> </v>
      </c>
      <c r="R133" s="53" t="str">
        <f t="shared" si="6"/>
        <v xml:space="preserve"> </v>
      </c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</row>
    <row r="134" spans="2:31" x14ac:dyDescent="0.25">
      <c r="B134" s="54" t="str">
        <f>IFERROR(VLOOKUP(A134&amp;$I$2,ODDS!A133:$K$50000,3,0)," ")</f>
        <v xml:space="preserve"> </v>
      </c>
      <c r="C134" s="53" t="str">
        <f>IFERROR(VLOOKUP(A134&amp;$I$2,ODDS!A133:$K$50000,4,0)," ")</f>
        <v xml:space="preserve"> </v>
      </c>
      <c r="D134" s="53" t="str">
        <f>IFERROR(VLOOKUP(A134&amp;$I$2,ODDS!A133:$K$50000,6,0)," ")</f>
        <v xml:space="preserve"> </v>
      </c>
      <c r="E134" s="53" t="s">
        <v>211</v>
      </c>
      <c r="F134" s="53" t="str">
        <f>IFERROR(VLOOKUP(A134&amp;$I$2,ODDS!A133:$K$50000,7,0)," ")</f>
        <v xml:space="preserve"> </v>
      </c>
      <c r="G134" s="53" t="str">
        <f>IFERROR(VLOOKUP(A134&amp;$I$2,ODDS!A133:$K$50000,5,0)," ")</f>
        <v xml:space="preserve"> </v>
      </c>
      <c r="H134" s="53" t="str">
        <f t="shared" si="5"/>
        <v xml:space="preserve"> </v>
      </c>
      <c r="I134" s="22"/>
      <c r="J134" s="22"/>
      <c r="K134" s="22"/>
      <c r="L134" s="60" t="str">
        <f>IFERROR(VLOOKUP(A134&amp;$K$2,ODDS!B133:$K$50000,2,0)," ")</f>
        <v xml:space="preserve"> </v>
      </c>
      <c r="M134" s="39" t="str">
        <f>IFERROR(VLOOKUP(A134&amp;$K$2,ODDS!B133:$K$50000,3,0)," ")</f>
        <v xml:space="preserve"> </v>
      </c>
      <c r="N134" s="53" t="str">
        <f>IFERROR(VLOOKUP(A134&amp;$K$2,ODDS!B133:$K$50000,5,0)," ")</f>
        <v xml:space="preserve"> </v>
      </c>
      <c r="O134" s="53" t="s">
        <v>211</v>
      </c>
      <c r="P134" s="53" t="str">
        <f>IFERROR(VLOOKUP(A134&amp;$K$2,ODDS!B133:$K$50000,6,0)," ")</f>
        <v xml:space="preserve"> </v>
      </c>
      <c r="Q134" s="39" t="str">
        <f>IFERROR(VLOOKUP(A134&amp;$K$2,ODDS!B133:$K$50000,4,0)," ")</f>
        <v xml:space="preserve"> </v>
      </c>
      <c r="R134" s="53" t="str">
        <f t="shared" si="6"/>
        <v xml:space="preserve"> </v>
      </c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 t="s">
        <v>217</v>
      </c>
    </row>
    <row r="135" spans="2:31" x14ac:dyDescent="0.25">
      <c r="B135" s="54" t="str">
        <f>IFERROR(VLOOKUP(A135&amp;$I$2,ODDS!A134:$K$50000,3,0)," ")</f>
        <v xml:space="preserve"> </v>
      </c>
      <c r="C135" s="53" t="str">
        <f>IFERROR(VLOOKUP(A135&amp;$I$2,ODDS!A134:$K$50000,4,0)," ")</f>
        <v xml:space="preserve"> </v>
      </c>
      <c r="D135" s="53" t="str">
        <f>IFERROR(VLOOKUP(A135&amp;$I$2,ODDS!A134:$K$50000,6,0)," ")</f>
        <v xml:space="preserve"> </v>
      </c>
      <c r="E135" s="53" t="s">
        <v>211</v>
      </c>
      <c r="F135" s="53" t="str">
        <f>IFERROR(VLOOKUP(A135&amp;$I$2,ODDS!A134:$K$50000,7,0)," ")</f>
        <v xml:space="preserve"> </v>
      </c>
      <c r="G135" s="53" t="str">
        <f>IFERROR(VLOOKUP(A135&amp;$I$2,ODDS!A134:$K$50000,5,0)," ")</f>
        <v xml:space="preserve"> </v>
      </c>
      <c r="H135" s="53" t="str">
        <f t="shared" si="5"/>
        <v xml:space="preserve"> </v>
      </c>
      <c r="I135" s="22"/>
      <c r="J135" s="22"/>
      <c r="K135" s="22"/>
      <c r="L135" s="60" t="str">
        <f>IFERROR(VLOOKUP(A135&amp;$K$2,ODDS!B134:$K$50000,2,0)," ")</f>
        <v xml:space="preserve"> </v>
      </c>
      <c r="M135" s="39" t="str">
        <f>IFERROR(VLOOKUP(A135&amp;$K$2,ODDS!B134:$K$50000,3,0)," ")</f>
        <v xml:space="preserve"> </v>
      </c>
      <c r="N135" s="53" t="str">
        <f>IFERROR(VLOOKUP(A135&amp;$K$2,ODDS!B134:$K$50000,5,0)," ")</f>
        <v xml:space="preserve"> </v>
      </c>
      <c r="O135" s="53" t="s">
        <v>211</v>
      </c>
      <c r="P135" s="53" t="str">
        <f>IFERROR(VLOOKUP(A135&amp;$K$2,ODDS!B134:$K$50000,6,0)," ")</f>
        <v xml:space="preserve"> </v>
      </c>
      <c r="Q135" s="39" t="str">
        <f>IFERROR(VLOOKUP(A135&amp;$K$2,ODDS!B134:$K$50000,4,0)," ")</f>
        <v xml:space="preserve"> </v>
      </c>
      <c r="R135" s="53" t="str">
        <f t="shared" si="6"/>
        <v xml:space="preserve"> </v>
      </c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</row>
    <row r="136" spans="2:31" x14ac:dyDescent="0.25">
      <c r="B136" s="54" t="str">
        <f>IFERROR(VLOOKUP(A136&amp;$I$2,ODDS!A135:$K$50000,3,0)," ")</f>
        <v xml:space="preserve"> </v>
      </c>
      <c r="C136" s="53" t="str">
        <f>IFERROR(VLOOKUP(A136&amp;$I$2,ODDS!A135:$K$50000,4,0)," ")</f>
        <v xml:space="preserve"> </v>
      </c>
      <c r="D136" s="53" t="str">
        <f>IFERROR(VLOOKUP(A136&amp;$I$2,ODDS!A135:$K$50000,6,0)," ")</f>
        <v xml:space="preserve"> </v>
      </c>
      <c r="E136" s="53" t="s">
        <v>211</v>
      </c>
      <c r="F136" s="53" t="str">
        <f>IFERROR(VLOOKUP(A136&amp;$I$2,ODDS!A135:$K$50000,7,0)," ")</f>
        <v xml:space="preserve"> </v>
      </c>
      <c r="G136" s="53" t="str">
        <f>IFERROR(VLOOKUP(A136&amp;$I$2,ODDS!A135:$K$50000,5,0)," ")</f>
        <v xml:space="preserve"> </v>
      </c>
      <c r="H136" s="53" t="str">
        <f t="shared" si="5"/>
        <v xml:space="preserve"> </v>
      </c>
      <c r="I136" s="22"/>
      <c r="J136" s="22"/>
      <c r="K136" s="22"/>
      <c r="L136" s="60" t="str">
        <f>IFERROR(VLOOKUP(A136&amp;$K$2,ODDS!B135:$K$50000,2,0)," ")</f>
        <v xml:space="preserve"> </v>
      </c>
      <c r="M136" s="39" t="str">
        <f>IFERROR(VLOOKUP(A136&amp;$K$2,ODDS!B135:$K$50000,3,0)," ")</f>
        <v xml:space="preserve"> </v>
      </c>
      <c r="N136" s="53" t="str">
        <f>IFERROR(VLOOKUP(A136&amp;$K$2,ODDS!B135:$K$50000,5,0)," ")</f>
        <v xml:space="preserve"> </v>
      </c>
      <c r="O136" s="53" t="s">
        <v>211</v>
      </c>
      <c r="P136" s="53" t="str">
        <f>IFERROR(VLOOKUP(A136&amp;$K$2,ODDS!B135:$K$50000,6,0)," ")</f>
        <v xml:space="preserve"> </v>
      </c>
      <c r="Q136" s="39" t="str">
        <f>IFERROR(VLOOKUP(A136&amp;$K$2,ODDS!B135:$K$50000,4,0)," ")</f>
        <v xml:space="preserve"> </v>
      </c>
      <c r="R136" s="53" t="str">
        <f t="shared" si="6"/>
        <v xml:space="preserve"> </v>
      </c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 t="s">
        <v>217</v>
      </c>
    </row>
    <row r="137" spans="2:31" x14ac:dyDescent="0.25">
      <c r="B137" s="54" t="str">
        <f>IFERROR(VLOOKUP(A137&amp;$I$2,ODDS!A136:$K$50000,3,0)," ")</f>
        <v xml:space="preserve"> </v>
      </c>
      <c r="C137" s="53" t="str">
        <f>IFERROR(VLOOKUP(A137&amp;$I$2,ODDS!A136:$K$50000,4,0)," ")</f>
        <v xml:space="preserve"> </v>
      </c>
      <c r="D137" s="53" t="str">
        <f>IFERROR(VLOOKUP(A137&amp;$I$2,ODDS!A136:$K$50000,6,0)," ")</f>
        <v xml:space="preserve"> </v>
      </c>
      <c r="E137" s="53" t="s">
        <v>211</v>
      </c>
      <c r="F137" s="53" t="str">
        <f>IFERROR(VLOOKUP(A137&amp;$I$2,ODDS!A136:$K$50000,7,0)," ")</f>
        <v xml:space="preserve"> </v>
      </c>
      <c r="G137" s="53" t="str">
        <f>IFERROR(VLOOKUP(A137&amp;$I$2,ODDS!A136:$K$50000,5,0)," ")</f>
        <v xml:space="preserve"> </v>
      </c>
      <c r="H137" s="53" t="str">
        <f t="shared" si="5"/>
        <v xml:space="preserve"> </v>
      </c>
      <c r="I137" s="22"/>
      <c r="J137" s="22"/>
      <c r="K137" s="22"/>
      <c r="L137" s="60" t="str">
        <f>IFERROR(VLOOKUP(A137&amp;$K$2,ODDS!B136:$K$50000,2,0)," ")</f>
        <v xml:space="preserve"> </v>
      </c>
      <c r="M137" s="39" t="str">
        <f>IFERROR(VLOOKUP(A137&amp;$K$2,ODDS!B136:$K$50000,3,0)," ")</f>
        <v xml:space="preserve"> </v>
      </c>
      <c r="N137" s="53" t="str">
        <f>IFERROR(VLOOKUP(A137&amp;$K$2,ODDS!B136:$K$50000,5,0)," ")</f>
        <v xml:space="preserve"> </v>
      </c>
      <c r="O137" s="53" t="s">
        <v>211</v>
      </c>
      <c r="P137" s="53" t="str">
        <f>IFERROR(VLOOKUP(A137&amp;$K$2,ODDS!B136:$K$50000,6,0)," ")</f>
        <v xml:space="preserve"> </v>
      </c>
      <c r="Q137" s="39" t="str">
        <f>IFERROR(VLOOKUP(A137&amp;$K$2,ODDS!B136:$K$50000,4,0)," ")</f>
        <v xml:space="preserve"> </v>
      </c>
      <c r="R137" s="53" t="str">
        <f t="shared" si="6"/>
        <v xml:space="preserve"> </v>
      </c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</row>
    <row r="138" spans="2:31" x14ac:dyDescent="0.25">
      <c r="B138" s="54" t="str">
        <f>IFERROR(VLOOKUP(A138&amp;$I$2,ODDS!A137:$K$50000,3,0)," ")</f>
        <v xml:space="preserve"> </v>
      </c>
      <c r="C138" s="53" t="str">
        <f>IFERROR(VLOOKUP(A138&amp;$I$2,ODDS!A137:$K$50000,4,0)," ")</f>
        <v xml:space="preserve"> </v>
      </c>
      <c r="D138" s="53" t="str">
        <f>IFERROR(VLOOKUP(A138&amp;$I$2,ODDS!A137:$K$50000,6,0)," ")</f>
        <v xml:space="preserve"> </v>
      </c>
      <c r="E138" s="53" t="s">
        <v>211</v>
      </c>
      <c r="F138" s="53" t="str">
        <f>IFERROR(VLOOKUP(A138&amp;$I$2,ODDS!A137:$K$50000,7,0)," ")</f>
        <v xml:space="preserve"> </v>
      </c>
      <c r="G138" s="53" t="str">
        <f>IFERROR(VLOOKUP(A138&amp;$I$2,ODDS!A137:$K$50000,5,0)," ")</f>
        <v xml:space="preserve"> </v>
      </c>
      <c r="H138" s="53" t="str">
        <f t="shared" si="5"/>
        <v xml:space="preserve"> </v>
      </c>
      <c r="I138" s="22"/>
      <c r="J138" s="22"/>
      <c r="K138" s="22"/>
      <c r="L138" s="60" t="str">
        <f>IFERROR(VLOOKUP(A138&amp;$K$2,ODDS!B137:$K$50000,2,0)," ")</f>
        <v xml:space="preserve"> </v>
      </c>
      <c r="M138" s="39" t="str">
        <f>IFERROR(VLOOKUP(A138&amp;$K$2,ODDS!B137:$K$50000,3,0)," ")</f>
        <v xml:space="preserve"> </v>
      </c>
      <c r="N138" s="53" t="str">
        <f>IFERROR(VLOOKUP(A138&amp;$K$2,ODDS!B137:$K$50000,5,0)," ")</f>
        <v xml:space="preserve"> </v>
      </c>
      <c r="O138" s="53" t="s">
        <v>211</v>
      </c>
      <c r="P138" s="53" t="str">
        <f>IFERROR(VLOOKUP(A138&amp;$K$2,ODDS!B137:$K$50000,6,0)," ")</f>
        <v xml:space="preserve"> </v>
      </c>
      <c r="Q138" s="39" t="str">
        <f>IFERROR(VLOOKUP(A138&amp;$K$2,ODDS!B137:$K$50000,4,0)," ")</f>
        <v xml:space="preserve"> </v>
      </c>
      <c r="R138" s="53" t="str">
        <f t="shared" si="6"/>
        <v xml:space="preserve"> </v>
      </c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 t="s">
        <v>217</v>
      </c>
    </row>
    <row r="139" spans="2:31" x14ac:dyDescent="0.25">
      <c r="B139" s="54" t="str">
        <f>IFERROR(VLOOKUP(A139&amp;$I$2,ODDS!A138:$K$50000,3,0)," ")</f>
        <v xml:space="preserve"> </v>
      </c>
      <c r="C139" s="53" t="str">
        <f>IFERROR(VLOOKUP(A139&amp;$I$2,ODDS!A138:$K$50000,4,0)," ")</f>
        <v xml:space="preserve"> </v>
      </c>
      <c r="D139" s="53" t="str">
        <f>IFERROR(VLOOKUP(A139&amp;$I$2,ODDS!A138:$K$50000,6,0)," ")</f>
        <v xml:space="preserve"> </v>
      </c>
      <c r="E139" s="53" t="s">
        <v>211</v>
      </c>
      <c r="F139" s="53" t="str">
        <f>IFERROR(VLOOKUP(A139&amp;$I$2,ODDS!A138:$K$50000,7,0)," ")</f>
        <v xml:space="preserve"> </v>
      </c>
      <c r="G139" s="53" t="str">
        <f>IFERROR(VLOOKUP(A139&amp;$I$2,ODDS!A138:$K$50000,5,0)," ")</f>
        <v xml:space="preserve"> </v>
      </c>
      <c r="H139" s="53" t="str">
        <f t="shared" si="5"/>
        <v xml:space="preserve"> </v>
      </c>
      <c r="I139" s="22"/>
      <c r="J139" s="22"/>
      <c r="K139" s="22"/>
      <c r="L139" s="60" t="str">
        <f>IFERROR(VLOOKUP(A139&amp;$K$2,ODDS!B138:$K$50000,2,0)," ")</f>
        <v xml:space="preserve"> </v>
      </c>
      <c r="M139" s="39" t="str">
        <f>IFERROR(VLOOKUP(A139&amp;$K$2,ODDS!B138:$K$50000,3,0)," ")</f>
        <v xml:space="preserve"> </v>
      </c>
      <c r="N139" s="53" t="str">
        <f>IFERROR(VLOOKUP(A139&amp;$K$2,ODDS!B138:$K$50000,5,0)," ")</f>
        <v xml:space="preserve"> </v>
      </c>
      <c r="O139" s="53" t="s">
        <v>211</v>
      </c>
      <c r="P139" s="53" t="str">
        <f>IFERROR(VLOOKUP(A139&amp;$K$2,ODDS!B138:$K$50000,6,0)," ")</f>
        <v xml:space="preserve"> </v>
      </c>
      <c r="Q139" s="39" t="str">
        <f>IFERROR(VLOOKUP(A139&amp;$K$2,ODDS!B138:$K$50000,4,0)," ")</f>
        <v xml:space="preserve"> </v>
      </c>
      <c r="R139" s="53" t="str">
        <f t="shared" si="6"/>
        <v xml:space="preserve"> </v>
      </c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</row>
    <row r="140" spans="2:31" x14ac:dyDescent="0.25">
      <c r="B140" s="54" t="str">
        <f>IFERROR(VLOOKUP(A140&amp;$I$2,ODDS!A139:$K$50000,3,0)," ")</f>
        <v xml:space="preserve"> </v>
      </c>
      <c r="C140" s="53" t="str">
        <f>IFERROR(VLOOKUP(A140&amp;$I$2,ODDS!A139:$K$50000,4,0)," ")</f>
        <v xml:space="preserve"> </v>
      </c>
      <c r="D140" s="53" t="str">
        <f>IFERROR(VLOOKUP(A140&amp;$I$2,ODDS!A139:$K$50000,6,0)," ")</f>
        <v xml:space="preserve"> </v>
      </c>
      <c r="E140" s="53" t="s">
        <v>211</v>
      </c>
      <c r="F140" s="53" t="str">
        <f>IFERROR(VLOOKUP(A140&amp;$I$2,ODDS!A139:$K$50000,7,0)," ")</f>
        <v xml:space="preserve"> </v>
      </c>
      <c r="G140" s="53" t="str">
        <f>IFERROR(VLOOKUP(A140&amp;$I$2,ODDS!A139:$K$50000,5,0)," ")</f>
        <v xml:space="preserve"> </v>
      </c>
      <c r="H140" s="53" t="str">
        <f t="shared" si="5"/>
        <v xml:space="preserve"> </v>
      </c>
      <c r="I140" s="22"/>
      <c r="J140" s="22"/>
      <c r="K140" s="22"/>
      <c r="L140" s="60" t="str">
        <f>IFERROR(VLOOKUP(A140&amp;$K$2,ODDS!B139:$K$50000,2,0)," ")</f>
        <v xml:space="preserve"> </v>
      </c>
      <c r="M140" s="39" t="str">
        <f>IFERROR(VLOOKUP(A140&amp;$K$2,ODDS!B139:$K$50000,3,0)," ")</f>
        <v xml:space="preserve"> </v>
      </c>
      <c r="N140" s="53" t="str">
        <f>IFERROR(VLOOKUP(A140&amp;$K$2,ODDS!B139:$K$50000,5,0)," ")</f>
        <v xml:space="preserve"> </v>
      </c>
      <c r="O140" s="53" t="s">
        <v>211</v>
      </c>
      <c r="P140" s="53" t="str">
        <f>IFERROR(VLOOKUP(A140&amp;$K$2,ODDS!B139:$K$50000,6,0)," ")</f>
        <v xml:space="preserve"> </v>
      </c>
      <c r="Q140" s="39" t="str">
        <f>IFERROR(VLOOKUP(A140&amp;$K$2,ODDS!B139:$K$50000,4,0)," ")</f>
        <v xml:space="preserve"> </v>
      </c>
      <c r="R140" s="53" t="str">
        <f t="shared" si="6"/>
        <v xml:space="preserve"> </v>
      </c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 t="s">
        <v>217</v>
      </c>
    </row>
    <row r="141" spans="2:31" x14ac:dyDescent="0.25">
      <c r="B141" s="54" t="str">
        <f>IFERROR(VLOOKUP(A141&amp;$I$2,ODDS!A140:$K$50000,3,0)," ")</f>
        <v xml:space="preserve"> </v>
      </c>
      <c r="C141" s="53" t="str">
        <f>IFERROR(VLOOKUP(A141&amp;$I$2,ODDS!A140:$K$50000,4,0)," ")</f>
        <v xml:space="preserve"> </v>
      </c>
      <c r="D141" s="53" t="str">
        <f>IFERROR(VLOOKUP(A141&amp;$I$2,ODDS!A140:$K$50000,6,0)," ")</f>
        <v xml:space="preserve"> </v>
      </c>
      <c r="E141" s="53" t="s">
        <v>211</v>
      </c>
      <c r="F141" s="53" t="str">
        <f>IFERROR(VLOOKUP(A141&amp;$I$2,ODDS!A140:$K$50000,7,0)," ")</f>
        <v xml:space="preserve"> </v>
      </c>
      <c r="G141" s="53" t="str">
        <f>IFERROR(VLOOKUP(A141&amp;$I$2,ODDS!A140:$K$50000,5,0)," ")</f>
        <v xml:space="preserve"> </v>
      </c>
      <c r="H141" s="53" t="str">
        <f t="shared" ref="H141:H204" si="7">IF(C141=$I$2,IF(D141&gt;F141,"VENCEU",IF(D141=F141,"EMPATOU",IF(F141&gt;D141,"PERDEU")))," ")</f>
        <v xml:space="preserve"> </v>
      </c>
      <c r="I141" s="22"/>
      <c r="J141" s="22"/>
      <c r="K141" s="22"/>
      <c r="L141" s="60" t="str">
        <f>IFERROR(VLOOKUP(A141&amp;$K$2,ODDS!B140:$K$50000,2,0)," ")</f>
        <v xml:space="preserve"> </v>
      </c>
      <c r="M141" s="39" t="str">
        <f>IFERROR(VLOOKUP(A141&amp;$K$2,ODDS!B140:$K$50000,3,0)," ")</f>
        <v xml:space="preserve"> </v>
      </c>
      <c r="N141" s="53" t="str">
        <f>IFERROR(VLOOKUP(A141&amp;$K$2,ODDS!B140:$K$50000,5,0)," ")</f>
        <v xml:space="preserve"> </v>
      </c>
      <c r="O141" s="53" t="s">
        <v>211</v>
      </c>
      <c r="P141" s="53" t="str">
        <f>IFERROR(VLOOKUP(A141&amp;$K$2,ODDS!B140:$K$50000,6,0)," ")</f>
        <v xml:space="preserve"> </v>
      </c>
      <c r="Q141" s="39" t="str">
        <f>IFERROR(VLOOKUP(A141&amp;$K$2,ODDS!B140:$K$50000,4,0)," ")</f>
        <v xml:space="preserve"> </v>
      </c>
      <c r="R141" s="53" t="str">
        <f t="shared" ref="R141:R204" si="8">IF(Q141=$K$2,IF(P141&gt;N141,"VENCEU",IF(P141=N141,"EMPATOU",IF(N141&gt;P141,"PERDEU")))," ")</f>
        <v xml:space="preserve"> </v>
      </c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</row>
    <row r="142" spans="2:31" x14ac:dyDescent="0.25">
      <c r="B142" s="54" t="str">
        <f>IFERROR(VLOOKUP(A142&amp;$I$2,ODDS!A141:$K$50000,3,0)," ")</f>
        <v xml:space="preserve"> </v>
      </c>
      <c r="C142" s="53" t="str">
        <f>IFERROR(VLOOKUP(A142&amp;$I$2,ODDS!A141:$K$50000,4,0)," ")</f>
        <v xml:space="preserve"> </v>
      </c>
      <c r="D142" s="53" t="str">
        <f>IFERROR(VLOOKUP(A142&amp;$I$2,ODDS!A141:$K$50000,6,0)," ")</f>
        <v xml:space="preserve"> </v>
      </c>
      <c r="E142" s="53" t="s">
        <v>211</v>
      </c>
      <c r="F142" s="53" t="str">
        <f>IFERROR(VLOOKUP(A142&amp;$I$2,ODDS!A141:$K$50000,7,0)," ")</f>
        <v xml:space="preserve"> </v>
      </c>
      <c r="G142" s="53" t="str">
        <f>IFERROR(VLOOKUP(A142&amp;$I$2,ODDS!A141:$K$50000,5,0)," ")</f>
        <v xml:space="preserve"> </v>
      </c>
      <c r="H142" s="53" t="str">
        <f t="shared" si="7"/>
        <v xml:space="preserve"> </v>
      </c>
      <c r="I142" s="22"/>
      <c r="J142" s="22"/>
      <c r="K142" s="22"/>
      <c r="L142" s="60" t="str">
        <f>IFERROR(VLOOKUP(A142&amp;$K$2,ODDS!B141:$K$50000,2,0)," ")</f>
        <v xml:space="preserve"> </v>
      </c>
      <c r="M142" s="39" t="str">
        <f>IFERROR(VLOOKUP(A142&amp;$K$2,ODDS!B141:$K$50000,3,0)," ")</f>
        <v xml:space="preserve"> </v>
      </c>
      <c r="N142" s="53" t="str">
        <f>IFERROR(VLOOKUP(A142&amp;$K$2,ODDS!B141:$K$50000,5,0)," ")</f>
        <v xml:space="preserve"> </v>
      </c>
      <c r="O142" s="53" t="s">
        <v>211</v>
      </c>
      <c r="P142" s="53" t="str">
        <f>IFERROR(VLOOKUP(A142&amp;$K$2,ODDS!B141:$K$50000,6,0)," ")</f>
        <v xml:space="preserve"> </v>
      </c>
      <c r="Q142" s="39" t="str">
        <f>IFERROR(VLOOKUP(A142&amp;$K$2,ODDS!B141:$K$50000,4,0)," ")</f>
        <v xml:space="preserve"> </v>
      </c>
      <c r="R142" s="53" t="str">
        <f t="shared" si="8"/>
        <v xml:space="preserve"> </v>
      </c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 t="s">
        <v>217</v>
      </c>
    </row>
    <row r="143" spans="2:31" x14ac:dyDescent="0.25">
      <c r="B143" s="54" t="str">
        <f>IFERROR(VLOOKUP(A143&amp;$I$2,ODDS!A142:$K$50000,3,0)," ")</f>
        <v xml:space="preserve"> </v>
      </c>
      <c r="C143" s="53" t="str">
        <f>IFERROR(VLOOKUP(A143&amp;$I$2,ODDS!A142:$K$50000,4,0)," ")</f>
        <v xml:space="preserve"> </v>
      </c>
      <c r="D143" s="53" t="str">
        <f>IFERROR(VLOOKUP(A143&amp;$I$2,ODDS!A142:$K$50000,6,0)," ")</f>
        <v xml:space="preserve"> </v>
      </c>
      <c r="E143" s="53" t="s">
        <v>211</v>
      </c>
      <c r="F143" s="53" t="str">
        <f>IFERROR(VLOOKUP(A143&amp;$I$2,ODDS!A142:$K$50000,7,0)," ")</f>
        <v xml:space="preserve"> </v>
      </c>
      <c r="G143" s="53" t="str">
        <f>IFERROR(VLOOKUP(A143&amp;$I$2,ODDS!A142:$K$50000,5,0)," ")</f>
        <v xml:space="preserve"> </v>
      </c>
      <c r="H143" s="53" t="str">
        <f t="shared" si="7"/>
        <v xml:space="preserve"> </v>
      </c>
      <c r="I143" s="22"/>
      <c r="J143" s="22"/>
      <c r="K143" s="22"/>
      <c r="L143" s="60" t="str">
        <f>IFERROR(VLOOKUP(A143&amp;$K$2,ODDS!B142:$K$50000,2,0)," ")</f>
        <v xml:space="preserve"> </v>
      </c>
      <c r="M143" s="39" t="str">
        <f>IFERROR(VLOOKUP(A143&amp;$K$2,ODDS!B142:$K$50000,3,0)," ")</f>
        <v xml:space="preserve"> </v>
      </c>
      <c r="N143" s="53" t="str">
        <f>IFERROR(VLOOKUP(A143&amp;$K$2,ODDS!B142:$K$50000,5,0)," ")</f>
        <v xml:space="preserve"> </v>
      </c>
      <c r="O143" s="53" t="s">
        <v>211</v>
      </c>
      <c r="P143" s="53" t="str">
        <f>IFERROR(VLOOKUP(A143&amp;$K$2,ODDS!B142:$K$50000,6,0)," ")</f>
        <v xml:space="preserve"> </v>
      </c>
      <c r="Q143" s="39" t="str">
        <f>IFERROR(VLOOKUP(A143&amp;$K$2,ODDS!B142:$K$50000,4,0)," ")</f>
        <v xml:space="preserve"> </v>
      </c>
      <c r="R143" s="53" t="str">
        <f t="shared" si="8"/>
        <v xml:space="preserve"> </v>
      </c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</row>
    <row r="144" spans="2:31" x14ac:dyDescent="0.25">
      <c r="B144" s="54" t="str">
        <f>IFERROR(VLOOKUP(A144&amp;$I$2,ODDS!A143:$K$50000,3,0)," ")</f>
        <v xml:space="preserve"> </v>
      </c>
      <c r="C144" s="53" t="str">
        <f>IFERROR(VLOOKUP(A144&amp;$I$2,ODDS!A143:$K$50000,4,0)," ")</f>
        <v xml:space="preserve"> </v>
      </c>
      <c r="D144" s="53" t="str">
        <f>IFERROR(VLOOKUP(A144&amp;$I$2,ODDS!A143:$K$50000,6,0)," ")</f>
        <v xml:space="preserve"> </v>
      </c>
      <c r="E144" s="53" t="s">
        <v>211</v>
      </c>
      <c r="F144" s="53" t="str">
        <f>IFERROR(VLOOKUP(A144&amp;$I$2,ODDS!A143:$K$50000,7,0)," ")</f>
        <v xml:space="preserve"> </v>
      </c>
      <c r="G144" s="53" t="str">
        <f>IFERROR(VLOOKUP(A144&amp;$I$2,ODDS!A143:$K$50000,5,0)," ")</f>
        <v xml:space="preserve"> </v>
      </c>
      <c r="H144" s="53" t="str">
        <f t="shared" si="7"/>
        <v xml:space="preserve"> </v>
      </c>
      <c r="I144" s="22"/>
      <c r="J144" s="22"/>
      <c r="K144" s="22"/>
      <c r="L144" s="60" t="str">
        <f>IFERROR(VLOOKUP(A144&amp;$K$2,ODDS!B143:$K$50000,2,0)," ")</f>
        <v xml:space="preserve"> </v>
      </c>
      <c r="M144" s="39" t="str">
        <f>IFERROR(VLOOKUP(A144&amp;$K$2,ODDS!B143:$K$50000,3,0)," ")</f>
        <v xml:space="preserve"> </v>
      </c>
      <c r="N144" s="53" t="str">
        <f>IFERROR(VLOOKUP(A144&amp;$K$2,ODDS!B143:$K$50000,5,0)," ")</f>
        <v xml:space="preserve"> </v>
      </c>
      <c r="O144" s="53" t="s">
        <v>211</v>
      </c>
      <c r="P144" s="53" t="str">
        <f>IFERROR(VLOOKUP(A144&amp;$K$2,ODDS!B143:$K$50000,6,0)," ")</f>
        <v xml:space="preserve"> </v>
      </c>
      <c r="Q144" s="39" t="str">
        <f>IFERROR(VLOOKUP(A144&amp;$K$2,ODDS!B143:$K$50000,4,0)," ")</f>
        <v xml:space="preserve"> </v>
      </c>
      <c r="R144" s="53" t="str">
        <f t="shared" si="8"/>
        <v xml:space="preserve"> </v>
      </c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 t="s">
        <v>217</v>
      </c>
    </row>
    <row r="145" spans="2:31" x14ac:dyDescent="0.25">
      <c r="B145" s="54" t="str">
        <f>IFERROR(VLOOKUP(A145&amp;$I$2,ODDS!A144:$K$50000,3,0)," ")</f>
        <v xml:space="preserve"> </v>
      </c>
      <c r="C145" s="53" t="str">
        <f>IFERROR(VLOOKUP(A145&amp;$I$2,ODDS!A144:$K$50000,4,0)," ")</f>
        <v xml:space="preserve"> </v>
      </c>
      <c r="D145" s="53" t="str">
        <f>IFERROR(VLOOKUP(A145&amp;$I$2,ODDS!A144:$K$50000,6,0)," ")</f>
        <v xml:space="preserve"> </v>
      </c>
      <c r="E145" s="53" t="s">
        <v>211</v>
      </c>
      <c r="F145" s="53" t="str">
        <f>IFERROR(VLOOKUP(A145&amp;$I$2,ODDS!A144:$K$50000,7,0)," ")</f>
        <v xml:space="preserve"> </v>
      </c>
      <c r="G145" s="53" t="str">
        <f>IFERROR(VLOOKUP(A145&amp;$I$2,ODDS!A144:$K$50000,5,0)," ")</f>
        <v xml:space="preserve"> </v>
      </c>
      <c r="H145" s="53" t="str">
        <f t="shared" si="7"/>
        <v xml:space="preserve"> </v>
      </c>
      <c r="I145" s="22"/>
      <c r="J145" s="22"/>
      <c r="K145" s="22"/>
      <c r="L145" s="60" t="str">
        <f>IFERROR(VLOOKUP(A145&amp;$K$2,ODDS!B144:$K$50000,2,0)," ")</f>
        <v xml:space="preserve"> </v>
      </c>
      <c r="M145" s="39" t="str">
        <f>IFERROR(VLOOKUP(A145&amp;$K$2,ODDS!B144:$K$50000,3,0)," ")</f>
        <v xml:space="preserve"> </v>
      </c>
      <c r="N145" s="53" t="str">
        <f>IFERROR(VLOOKUP(A145&amp;$K$2,ODDS!B144:$K$50000,5,0)," ")</f>
        <v xml:space="preserve"> </v>
      </c>
      <c r="O145" s="53" t="s">
        <v>211</v>
      </c>
      <c r="P145" s="53" t="str">
        <f>IFERROR(VLOOKUP(A145&amp;$K$2,ODDS!B144:$K$50000,6,0)," ")</f>
        <v xml:space="preserve"> </v>
      </c>
      <c r="Q145" s="39" t="str">
        <f>IFERROR(VLOOKUP(A145&amp;$K$2,ODDS!B144:$K$50000,4,0)," ")</f>
        <v xml:space="preserve"> </v>
      </c>
      <c r="R145" s="53" t="str">
        <f t="shared" si="8"/>
        <v xml:space="preserve"> </v>
      </c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</row>
    <row r="146" spans="2:31" x14ac:dyDescent="0.25">
      <c r="B146" s="54" t="str">
        <f>IFERROR(VLOOKUP(A146&amp;$I$2,ODDS!A145:$K$50000,3,0)," ")</f>
        <v xml:space="preserve"> </v>
      </c>
      <c r="C146" s="53" t="str">
        <f>IFERROR(VLOOKUP(A146&amp;$I$2,ODDS!A145:$K$50000,4,0)," ")</f>
        <v xml:space="preserve"> </v>
      </c>
      <c r="D146" s="53" t="str">
        <f>IFERROR(VLOOKUP(A146&amp;$I$2,ODDS!A145:$K$50000,6,0)," ")</f>
        <v xml:space="preserve"> </v>
      </c>
      <c r="E146" s="53" t="s">
        <v>211</v>
      </c>
      <c r="F146" s="53" t="str">
        <f>IFERROR(VLOOKUP(A146&amp;$I$2,ODDS!A145:$K$50000,7,0)," ")</f>
        <v xml:space="preserve"> </v>
      </c>
      <c r="G146" s="53" t="str">
        <f>IFERROR(VLOOKUP(A146&amp;$I$2,ODDS!A145:$K$50000,5,0)," ")</f>
        <v xml:space="preserve"> </v>
      </c>
      <c r="H146" s="53" t="str">
        <f t="shared" si="7"/>
        <v xml:space="preserve"> </v>
      </c>
      <c r="I146" s="22"/>
      <c r="J146" s="22"/>
      <c r="K146" s="22"/>
      <c r="L146" s="60" t="str">
        <f>IFERROR(VLOOKUP(A146&amp;$K$2,ODDS!B145:$K$50000,2,0)," ")</f>
        <v xml:space="preserve"> </v>
      </c>
      <c r="M146" s="39" t="str">
        <f>IFERROR(VLOOKUP(A146&amp;$K$2,ODDS!B145:$K$50000,3,0)," ")</f>
        <v xml:space="preserve"> </v>
      </c>
      <c r="N146" s="53" t="str">
        <f>IFERROR(VLOOKUP(A146&amp;$K$2,ODDS!B145:$K$50000,5,0)," ")</f>
        <v xml:space="preserve"> </v>
      </c>
      <c r="O146" s="53" t="s">
        <v>211</v>
      </c>
      <c r="P146" s="53" t="str">
        <f>IFERROR(VLOOKUP(A146&amp;$K$2,ODDS!B145:$K$50000,6,0)," ")</f>
        <v xml:space="preserve"> </v>
      </c>
      <c r="Q146" s="39" t="str">
        <f>IFERROR(VLOOKUP(A146&amp;$K$2,ODDS!B145:$K$50000,4,0)," ")</f>
        <v xml:space="preserve"> </v>
      </c>
      <c r="R146" s="53" t="str">
        <f t="shared" si="8"/>
        <v xml:space="preserve"> </v>
      </c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 t="s">
        <v>217</v>
      </c>
    </row>
    <row r="147" spans="2:31" x14ac:dyDescent="0.25">
      <c r="B147" s="54" t="str">
        <f>IFERROR(VLOOKUP(A147&amp;$I$2,ODDS!A146:$K$50000,3,0)," ")</f>
        <v xml:space="preserve"> </v>
      </c>
      <c r="C147" s="53" t="str">
        <f>IFERROR(VLOOKUP(A147&amp;$I$2,ODDS!A146:$K$50000,4,0)," ")</f>
        <v xml:space="preserve"> </v>
      </c>
      <c r="D147" s="53" t="str">
        <f>IFERROR(VLOOKUP(A147&amp;$I$2,ODDS!A146:$K$50000,6,0)," ")</f>
        <v xml:space="preserve"> </v>
      </c>
      <c r="E147" s="53" t="s">
        <v>211</v>
      </c>
      <c r="F147" s="53" t="str">
        <f>IFERROR(VLOOKUP(A147&amp;$I$2,ODDS!A146:$K$50000,7,0)," ")</f>
        <v xml:space="preserve"> </v>
      </c>
      <c r="G147" s="53" t="str">
        <f>IFERROR(VLOOKUP(A147&amp;$I$2,ODDS!A146:$K$50000,5,0)," ")</f>
        <v xml:space="preserve"> </v>
      </c>
      <c r="H147" s="53" t="str">
        <f t="shared" si="7"/>
        <v xml:space="preserve"> </v>
      </c>
      <c r="I147" s="22"/>
      <c r="J147" s="22"/>
      <c r="K147" s="22"/>
      <c r="L147" s="60" t="str">
        <f>IFERROR(VLOOKUP(A147&amp;$K$2,ODDS!B146:$K$50000,2,0)," ")</f>
        <v xml:space="preserve"> </v>
      </c>
      <c r="M147" s="39" t="str">
        <f>IFERROR(VLOOKUP(A147&amp;$K$2,ODDS!B146:$K$50000,3,0)," ")</f>
        <v xml:space="preserve"> </v>
      </c>
      <c r="N147" s="53" t="str">
        <f>IFERROR(VLOOKUP(A147&amp;$K$2,ODDS!B146:$K$50000,5,0)," ")</f>
        <v xml:space="preserve"> </v>
      </c>
      <c r="O147" s="53" t="s">
        <v>211</v>
      </c>
      <c r="P147" s="53" t="str">
        <f>IFERROR(VLOOKUP(A147&amp;$K$2,ODDS!B146:$K$50000,6,0)," ")</f>
        <v xml:space="preserve"> </v>
      </c>
      <c r="Q147" s="39" t="str">
        <f>IFERROR(VLOOKUP(A147&amp;$K$2,ODDS!B146:$K$50000,4,0)," ")</f>
        <v xml:space="preserve"> </v>
      </c>
      <c r="R147" s="53" t="str">
        <f t="shared" si="8"/>
        <v xml:space="preserve"> </v>
      </c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</row>
    <row r="148" spans="2:31" x14ac:dyDescent="0.25">
      <c r="B148" s="54" t="str">
        <f>IFERROR(VLOOKUP(A148&amp;$I$2,ODDS!A147:$K$50000,3,0)," ")</f>
        <v xml:space="preserve"> </v>
      </c>
      <c r="C148" s="53" t="str">
        <f>IFERROR(VLOOKUP(A148&amp;$I$2,ODDS!A147:$K$50000,4,0)," ")</f>
        <v xml:space="preserve"> </v>
      </c>
      <c r="D148" s="53" t="str">
        <f>IFERROR(VLOOKUP(A148&amp;$I$2,ODDS!A147:$K$50000,6,0)," ")</f>
        <v xml:space="preserve"> </v>
      </c>
      <c r="E148" s="53" t="s">
        <v>211</v>
      </c>
      <c r="F148" s="53" t="str">
        <f>IFERROR(VLOOKUP(A148&amp;$I$2,ODDS!A147:$K$50000,7,0)," ")</f>
        <v xml:space="preserve"> </v>
      </c>
      <c r="G148" s="53" t="str">
        <f>IFERROR(VLOOKUP(A148&amp;$I$2,ODDS!A147:$K$50000,5,0)," ")</f>
        <v xml:space="preserve"> </v>
      </c>
      <c r="H148" s="53" t="str">
        <f t="shared" si="7"/>
        <v xml:space="preserve"> </v>
      </c>
      <c r="I148" s="22"/>
      <c r="J148" s="22"/>
      <c r="K148" s="22"/>
      <c r="L148" s="60" t="str">
        <f>IFERROR(VLOOKUP(A148&amp;$K$2,ODDS!B147:$K$50000,2,0)," ")</f>
        <v xml:space="preserve"> </v>
      </c>
      <c r="M148" s="39" t="str">
        <f>IFERROR(VLOOKUP(A148&amp;$K$2,ODDS!B147:$K$50000,3,0)," ")</f>
        <v xml:space="preserve"> </v>
      </c>
      <c r="N148" s="53" t="str">
        <f>IFERROR(VLOOKUP(A148&amp;$K$2,ODDS!B147:$K$50000,5,0)," ")</f>
        <v xml:space="preserve"> </v>
      </c>
      <c r="O148" s="53" t="s">
        <v>211</v>
      </c>
      <c r="P148" s="53" t="str">
        <f>IFERROR(VLOOKUP(A148&amp;$K$2,ODDS!B147:$K$50000,6,0)," ")</f>
        <v xml:space="preserve"> </v>
      </c>
      <c r="Q148" s="39" t="str">
        <f>IFERROR(VLOOKUP(A148&amp;$K$2,ODDS!B147:$K$50000,4,0)," ")</f>
        <v xml:space="preserve"> </v>
      </c>
      <c r="R148" s="53" t="str">
        <f t="shared" si="8"/>
        <v xml:space="preserve"> </v>
      </c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 t="s">
        <v>217</v>
      </c>
    </row>
    <row r="149" spans="2:31" x14ac:dyDescent="0.25">
      <c r="B149" s="54" t="str">
        <f>IFERROR(VLOOKUP(A149&amp;$I$2,ODDS!A148:$K$50000,3,0)," ")</f>
        <v xml:space="preserve"> </v>
      </c>
      <c r="C149" s="53" t="str">
        <f>IFERROR(VLOOKUP(A149&amp;$I$2,ODDS!A148:$K$50000,4,0)," ")</f>
        <v xml:space="preserve"> </v>
      </c>
      <c r="D149" s="53" t="str">
        <f>IFERROR(VLOOKUP(A149&amp;$I$2,ODDS!A148:$K$50000,6,0)," ")</f>
        <v xml:space="preserve"> </v>
      </c>
      <c r="E149" s="53" t="s">
        <v>211</v>
      </c>
      <c r="F149" s="53" t="str">
        <f>IFERROR(VLOOKUP(A149&amp;$I$2,ODDS!A148:$K$50000,7,0)," ")</f>
        <v xml:space="preserve"> </v>
      </c>
      <c r="G149" s="53" t="str">
        <f>IFERROR(VLOOKUP(A149&amp;$I$2,ODDS!A148:$K$50000,5,0)," ")</f>
        <v xml:space="preserve"> </v>
      </c>
      <c r="H149" s="53" t="str">
        <f t="shared" si="7"/>
        <v xml:space="preserve"> </v>
      </c>
      <c r="I149" s="22"/>
      <c r="J149" s="22"/>
      <c r="K149" s="22"/>
      <c r="L149" s="60" t="str">
        <f>IFERROR(VLOOKUP(A149&amp;$K$2,ODDS!B148:$K$50000,2,0)," ")</f>
        <v xml:space="preserve"> </v>
      </c>
      <c r="M149" s="39" t="str">
        <f>IFERROR(VLOOKUP(A149&amp;$K$2,ODDS!B148:$K$50000,3,0)," ")</f>
        <v xml:space="preserve"> </v>
      </c>
      <c r="N149" s="53" t="str">
        <f>IFERROR(VLOOKUP(A149&amp;$K$2,ODDS!B148:$K$50000,5,0)," ")</f>
        <v xml:space="preserve"> </v>
      </c>
      <c r="O149" s="53" t="s">
        <v>211</v>
      </c>
      <c r="P149" s="53" t="str">
        <f>IFERROR(VLOOKUP(A149&amp;$K$2,ODDS!B148:$K$50000,6,0)," ")</f>
        <v xml:space="preserve"> </v>
      </c>
      <c r="Q149" s="39" t="str">
        <f>IFERROR(VLOOKUP(A149&amp;$K$2,ODDS!B148:$K$50000,4,0)," ")</f>
        <v xml:space="preserve"> </v>
      </c>
      <c r="R149" s="53" t="str">
        <f t="shared" si="8"/>
        <v xml:space="preserve"> </v>
      </c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</row>
    <row r="150" spans="2:31" x14ac:dyDescent="0.25">
      <c r="B150" s="54" t="str">
        <f>IFERROR(VLOOKUP(A150&amp;$I$2,ODDS!A149:$K$50000,3,0)," ")</f>
        <v xml:space="preserve"> </v>
      </c>
      <c r="C150" s="53" t="str">
        <f>IFERROR(VLOOKUP(A150&amp;$I$2,ODDS!A149:$K$50000,4,0)," ")</f>
        <v xml:space="preserve"> </v>
      </c>
      <c r="D150" s="53" t="str">
        <f>IFERROR(VLOOKUP(A150&amp;$I$2,ODDS!A149:$K$50000,6,0)," ")</f>
        <v xml:space="preserve"> </v>
      </c>
      <c r="E150" s="53" t="s">
        <v>211</v>
      </c>
      <c r="F150" s="53" t="str">
        <f>IFERROR(VLOOKUP(A150&amp;$I$2,ODDS!A149:$K$50000,7,0)," ")</f>
        <v xml:space="preserve"> </v>
      </c>
      <c r="G150" s="53" t="str">
        <f>IFERROR(VLOOKUP(A150&amp;$I$2,ODDS!A149:$K$50000,5,0)," ")</f>
        <v xml:space="preserve"> </v>
      </c>
      <c r="H150" s="53" t="str">
        <f t="shared" si="7"/>
        <v xml:space="preserve"> </v>
      </c>
      <c r="I150" s="22"/>
      <c r="J150" s="22"/>
      <c r="K150" s="22"/>
      <c r="L150" s="60" t="str">
        <f>IFERROR(VLOOKUP(A150&amp;$K$2,ODDS!B149:$K$50000,2,0)," ")</f>
        <v xml:space="preserve"> </v>
      </c>
      <c r="M150" s="39" t="str">
        <f>IFERROR(VLOOKUP(A150&amp;$K$2,ODDS!B149:$K$50000,3,0)," ")</f>
        <v xml:space="preserve"> </v>
      </c>
      <c r="N150" s="53" t="str">
        <f>IFERROR(VLOOKUP(A150&amp;$K$2,ODDS!B149:$K$50000,5,0)," ")</f>
        <v xml:space="preserve"> </v>
      </c>
      <c r="O150" s="53" t="s">
        <v>211</v>
      </c>
      <c r="P150" s="53" t="str">
        <f>IFERROR(VLOOKUP(A150&amp;$K$2,ODDS!B149:$K$50000,6,0)," ")</f>
        <v xml:space="preserve"> </v>
      </c>
      <c r="Q150" s="39" t="str">
        <f>IFERROR(VLOOKUP(A150&amp;$K$2,ODDS!B149:$K$50000,4,0)," ")</f>
        <v xml:space="preserve"> </v>
      </c>
      <c r="R150" s="53" t="str">
        <f t="shared" si="8"/>
        <v xml:space="preserve"> </v>
      </c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 t="s">
        <v>217</v>
      </c>
    </row>
    <row r="151" spans="2:31" x14ac:dyDescent="0.25">
      <c r="B151" s="54" t="str">
        <f>IFERROR(VLOOKUP(A151&amp;$I$2,ODDS!A150:$K$50000,3,0)," ")</f>
        <v xml:space="preserve"> </v>
      </c>
      <c r="C151" s="53" t="str">
        <f>IFERROR(VLOOKUP(A151&amp;$I$2,ODDS!A150:$K$50000,4,0)," ")</f>
        <v xml:space="preserve"> </v>
      </c>
      <c r="D151" s="53" t="str">
        <f>IFERROR(VLOOKUP(A151&amp;$I$2,ODDS!A150:$K$50000,6,0)," ")</f>
        <v xml:space="preserve"> </v>
      </c>
      <c r="E151" s="53" t="s">
        <v>211</v>
      </c>
      <c r="F151" s="53" t="str">
        <f>IFERROR(VLOOKUP(A151&amp;$I$2,ODDS!A150:$K$50000,7,0)," ")</f>
        <v xml:space="preserve"> </v>
      </c>
      <c r="G151" s="53" t="str">
        <f>IFERROR(VLOOKUP(A151&amp;$I$2,ODDS!A150:$K$50000,5,0)," ")</f>
        <v xml:space="preserve"> </v>
      </c>
      <c r="H151" s="53" t="str">
        <f t="shared" si="7"/>
        <v xml:space="preserve"> </v>
      </c>
      <c r="I151" s="22"/>
      <c r="J151" s="22"/>
      <c r="K151" s="22"/>
      <c r="L151" s="60" t="str">
        <f>IFERROR(VLOOKUP(A151&amp;$K$2,ODDS!B150:$K$50000,2,0)," ")</f>
        <v xml:space="preserve"> </v>
      </c>
      <c r="M151" s="39" t="str">
        <f>IFERROR(VLOOKUP(A151&amp;$K$2,ODDS!B150:$K$50000,3,0)," ")</f>
        <v xml:space="preserve"> </v>
      </c>
      <c r="N151" s="53" t="str">
        <f>IFERROR(VLOOKUP(A151&amp;$K$2,ODDS!B150:$K$50000,5,0)," ")</f>
        <v xml:space="preserve"> </v>
      </c>
      <c r="O151" s="53" t="s">
        <v>211</v>
      </c>
      <c r="P151" s="53" t="str">
        <f>IFERROR(VLOOKUP(A151&amp;$K$2,ODDS!B150:$K$50000,6,0)," ")</f>
        <v xml:space="preserve"> </v>
      </c>
      <c r="Q151" s="39" t="str">
        <f>IFERROR(VLOOKUP(A151&amp;$K$2,ODDS!B150:$K$50000,4,0)," ")</f>
        <v xml:space="preserve"> </v>
      </c>
      <c r="R151" s="53" t="str">
        <f t="shared" si="8"/>
        <v xml:space="preserve"> </v>
      </c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</row>
    <row r="152" spans="2:31" x14ac:dyDescent="0.25">
      <c r="B152" s="54" t="str">
        <f>IFERROR(VLOOKUP(A152&amp;$I$2,ODDS!A151:$K$50000,3,0)," ")</f>
        <v xml:space="preserve"> </v>
      </c>
      <c r="C152" s="53" t="str">
        <f>IFERROR(VLOOKUP(A152&amp;$I$2,ODDS!A151:$K$50000,4,0)," ")</f>
        <v xml:space="preserve"> </v>
      </c>
      <c r="D152" s="53" t="str">
        <f>IFERROR(VLOOKUP(A152&amp;$I$2,ODDS!A151:$K$50000,6,0)," ")</f>
        <v xml:space="preserve"> </v>
      </c>
      <c r="E152" s="53" t="s">
        <v>211</v>
      </c>
      <c r="F152" s="53" t="str">
        <f>IFERROR(VLOOKUP(A152&amp;$I$2,ODDS!A151:$K$50000,7,0)," ")</f>
        <v xml:space="preserve"> </v>
      </c>
      <c r="G152" s="53" t="str">
        <f>IFERROR(VLOOKUP(A152&amp;$I$2,ODDS!A151:$K$50000,5,0)," ")</f>
        <v xml:space="preserve"> </v>
      </c>
      <c r="H152" s="53" t="str">
        <f t="shared" si="7"/>
        <v xml:space="preserve"> </v>
      </c>
      <c r="I152" s="22"/>
      <c r="J152" s="22"/>
      <c r="K152" s="22"/>
      <c r="L152" s="60" t="str">
        <f>IFERROR(VLOOKUP(A152&amp;$K$2,ODDS!B151:$K$50000,2,0)," ")</f>
        <v xml:space="preserve"> </v>
      </c>
      <c r="M152" s="39" t="str">
        <f>IFERROR(VLOOKUP(A152&amp;$K$2,ODDS!B151:$K$50000,3,0)," ")</f>
        <v xml:space="preserve"> </v>
      </c>
      <c r="N152" s="53" t="str">
        <f>IFERROR(VLOOKUP(A152&amp;$K$2,ODDS!B151:$K$50000,5,0)," ")</f>
        <v xml:space="preserve"> </v>
      </c>
      <c r="O152" s="53" t="s">
        <v>211</v>
      </c>
      <c r="P152" s="53" t="str">
        <f>IFERROR(VLOOKUP(A152&amp;$K$2,ODDS!B151:$K$50000,6,0)," ")</f>
        <v xml:space="preserve"> </v>
      </c>
      <c r="Q152" s="39" t="str">
        <f>IFERROR(VLOOKUP(A152&amp;$K$2,ODDS!B151:$K$50000,4,0)," ")</f>
        <v xml:space="preserve"> </v>
      </c>
      <c r="R152" s="53" t="str">
        <f t="shared" si="8"/>
        <v xml:space="preserve"> </v>
      </c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 t="s">
        <v>217</v>
      </c>
    </row>
    <row r="153" spans="2:31" x14ac:dyDescent="0.25">
      <c r="B153" s="54" t="str">
        <f>IFERROR(VLOOKUP(A153&amp;$I$2,ODDS!A152:$K$50000,3,0)," ")</f>
        <v xml:space="preserve"> </v>
      </c>
      <c r="C153" s="53" t="str">
        <f>IFERROR(VLOOKUP(A153&amp;$I$2,ODDS!A152:$K$50000,4,0)," ")</f>
        <v xml:space="preserve"> </v>
      </c>
      <c r="D153" s="53" t="str">
        <f>IFERROR(VLOOKUP(A153&amp;$I$2,ODDS!A152:$K$50000,6,0)," ")</f>
        <v xml:space="preserve"> </v>
      </c>
      <c r="E153" s="53" t="s">
        <v>211</v>
      </c>
      <c r="F153" s="53" t="str">
        <f>IFERROR(VLOOKUP(A153&amp;$I$2,ODDS!A152:$K$50000,7,0)," ")</f>
        <v xml:space="preserve"> </v>
      </c>
      <c r="G153" s="53" t="str">
        <f>IFERROR(VLOOKUP(A153&amp;$I$2,ODDS!A152:$K$50000,5,0)," ")</f>
        <v xml:space="preserve"> </v>
      </c>
      <c r="H153" s="53" t="str">
        <f t="shared" si="7"/>
        <v xml:space="preserve"> </v>
      </c>
      <c r="I153" s="22"/>
      <c r="J153" s="22"/>
      <c r="K153" s="22"/>
      <c r="L153" s="60" t="str">
        <f>IFERROR(VLOOKUP(A153&amp;$K$2,ODDS!B152:$K$50000,2,0)," ")</f>
        <v xml:space="preserve"> </v>
      </c>
      <c r="M153" s="39" t="str">
        <f>IFERROR(VLOOKUP(A153&amp;$K$2,ODDS!B152:$K$50000,3,0)," ")</f>
        <v xml:space="preserve"> </v>
      </c>
      <c r="N153" s="53" t="str">
        <f>IFERROR(VLOOKUP(A153&amp;$K$2,ODDS!B152:$K$50000,5,0)," ")</f>
        <v xml:space="preserve"> </v>
      </c>
      <c r="O153" s="53" t="s">
        <v>211</v>
      </c>
      <c r="P153" s="53" t="str">
        <f>IFERROR(VLOOKUP(A153&amp;$K$2,ODDS!B152:$K$50000,6,0)," ")</f>
        <v xml:space="preserve"> </v>
      </c>
      <c r="Q153" s="39" t="str">
        <f>IFERROR(VLOOKUP(A153&amp;$K$2,ODDS!B152:$K$50000,4,0)," ")</f>
        <v xml:space="preserve"> </v>
      </c>
      <c r="R153" s="53" t="str">
        <f t="shared" si="8"/>
        <v xml:space="preserve"> </v>
      </c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</row>
    <row r="154" spans="2:31" x14ac:dyDescent="0.25">
      <c r="B154" s="54" t="str">
        <f>IFERROR(VLOOKUP(A154&amp;$I$2,ODDS!A153:$K$50000,3,0)," ")</f>
        <v xml:space="preserve"> </v>
      </c>
      <c r="C154" s="53" t="str">
        <f>IFERROR(VLOOKUP(A154&amp;$I$2,ODDS!A153:$K$50000,4,0)," ")</f>
        <v xml:space="preserve"> </v>
      </c>
      <c r="D154" s="53" t="str">
        <f>IFERROR(VLOOKUP(A154&amp;$I$2,ODDS!A153:$K$50000,6,0)," ")</f>
        <v xml:space="preserve"> </v>
      </c>
      <c r="E154" s="53" t="s">
        <v>211</v>
      </c>
      <c r="F154" s="53" t="str">
        <f>IFERROR(VLOOKUP(A154&amp;$I$2,ODDS!A153:$K$50000,7,0)," ")</f>
        <v xml:space="preserve"> </v>
      </c>
      <c r="G154" s="53" t="str">
        <f>IFERROR(VLOOKUP(A154&amp;$I$2,ODDS!A153:$K$50000,5,0)," ")</f>
        <v xml:space="preserve"> </v>
      </c>
      <c r="H154" s="53" t="str">
        <f t="shared" si="7"/>
        <v xml:space="preserve"> </v>
      </c>
      <c r="I154" s="22"/>
      <c r="J154" s="22"/>
      <c r="K154" s="22"/>
      <c r="L154" s="60" t="str">
        <f>IFERROR(VLOOKUP(A154&amp;$K$2,ODDS!B153:$K$50000,2,0)," ")</f>
        <v xml:space="preserve"> </v>
      </c>
      <c r="M154" s="39" t="str">
        <f>IFERROR(VLOOKUP(A154&amp;$K$2,ODDS!B153:$K$50000,3,0)," ")</f>
        <v xml:space="preserve"> </v>
      </c>
      <c r="N154" s="53" t="str">
        <f>IFERROR(VLOOKUP(A154&amp;$K$2,ODDS!B153:$K$50000,5,0)," ")</f>
        <v xml:space="preserve"> </v>
      </c>
      <c r="O154" s="53" t="s">
        <v>211</v>
      </c>
      <c r="P154" s="53" t="str">
        <f>IFERROR(VLOOKUP(A154&amp;$K$2,ODDS!B153:$K$50000,6,0)," ")</f>
        <v xml:space="preserve"> </v>
      </c>
      <c r="Q154" s="39" t="str">
        <f>IFERROR(VLOOKUP(A154&amp;$K$2,ODDS!B153:$K$50000,4,0)," ")</f>
        <v xml:space="preserve"> </v>
      </c>
      <c r="R154" s="53" t="str">
        <f t="shared" si="8"/>
        <v xml:space="preserve"> </v>
      </c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 t="s">
        <v>217</v>
      </c>
    </row>
    <row r="155" spans="2:31" x14ac:dyDescent="0.25">
      <c r="B155" s="54" t="str">
        <f>IFERROR(VLOOKUP(A155&amp;$I$2,ODDS!A154:$K$50000,3,0)," ")</f>
        <v xml:space="preserve"> </v>
      </c>
      <c r="C155" s="53" t="str">
        <f>IFERROR(VLOOKUP(A155&amp;$I$2,ODDS!A154:$K$50000,4,0)," ")</f>
        <v xml:space="preserve"> </v>
      </c>
      <c r="D155" s="53" t="str">
        <f>IFERROR(VLOOKUP(A155&amp;$I$2,ODDS!A154:$K$50000,6,0)," ")</f>
        <v xml:space="preserve"> </v>
      </c>
      <c r="E155" s="53" t="s">
        <v>211</v>
      </c>
      <c r="F155" s="53" t="str">
        <f>IFERROR(VLOOKUP(A155&amp;$I$2,ODDS!A154:$K$50000,7,0)," ")</f>
        <v xml:space="preserve"> </v>
      </c>
      <c r="G155" s="53" t="str">
        <f>IFERROR(VLOOKUP(A155&amp;$I$2,ODDS!A154:$K$50000,5,0)," ")</f>
        <v xml:space="preserve"> </v>
      </c>
      <c r="H155" s="53" t="str">
        <f t="shared" si="7"/>
        <v xml:space="preserve"> </v>
      </c>
      <c r="I155" s="22"/>
      <c r="J155" s="22"/>
      <c r="K155" s="22"/>
      <c r="L155" s="60" t="str">
        <f>IFERROR(VLOOKUP(A155&amp;$K$2,ODDS!B154:$K$50000,2,0)," ")</f>
        <v xml:space="preserve"> </v>
      </c>
      <c r="M155" s="39" t="str">
        <f>IFERROR(VLOOKUP(A155&amp;$K$2,ODDS!B154:$K$50000,3,0)," ")</f>
        <v xml:space="preserve"> </v>
      </c>
      <c r="N155" s="53" t="str">
        <f>IFERROR(VLOOKUP(A155&amp;$K$2,ODDS!B154:$K$50000,5,0)," ")</f>
        <v xml:space="preserve"> </v>
      </c>
      <c r="O155" s="53" t="s">
        <v>211</v>
      </c>
      <c r="P155" s="53" t="str">
        <f>IFERROR(VLOOKUP(A155&amp;$K$2,ODDS!B154:$K$50000,6,0)," ")</f>
        <v xml:space="preserve"> </v>
      </c>
      <c r="Q155" s="39" t="str">
        <f>IFERROR(VLOOKUP(A155&amp;$K$2,ODDS!B154:$K$50000,4,0)," ")</f>
        <v xml:space="preserve"> </v>
      </c>
      <c r="R155" s="53" t="str">
        <f t="shared" si="8"/>
        <v xml:space="preserve"> </v>
      </c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</row>
    <row r="156" spans="2:31" x14ac:dyDescent="0.25">
      <c r="B156" s="54" t="str">
        <f>IFERROR(VLOOKUP(A156&amp;$I$2,ODDS!A155:$K$50000,3,0)," ")</f>
        <v xml:space="preserve"> </v>
      </c>
      <c r="C156" s="53" t="str">
        <f>IFERROR(VLOOKUP(A156&amp;$I$2,ODDS!A155:$K$50000,4,0)," ")</f>
        <v xml:space="preserve"> </v>
      </c>
      <c r="D156" s="53" t="str">
        <f>IFERROR(VLOOKUP(A156&amp;$I$2,ODDS!A155:$K$50000,6,0)," ")</f>
        <v xml:space="preserve"> </v>
      </c>
      <c r="E156" s="53" t="s">
        <v>211</v>
      </c>
      <c r="F156" s="53" t="str">
        <f>IFERROR(VLOOKUP(A156&amp;$I$2,ODDS!A155:$K$50000,7,0)," ")</f>
        <v xml:space="preserve"> </v>
      </c>
      <c r="G156" s="53" t="str">
        <f>IFERROR(VLOOKUP(A156&amp;$I$2,ODDS!A155:$K$50000,5,0)," ")</f>
        <v xml:space="preserve"> </v>
      </c>
      <c r="H156" s="53" t="str">
        <f t="shared" si="7"/>
        <v xml:space="preserve"> </v>
      </c>
      <c r="I156" s="22"/>
      <c r="J156" s="22"/>
      <c r="K156" s="22"/>
      <c r="L156" s="60" t="str">
        <f>IFERROR(VLOOKUP(A156&amp;$K$2,ODDS!B155:$K$50000,2,0)," ")</f>
        <v xml:space="preserve"> </v>
      </c>
      <c r="M156" s="39" t="str">
        <f>IFERROR(VLOOKUP(A156&amp;$K$2,ODDS!B155:$K$50000,3,0)," ")</f>
        <v xml:space="preserve"> </v>
      </c>
      <c r="N156" s="53" t="str">
        <f>IFERROR(VLOOKUP(A156&amp;$K$2,ODDS!B155:$K$50000,5,0)," ")</f>
        <v xml:space="preserve"> </v>
      </c>
      <c r="O156" s="53" t="s">
        <v>211</v>
      </c>
      <c r="P156" s="53" t="str">
        <f>IFERROR(VLOOKUP(A156&amp;$K$2,ODDS!B155:$K$50000,6,0)," ")</f>
        <v xml:space="preserve"> </v>
      </c>
      <c r="Q156" s="39" t="str">
        <f>IFERROR(VLOOKUP(A156&amp;$K$2,ODDS!B155:$K$50000,4,0)," ")</f>
        <v xml:space="preserve"> </v>
      </c>
      <c r="R156" s="53" t="str">
        <f t="shared" si="8"/>
        <v xml:space="preserve"> </v>
      </c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 t="s">
        <v>217</v>
      </c>
    </row>
    <row r="157" spans="2:31" x14ac:dyDescent="0.25">
      <c r="B157" s="54" t="str">
        <f>IFERROR(VLOOKUP(A157&amp;$I$2,ODDS!A156:$K$50000,3,0)," ")</f>
        <v xml:space="preserve"> </v>
      </c>
      <c r="C157" s="53" t="str">
        <f>IFERROR(VLOOKUP(A157&amp;$I$2,ODDS!A156:$K$50000,4,0)," ")</f>
        <v xml:space="preserve"> </v>
      </c>
      <c r="D157" s="53" t="str">
        <f>IFERROR(VLOOKUP(A157&amp;$I$2,ODDS!A156:$K$50000,6,0)," ")</f>
        <v xml:space="preserve"> </v>
      </c>
      <c r="E157" s="53" t="s">
        <v>211</v>
      </c>
      <c r="F157" s="53" t="str">
        <f>IFERROR(VLOOKUP(A157&amp;$I$2,ODDS!A156:$K$50000,7,0)," ")</f>
        <v xml:space="preserve"> </v>
      </c>
      <c r="G157" s="53" t="str">
        <f>IFERROR(VLOOKUP(A157&amp;$I$2,ODDS!A156:$K$50000,5,0)," ")</f>
        <v xml:space="preserve"> </v>
      </c>
      <c r="H157" s="53" t="str">
        <f t="shared" si="7"/>
        <v xml:space="preserve"> </v>
      </c>
      <c r="I157" s="22"/>
      <c r="J157" s="22"/>
      <c r="K157" s="22"/>
      <c r="L157" s="60" t="str">
        <f>IFERROR(VLOOKUP(A157&amp;$K$2,ODDS!B156:$K$50000,2,0)," ")</f>
        <v xml:space="preserve"> </v>
      </c>
      <c r="M157" s="39" t="str">
        <f>IFERROR(VLOOKUP(A157&amp;$K$2,ODDS!B156:$K$50000,3,0)," ")</f>
        <v xml:space="preserve"> </v>
      </c>
      <c r="N157" s="53" t="str">
        <f>IFERROR(VLOOKUP(A157&amp;$K$2,ODDS!B156:$K$50000,5,0)," ")</f>
        <v xml:space="preserve"> </v>
      </c>
      <c r="O157" s="53" t="s">
        <v>211</v>
      </c>
      <c r="P157" s="53" t="str">
        <f>IFERROR(VLOOKUP(A157&amp;$K$2,ODDS!B156:$K$50000,6,0)," ")</f>
        <v xml:space="preserve"> </v>
      </c>
      <c r="Q157" s="39" t="str">
        <f>IFERROR(VLOOKUP(A157&amp;$K$2,ODDS!B156:$K$50000,4,0)," ")</f>
        <v xml:space="preserve"> </v>
      </c>
      <c r="R157" s="53" t="str">
        <f t="shared" si="8"/>
        <v xml:space="preserve"> </v>
      </c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</row>
    <row r="158" spans="2:31" x14ac:dyDescent="0.25">
      <c r="B158" s="54" t="str">
        <f>IFERROR(VLOOKUP(A158&amp;$I$2,ODDS!A157:$K$50000,3,0)," ")</f>
        <v xml:space="preserve"> </v>
      </c>
      <c r="C158" s="53" t="str">
        <f>IFERROR(VLOOKUP(A158&amp;$I$2,ODDS!A157:$K$50000,4,0)," ")</f>
        <v xml:space="preserve"> </v>
      </c>
      <c r="D158" s="53" t="str">
        <f>IFERROR(VLOOKUP(A158&amp;$I$2,ODDS!A157:$K$50000,6,0)," ")</f>
        <v xml:space="preserve"> </v>
      </c>
      <c r="E158" s="53" t="s">
        <v>211</v>
      </c>
      <c r="F158" s="53" t="str">
        <f>IFERROR(VLOOKUP(A158&amp;$I$2,ODDS!A157:$K$50000,7,0)," ")</f>
        <v xml:space="preserve"> </v>
      </c>
      <c r="G158" s="53" t="str">
        <f>IFERROR(VLOOKUP(A158&amp;$I$2,ODDS!A157:$K$50000,5,0)," ")</f>
        <v xml:space="preserve"> </v>
      </c>
      <c r="H158" s="53" t="str">
        <f t="shared" si="7"/>
        <v xml:space="preserve"> </v>
      </c>
      <c r="I158" s="22"/>
      <c r="J158" s="22"/>
      <c r="K158" s="22"/>
      <c r="L158" s="60" t="str">
        <f>IFERROR(VLOOKUP(A158&amp;$K$2,ODDS!B157:$K$50000,2,0)," ")</f>
        <v xml:space="preserve"> </v>
      </c>
      <c r="M158" s="39" t="str">
        <f>IFERROR(VLOOKUP(A158&amp;$K$2,ODDS!B157:$K$50000,3,0)," ")</f>
        <v xml:space="preserve"> </v>
      </c>
      <c r="N158" s="53" t="str">
        <f>IFERROR(VLOOKUP(A158&amp;$K$2,ODDS!B157:$K$50000,5,0)," ")</f>
        <v xml:space="preserve"> </v>
      </c>
      <c r="O158" s="53" t="s">
        <v>211</v>
      </c>
      <c r="P158" s="53" t="str">
        <f>IFERROR(VLOOKUP(A158&amp;$K$2,ODDS!B157:$K$50000,6,0)," ")</f>
        <v xml:space="preserve"> </v>
      </c>
      <c r="Q158" s="39" t="str">
        <f>IFERROR(VLOOKUP(A158&amp;$K$2,ODDS!B157:$K$50000,4,0)," ")</f>
        <v xml:space="preserve"> </v>
      </c>
      <c r="R158" s="53" t="str">
        <f t="shared" si="8"/>
        <v xml:space="preserve"> </v>
      </c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 t="s">
        <v>217</v>
      </c>
    </row>
    <row r="159" spans="2:31" x14ac:dyDescent="0.25">
      <c r="B159" s="54" t="str">
        <f>IFERROR(VLOOKUP(A159&amp;$I$2,ODDS!A158:$K$50000,3,0)," ")</f>
        <v xml:space="preserve"> </v>
      </c>
      <c r="C159" s="53" t="str">
        <f>IFERROR(VLOOKUP(A159&amp;$I$2,ODDS!A158:$K$50000,4,0)," ")</f>
        <v xml:space="preserve"> </v>
      </c>
      <c r="D159" s="53" t="str">
        <f>IFERROR(VLOOKUP(A159&amp;$I$2,ODDS!A158:$K$50000,6,0)," ")</f>
        <v xml:space="preserve"> </v>
      </c>
      <c r="E159" s="53" t="s">
        <v>211</v>
      </c>
      <c r="F159" s="53" t="str">
        <f>IFERROR(VLOOKUP(A159&amp;$I$2,ODDS!A158:$K$50000,7,0)," ")</f>
        <v xml:space="preserve"> </v>
      </c>
      <c r="G159" s="53" t="str">
        <f>IFERROR(VLOOKUP(A159&amp;$I$2,ODDS!A158:$K$50000,5,0)," ")</f>
        <v xml:space="preserve"> </v>
      </c>
      <c r="H159" s="53" t="str">
        <f t="shared" si="7"/>
        <v xml:space="preserve"> </v>
      </c>
      <c r="I159" s="22"/>
      <c r="J159" s="22"/>
      <c r="K159" s="22"/>
      <c r="L159" s="60" t="str">
        <f>IFERROR(VLOOKUP(A159&amp;$K$2,ODDS!B158:$K$50000,2,0)," ")</f>
        <v xml:space="preserve"> </v>
      </c>
      <c r="M159" s="39" t="str">
        <f>IFERROR(VLOOKUP(A159&amp;$K$2,ODDS!B158:$K$50000,3,0)," ")</f>
        <v xml:space="preserve"> </v>
      </c>
      <c r="N159" s="53" t="str">
        <f>IFERROR(VLOOKUP(A159&amp;$K$2,ODDS!B158:$K$50000,5,0)," ")</f>
        <v xml:space="preserve"> </v>
      </c>
      <c r="O159" s="53" t="s">
        <v>211</v>
      </c>
      <c r="P159" s="53" t="str">
        <f>IFERROR(VLOOKUP(A159&amp;$K$2,ODDS!B158:$K$50000,6,0)," ")</f>
        <v xml:space="preserve"> </v>
      </c>
      <c r="Q159" s="39" t="str">
        <f>IFERROR(VLOOKUP(A159&amp;$K$2,ODDS!B158:$K$50000,4,0)," ")</f>
        <v xml:space="preserve"> </v>
      </c>
      <c r="R159" s="53" t="str">
        <f t="shared" si="8"/>
        <v xml:space="preserve"> </v>
      </c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</row>
    <row r="160" spans="2:31" x14ac:dyDescent="0.25">
      <c r="B160" s="54" t="str">
        <f>IFERROR(VLOOKUP(A160&amp;$I$2,ODDS!A159:$K$50000,3,0)," ")</f>
        <v xml:space="preserve"> </v>
      </c>
      <c r="C160" s="53" t="str">
        <f>IFERROR(VLOOKUP(A160&amp;$I$2,ODDS!A159:$K$50000,4,0)," ")</f>
        <v xml:space="preserve"> </v>
      </c>
      <c r="D160" s="53" t="str">
        <f>IFERROR(VLOOKUP(A160&amp;$I$2,ODDS!A159:$K$50000,6,0)," ")</f>
        <v xml:space="preserve"> </v>
      </c>
      <c r="E160" s="53" t="s">
        <v>211</v>
      </c>
      <c r="F160" s="53" t="str">
        <f>IFERROR(VLOOKUP(A160&amp;$I$2,ODDS!A159:$K$50000,7,0)," ")</f>
        <v xml:space="preserve"> </v>
      </c>
      <c r="G160" s="53" t="str">
        <f>IFERROR(VLOOKUP(A160&amp;$I$2,ODDS!A159:$K$50000,5,0)," ")</f>
        <v xml:space="preserve"> </v>
      </c>
      <c r="H160" s="53" t="str">
        <f t="shared" si="7"/>
        <v xml:space="preserve"> </v>
      </c>
      <c r="I160" s="22"/>
      <c r="J160" s="22"/>
      <c r="K160" s="22"/>
      <c r="L160" s="60" t="str">
        <f>IFERROR(VLOOKUP(A160&amp;$K$2,ODDS!B159:$K$50000,2,0)," ")</f>
        <v xml:space="preserve"> </v>
      </c>
      <c r="M160" s="39" t="str">
        <f>IFERROR(VLOOKUP(A160&amp;$K$2,ODDS!B159:$K$50000,3,0)," ")</f>
        <v xml:space="preserve"> </v>
      </c>
      <c r="N160" s="53" t="str">
        <f>IFERROR(VLOOKUP(A160&amp;$K$2,ODDS!B159:$K$50000,5,0)," ")</f>
        <v xml:space="preserve"> </v>
      </c>
      <c r="O160" s="53" t="s">
        <v>211</v>
      </c>
      <c r="P160" s="53" t="str">
        <f>IFERROR(VLOOKUP(A160&amp;$K$2,ODDS!B159:$K$50000,6,0)," ")</f>
        <v xml:space="preserve"> </v>
      </c>
      <c r="Q160" s="39" t="str">
        <f>IFERROR(VLOOKUP(A160&amp;$K$2,ODDS!B159:$K$50000,4,0)," ")</f>
        <v xml:space="preserve"> </v>
      </c>
      <c r="R160" s="53" t="str">
        <f t="shared" si="8"/>
        <v xml:space="preserve"> </v>
      </c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 t="s">
        <v>217</v>
      </c>
    </row>
    <row r="161" spans="2:31" x14ac:dyDescent="0.25">
      <c r="B161" s="54" t="str">
        <f>IFERROR(VLOOKUP(A161&amp;$I$2,ODDS!A160:$K$50000,3,0)," ")</f>
        <v xml:space="preserve"> </v>
      </c>
      <c r="C161" s="53" t="str">
        <f>IFERROR(VLOOKUP(A161&amp;$I$2,ODDS!A160:$K$50000,4,0)," ")</f>
        <v xml:space="preserve"> </v>
      </c>
      <c r="D161" s="53" t="str">
        <f>IFERROR(VLOOKUP(A161&amp;$I$2,ODDS!A160:$K$50000,6,0)," ")</f>
        <v xml:space="preserve"> </v>
      </c>
      <c r="E161" s="53" t="s">
        <v>211</v>
      </c>
      <c r="F161" s="53" t="str">
        <f>IFERROR(VLOOKUP(A161&amp;$I$2,ODDS!A160:$K$50000,7,0)," ")</f>
        <v xml:space="preserve"> </v>
      </c>
      <c r="G161" s="53" t="str">
        <f>IFERROR(VLOOKUP(A161&amp;$I$2,ODDS!A160:$K$50000,5,0)," ")</f>
        <v xml:space="preserve"> </v>
      </c>
      <c r="H161" s="53" t="str">
        <f t="shared" si="7"/>
        <v xml:space="preserve"> </v>
      </c>
      <c r="I161" s="22"/>
      <c r="J161" s="22"/>
      <c r="K161" s="22"/>
      <c r="L161" s="60" t="str">
        <f>IFERROR(VLOOKUP(A161&amp;$K$2,ODDS!B160:$K$50000,2,0)," ")</f>
        <v xml:space="preserve"> </v>
      </c>
      <c r="M161" s="39" t="str">
        <f>IFERROR(VLOOKUP(A161&amp;$K$2,ODDS!B160:$K$50000,3,0)," ")</f>
        <v xml:space="preserve"> </v>
      </c>
      <c r="N161" s="53" t="str">
        <f>IFERROR(VLOOKUP(A161&amp;$K$2,ODDS!B160:$K$50000,5,0)," ")</f>
        <v xml:space="preserve"> </v>
      </c>
      <c r="O161" s="53" t="s">
        <v>211</v>
      </c>
      <c r="P161" s="53" t="str">
        <f>IFERROR(VLOOKUP(A161&amp;$K$2,ODDS!B160:$K$50000,6,0)," ")</f>
        <v xml:space="preserve"> </v>
      </c>
      <c r="Q161" s="39" t="str">
        <f>IFERROR(VLOOKUP(A161&amp;$K$2,ODDS!B160:$K$50000,4,0)," ")</f>
        <v xml:space="preserve"> </v>
      </c>
      <c r="R161" s="53" t="str">
        <f t="shared" si="8"/>
        <v xml:space="preserve"> </v>
      </c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</row>
    <row r="162" spans="2:31" x14ac:dyDescent="0.25">
      <c r="B162" s="54" t="str">
        <f>IFERROR(VLOOKUP(A162&amp;$I$2,ODDS!A161:$K$50000,3,0)," ")</f>
        <v xml:space="preserve"> </v>
      </c>
      <c r="C162" s="53" t="str">
        <f>IFERROR(VLOOKUP(A162&amp;$I$2,ODDS!A161:$K$50000,4,0)," ")</f>
        <v xml:space="preserve"> </v>
      </c>
      <c r="D162" s="53" t="str">
        <f>IFERROR(VLOOKUP(A162&amp;$I$2,ODDS!A161:$K$50000,6,0)," ")</f>
        <v xml:space="preserve"> </v>
      </c>
      <c r="E162" s="53" t="s">
        <v>211</v>
      </c>
      <c r="F162" s="53" t="str">
        <f>IFERROR(VLOOKUP(A162&amp;$I$2,ODDS!A161:$K$50000,7,0)," ")</f>
        <v xml:space="preserve"> </v>
      </c>
      <c r="G162" s="53" t="str">
        <f>IFERROR(VLOOKUP(A162&amp;$I$2,ODDS!A161:$K$50000,5,0)," ")</f>
        <v xml:space="preserve"> </v>
      </c>
      <c r="H162" s="53" t="str">
        <f t="shared" si="7"/>
        <v xml:space="preserve"> </v>
      </c>
      <c r="I162" s="22"/>
      <c r="J162" s="22"/>
      <c r="K162" s="22"/>
      <c r="L162" s="60" t="str">
        <f>IFERROR(VLOOKUP(A162&amp;$K$2,ODDS!B161:$K$50000,2,0)," ")</f>
        <v xml:space="preserve"> </v>
      </c>
      <c r="M162" s="39" t="str">
        <f>IFERROR(VLOOKUP(A162&amp;$K$2,ODDS!B161:$K$50000,3,0)," ")</f>
        <v xml:space="preserve"> </v>
      </c>
      <c r="N162" s="53" t="str">
        <f>IFERROR(VLOOKUP(A162&amp;$K$2,ODDS!B161:$K$50000,5,0)," ")</f>
        <v xml:space="preserve"> </v>
      </c>
      <c r="O162" s="53" t="s">
        <v>211</v>
      </c>
      <c r="P162" s="53" t="str">
        <f>IFERROR(VLOOKUP(A162&amp;$K$2,ODDS!B161:$K$50000,6,0)," ")</f>
        <v xml:space="preserve"> </v>
      </c>
      <c r="Q162" s="39" t="str">
        <f>IFERROR(VLOOKUP(A162&amp;$K$2,ODDS!B161:$K$50000,4,0)," ")</f>
        <v xml:space="preserve"> </v>
      </c>
      <c r="R162" s="53" t="str">
        <f t="shared" si="8"/>
        <v xml:space="preserve"> </v>
      </c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 t="s">
        <v>217</v>
      </c>
    </row>
    <row r="163" spans="2:31" x14ac:dyDescent="0.25">
      <c r="B163" s="54" t="str">
        <f>IFERROR(VLOOKUP(A163&amp;$I$2,ODDS!A162:$K$50000,3,0)," ")</f>
        <v xml:space="preserve"> </v>
      </c>
      <c r="C163" s="53" t="str">
        <f>IFERROR(VLOOKUP(A163&amp;$I$2,ODDS!A162:$K$50000,4,0)," ")</f>
        <v xml:space="preserve"> </v>
      </c>
      <c r="D163" s="53" t="str">
        <f>IFERROR(VLOOKUP(A163&amp;$I$2,ODDS!A162:$K$50000,6,0)," ")</f>
        <v xml:space="preserve"> </v>
      </c>
      <c r="E163" s="53" t="s">
        <v>211</v>
      </c>
      <c r="F163" s="53" t="str">
        <f>IFERROR(VLOOKUP(A163&amp;$I$2,ODDS!A162:$K$50000,7,0)," ")</f>
        <v xml:space="preserve"> </v>
      </c>
      <c r="G163" s="53" t="str">
        <f>IFERROR(VLOOKUP(A163&amp;$I$2,ODDS!A162:$K$50000,5,0)," ")</f>
        <v xml:space="preserve"> </v>
      </c>
      <c r="H163" s="53" t="str">
        <f t="shared" si="7"/>
        <v xml:space="preserve"> </v>
      </c>
      <c r="I163" s="22"/>
      <c r="J163" s="22"/>
      <c r="K163" s="22"/>
      <c r="L163" s="60" t="str">
        <f>IFERROR(VLOOKUP(A163&amp;$K$2,ODDS!B162:$K$50000,2,0)," ")</f>
        <v xml:space="preserve"> </v>
      </c>
      <c r="M163" s="39" t="str">
        <f>IFERROR(VLOOKUP(A163&amp;$K$2,ODDS!B162:$K$50000,3,0)," ")</f>
        <v xml:space="preserve"> </v>
      </c>
      <c r="N163" s="53" t="str">
        <f>IFERROR(VLOOKUP(A163&amp;$K$2,ODDS!B162:$K$50000,5,0)," ")</f>
        <v xml:space="preserve"> </v>
      </c>
      <c r="O163" s="53" t="s">
        <v>211</v>
      </c>
      <c r="P163" s="53" t="str">
        <f>IFERROR(VLOOKUP(A163&amp;$K$2,ODDS!B162:$K$50000,6,0)," ")</f>
        <v xml:space="preserve"> </v>
      </c>
      <c r="Q163" s="39" t="str">
        <f>IFERROR(VLOOKUP(A163&amp;$K$2,ODDS!B162:$K$50000,4,0)," ")</f>
        <v xml:space="preserve"> </v>
      </c>
      <c r="R163" s="53" t="str">
        <f t="shared" si="8"/>
        <v xml:space="preserve"> </v>
      </c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</row>
    <row r="164" spans="2:31" x14ac:dyDescent="0.25">
      <c r="B164" s="54" t="str">
        <f>IFERROR(VLOOKUP(A164&amp;$I$2,ODDS!A163:$K$50000,3,0)," ")</f>
        <v xml:space="preserve"> </v>
      </c>
      <c r="C164" s="53" t="str">
        <f>IFERROR(VLOOKUP(A164&amp;$I$2,ODDS!A163:$K$50000,4,0)," ")</f>
        <v xml:space="preserve"> </v>
      </c>
      <c r="D164" s="53" t="str">
        <f>IFERROR(VLOOKUP(A164&amp;$I$2,ODDS!A163:$K$50000,6,0)," ")</f>
        <v xml:space="preserve"> </v>
      </c>
      <c r="E164" s="53" t="s">
        <v>211</v>
      </c>
      <c r="F164" s="53" t="str">
        <f>IFERROR(VLOOKUP(A164&amp;$I$2,ODDS!A163:$K$50000,7,0)," ")</f>
        <v xml:space="preserve"> </v>
      </c>
      <c r="G164" s="53" t="str">
        <f>IFERROR(VLOOKUP(A164&amp;$I$2,ODDS!A163:$K$50000,5,0)," ")</f>
        <v xml:space="preserve"> </v>
      </c>
      <c r="H164" s="53" t="str">
        <f t="shared" si="7"/>
        <v xml:space="preserve"> </v>
      </c>
      <c r="I164" s="22"/>
      <c r="J164" s="22"/>
      <c r="K164" s="22"/>
      <c r="L164" s="60" t="str">
        <f>IFERROR(VLOOKUP(A164&amp;$K$2,ODDS!B163:$K$50000,2,0)," ")</f>
        <v xml:space="preserve"> </v>
      </c>
      <c r="M164" s="39" t="str">
        <f>IFERROR(VLOOKUP(A164&amp;$K$2,ODDS!B163:$K$50000,3,0)," ")</f>
        <v xml:space="preserve"> </v>
      </c>
      <c r="N164" s="53" t="str">
        <f>IFERROR(VLOOKUP(A164&amp;$K$2,ODDS!B163:$K$50000,5,0)," ")</f>
        <v xml:space="preserve"> </v>
      </c>
      <c r="O164" s="53" t="s">
        <v>211</v>
      </c>
      <c r="P164" s="53" t="str">
        <f>IFERROR(VLOOKUP(A164&amp;$K$2,ODDS!B163:$K$50000,6,0)," ")</f>
        <v xml:space="preserve"> </v>
      </c>
      <c r="Q164" s="39" t="str">
        <f>IFERROR(VLOOKUP(A164&amp;$K$2,ODDS!B163:$K$50000,4,0)," ")</f>
        <v xml:space="preserve"> </v>
      </c>
      <c r="R164" s="53" t="str">
        <f t="shared" si="8"/>
        <v xml:space="preserve"> </v>
      </c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 t="s">
        <v>217</v>
      </c>
    </row>
    <row r="165" spans="2:31" x14ac:dyDescent="0.25">
      <c r="B165" s="54" t="str">
        <f>IFERROR(VLOOKUP(A165&amp;$I$2,ODDS!A164:$K$50000,3,0)," ")</f>
        <v xml:space="preserve"> </v>
      </c>
      <c r="C165" s="53" t="str">
        <f>IFERROR(VLOOKUP(A165&amp;$I$2,ODDS!A164:$K$50000,4,0)," ")</f>
        <v xml:space="preserve"> </v>
      </c>
      <c r="D165" s="53" t="str">
        <f>IFERROR(VLOOKUP(A165&amp;$I$2,ODDS!A164:$K$50000,6,0)," ")</f>
        <v xml:space="preserve"> </v>
      </c>
      <c r="E165" s="53" t="s">
        <v>211</v>
      </c>
      <c r="F165" s="53" t="str">
        <f>IFERROR(VLOOKUP(A165&amp;$I$2,ODDS!A164:$K$50000,7,0)," ")</f>
        <v xml:space="preserve"> </v>
      </c>
      <c r="G165" s="53" t="str">
        <f>IFERROR(VLOOKUP(A165&amp;$I$2,ODDS!A164:$K$50000,5,0)," ")</f>
        <v xml:space="preserve"> </v>
      </c>
      <c r="H165" s="53" t="str">
        <f t="shared" si="7"/>
        <v xml:space="preserve"> </v>
      </c>
      <c r="I165" s="22"/>
      <c r="J165" s="22"/>
      <c r="K165" s="22"/>
      <c r="L165" s="60" t="str">
        <f>IFERROR(VLOOKUP(A165&amp;$K$2,ODDS!B164:$K$50000,2,0)," ")</f>
        <v xml:space="preserve"> </v>
      </c>
      <c r="M165" s="39" t="str">
        <f>IFERROR(VLOOKUP(A165&amp;$K$2,ODDS!B164:$K$50000,3,0)," ")</f>
        <v xml:space="preserve"> </v>
      </c>
      <c r="N165" s="53" t="str">
        <f>IFERROR(VLOOKUP(A165&amp;$K$2,ODDS!B164:$K$50000,5,0)," ")</f>
        <v xml:space="preserve"> </v>
      </c>
      <c r="O165" s="53" t="s">
        <v>211</v>
      </c>
      <c r="P165" s="53" t="str">
        <f>IFERROR(VLOOKUP(A165&amp;$K$2,ODDS!B164:$K$50000,6,0)," ")</f>
        <v xml:space="preserve"> </v>
      </c>
      <c r="Q165" s="39" t="str">
        <f>IFERROR(VLOOKUP(A165&amp;$K$2,ODDS!B164:$K$50000,4,0)," ")</f>
        <v xml:space="preserve"> </v>
      </c>
      <c r="R165" s="53" t="str">
        <f t="shared" si="8"/>
        <v xml:space="preserve"> </v>
      </c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</row>
    <row r="166" spans="2:31" x14ac:dyDescent="0.25">
      <c r="B166" s="54" t="str">
        <f>IFERROR(VLOOKUP(A166&amp;$I$2,ODDS!A165:$K$50000,3,0)," ")</f>
        <v xml:space="preserve"> </v>
      </c>
      <c r="C166" s="53" t="str">
        <f>IFERROR(VLOOKUP(A166&amp;$I$2,ODDS!A165:$K$50000,4,0)," ")</f>
        <v xml:space="preserve"> </v>
      </c>
      <c r="D166" s="53" t="str">
        <f>IFERROR(VLOOKUP(A166&amp;$I$2,ODDS!A165:$K$50000,6,0)," ")</f>
        <v xml:space="preserve"> </v>
      </c>
      <c r="E166" s="53" t="s">
        <v>211</v>
      </c>
      <c r="F166" s="53" t="str">
        <f>IFERROR(VLOOKUP(A166&amp;$I$2,ODDS!A165:$K$50000,7,0)," ")</f>
        <v xml:space="preserve"> </v>
      </c>
      <c r="G166" s="53" t="str">
        <f>IFERROR(VLOOKUP(A166&amp;$I$2,ODDS!A165:$K$50000,5,0)," ")</f>
        <v xml:space="preserve"> </v>
      </c>
      <c r="H166" s="53" t="str">
        <f t="shared" si="7"/>
        <v xml:space="preserve"> </v>
      </c>
      <c r="I166" s="22"/>
      <c r="J166" s="22"/>
      <c r="K166" s="22"/>
      <c r="L166" s="60" t="str">
        <f>IFERROR(VLOOKUP(A166&amp;$K$2,ODDS!B165:$K$50000,2,0)," ")</f>
        <v xml:space="preserve"> </v>
      </c>
      <c r="M166" s="39" t="str">
        <f>IFERROR(VLOOKUP(A166&amp;$K$2,ODDS!B165:$K$50000,3,0)," ")</f>
        <v xml:space="preserve"> </v>
      </c>
      <c r="N166" s="53" t="str">
        <f>IFERROR(VLOOKUP(A166&amp;$K$2,ODDS!B165:$K$50000,5,0)," ")</f>
        <v xml:space="preserve"> </v>
      </c>
      <c r="O166" s="53" t="s">
        <v>211</v>
      </c>
      <c r="P166" s="53" t="str">
        <f>IFERROR(VLOOKUP(A166&amp;$K$2,ODDS!B165:$K$50000,6,0)," ")</f>
        <v xml:space="preserve"> </v>
      </c>
      <c r="Q166" s="39" t="str">
        <f>IFERROR(VLOOKUP(A166&amp;$K$2,ODDS!B165:$K$50000,4,0)," ")</f>
        <v xml:space="preserve"> </v>
      </c>
      <c r="R166" s="53" t="str">
        <f t="shared" si="8"/>
        <v xml:space="preserve"> </v>
      </c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 t="s">
        <v>217</v>
      </c>
    </row>
    <row r="167" spans="2:31" x14ac:dyDescent="0.25">
      <c r="B167" s="54" t="str">
        <f>IFERROR(VLOOKUP(A167&amp;$I$2,ODDS!A166:$K$50000,3,0)," ")</f>
        <v xml:space="preserve"> </v>
      </c>
      <c r="C167" s="53" t="str">
        <f>IFERROR(VLOOKUP(A167&amp;$I$2,ODDS!A166:$K$50000,4,0)," ")</f>
        <v xml:space="preserve"> </v>
      </c>
      <c r="D167" s="53" t="str">
        <f>IFERROR(VLOOKUP(A167&amp;$I$2,ODDS!A166:$K$50000,6,0)," ")</f>
        <v xml:space="preserve"> </v>
      </c>
      <c r="E167" s="53" t="s">
        <v>211</v>
      </c>
      <c r="F167" s="53" t="str">
        <f>IFERROR(VLOOKUP(A167&amp;$I$2,ODDS!A166:$K$50000,7,0)," ")</f>
        <v xml:space="preserve"> </v>
      </c>
      <c r="G167" s="53" t="str">
        <f>IFERROR(VLOOKUP(A167&amp;$I$2,ODDS!A166:$K$50000,5,0)," ")</f>
        <v xml:space="preserve"> </v>
      </c>
      <c r="H167" s="53" t="str">
        <f t="shared" si="7"/>
        <v xml:space="preserve"> </v>
      </c>
      <c r="I167" s="22"/>
      <c r="J167" s="22"/>
      <c r="K167" s="22"/>
      <c r="L167" s="60" t="str">
        <f>IFERROR(VLOOKUP(A167&amp;$K$2,ODDS!B166:$K$50000,2,0)," ")</f>
        <v xml:space="preserve"> </v>
      </c>
      <c r="M167" s="39" t="str">
        <f>IFERROR(VLOOKUP(A167&amp;$K$2,ODDS!B166:$K$50000,3,0)," ")</f>
        <v xml:space="preserve"> </v>
      </c>
      <c r="N167" s="53" t="str">
        <f>IFERROR(VLOOKUP(A167&amp;$K$2,ODDS!B166:$K$50000,5,0)," ")</f>
        <v xml:space="preserve"> </v>
      </c>
      <c r="O167" s="53" t="s">
        <v>211</v>
      </c>
      <c r="P167" s="53" t="str">
        <f>IFERROR(VLOOKUP(A167&amp;$K$2,ODDS!B166:$K$50000,6,0)," ")</f>
        <v xml:space="preserve"> </v>
      </c>
      <c r="Q167" s="39" t="str">
        <f>IFERROR(VLOOKUP(A167&amp;$K$2,ODDS!B166:$K$50000,4,0)," ")</f>
        <v xml:space="preserve"> </v>
      </c>
      <c r="R167" s="53" t="str">
        <f t="shared" si="8"/>
        <v xml:space="preserve"> </v>
      </c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</row>
    <row r="168" spans="2:31" x14ac:dyDescent="0.25">
      <c r="B168" s="54" t="str">
        <f>IFERROR(VLOOKUP(A168&amp;$I$2,ODDS!A167:$K$50000,3,0)," ")</f>
        <v xml:space="preserve"> </v>
      </c>
      <c r="C168" s="53" t="str">
        <f>IFERROR(VLOOKUP(A168&amp;$I$2,ODDS!A167:$K$50000,4,0)," ")</f>
        <v xml:space="preserve"> </v>
      </c>
      <c r="D168" s="53" t="str">
        <f>IFERROR(VLOOKUP(A168&amp;$I$2,ODDS!A167:$K$50000,6,0)," ")</f>
        <v xml:space="preserve"> </v>
      </c>
      <c r="E168" s="53" t="s">
        <v>211</v>
      </c>
      <c r="F168" s="53" t="str">
        <f>IFERROR(VLOOKUP(A168&amp;$I$2,ODDS!A167:$K$50000,7,0)," ")</f>
        <v xml:space="preserve"> </v>
      </c>
      <c r="G168" s="53" t="str">
        <f>IFERROR(VLOOKUP(A168&amp;$I$2,ODDS!A167:$K$50000,5,0)," ")</f>
        <v xml:space="preserve"> </v>
      </c>
      <c r="H168" s="53" t="str">
        <f t="shared" si="7"/>
        <v xml:space="preserve"> </v>
      </c>
      <c r="I168" s="22"/>
      <c r="J168" s="22"/>
      <c r="K168" s="22"/>
      <c r="L168" s="60" t="str">
        <f>IFERROR(VLOOKUP(A168&amp;$K$2,ODDS!B167:$K$50000,2,0)," ")</f>
        <v xml:space="preserve"> </v>
      </c>
      <c r="M168" s="39" t="str">
        <f>IFERROR(VLOOKUP(A168&amp;$K$2,ODDS!B167:$K$50000,3,0)," ")</f>
        <v xml:space="preserve"> </v>
      </c>
      <c r="N168" s="53" t="str">
        <f>IFERROR(VLOOKUP(A168&amp;$K$2,ODDS!B167:$K$50000,5,0)," ")</f>
        <v xml:space="preserve"> </v>
      </c>
      <c r="O168" s="53" t="s">
        <v>211</v>
      </c>
      <c r="P168" s="53" t="str">
        <f>IFERROR(VLOOKUP(A168&amp;$K$2,ODDS!B167:$K$50000,6,0)," ")</f>
        <v xml:space="preserve"> </v>
      </c>
      <c r="Q168" s="39" t="str">
        <f>IFERROR(VLOOKUP(A168&amp;$K$2,ODDS!B167:$K$50000,4,0)," ")</f>
        <v xml:space="preserve"> </v>
      </c>
      <c r="R168" s="53" t="str">
        <f t="shared" si="8"/>
        <v xml:space="preserve"> </v>
      </c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 t="s">
        <v>217</v>
      </c>
    </row>
    <row r="169" spans="2:31" x14ac:dyDescent="0.25">
      <c r="B169" s="54" t="str">
        <f>IFERROR(VLOOKUP(A169&amp;$I$2,ODDS!A168:$K$50000,3,0)," ")</f>
        <v xml:space="preserve"> </v>
      </c>
      <c r="C169" s="53" t="str">
        <f>IFERROR(VLOOKUP(A169&amp;$I$2,ODDS!A168:$K$50000,4,0)," ")</f>
        <v xml:space="preserve"> </v>
      </c>
      <c r="D169" s="53" t="str">
        <f>IFERROR(VLOOKUP(A169&amp;$I$2,ODDS!A168:$K$50000,6,0)," ")</f>
        <v xml:space="preserve"> </v>
      </c>
      <c r="E169" s="53" t="s">
        <v>211</v>
      </c>
      <c r="F169" s="53" t="str">
        <f>IFERROR(VLOOKUP(A169&amp;$I$2,ODDS!A168:$K$50000,7,0)," ")</f>
        <v xml:space="preserve"> </v>
      </c>
      <c r="G169" s="53" t="str">
        <f>IFERROR(VLOOKUP(A169&amp;$I$2,ODDS!A168:$K$50000,5,0)," ")</f>
        <v xml:space="preserve"> </v>
      </c>
      <c r="H169" s="53" t="str">
        <f t="shared" si="7"/>
        <v xml:space="preserve"> </v>
      </c>
      <c r="I169" s="22"/>
      <c r="J169" s="22"/>
      <c r="K169" s="22"/>
      <c r="L169" s="60" t="str">
        <f>IFERROR(VLOOKUP(A169&amp;$K$2,ODDS!B168:$K$50000,2,0)," ")</f>
        <v xml:space="preserve"> </v>
      </c>
      <c r="M169" s="39" t="str">
        <f>IFERROR(VLOOKUP(A169&amp;$K$2,ODDS!B168:$K$50000,3,0)," ")</f>
        <v xml:space="preserve"> </v>
      </c>
      <c r="N169" s="53" t="str">
        <f>IFERROR(VLOOKUP(A169&amp;$K$2,ODDS!B168:$K$50000,5,0)," ")</f>
        <v xml:space="preserve"> </v>
      </c>
      <c r="O169" s="53" t="s">
        <v>211</v>
      </c>
      <c r="P169" s="53" t="str">
        <f>IFERROR(VLOOKUP(A169&amp;$K$2,ODDS!B168:$K$50000,6,0)," ")</f>
        <v xml:space="preserve"> </v>
      </c>
      <c r="Q169" s="39" t="str">
        <f>IFERROR(VLOOKUP(A169&amp;$K$2,ODDS!B168:$K$50000,4,0)," ")</f>
        <v xml:space="preserve"> </v>
      </c>
      <c r="R169" s="53" t="str">
        <f t="shared" si="8"/>
        <v xml:space="preserve"> </v>
      </c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</row>
    <row r="170" spans="2:31" x14ac:dyDescent="0.25">
      <c r="B170" s="54" t="str">
        <f>IFERROR(VLOOKUP(A170&amp;$I$2,ODDS!A169:$K$50000,3,0)," ")</f>
        <v xml:space="preserve"> </v>
      </c>
      <c r="C170" s="53" t="str">
        <f>IFERROR(VLOOKUP(A170&amp;$I$2,ODDS!A169:$K$50000,4,0)," ")</f>
        <v xml:space="preserve"> </v>
      </c>
      <c r="D170" s="53" t="str">
        <f>IFERROR(VLOOKUP(A170&amp;$I$2,ODDS!A169:$K$50000,6,0)," ")</f>
        <v xml:space="preserve"> </v>
      </c>
      <c r="E170" s="53" t="s">
        <v>211</v>
      </c>
      <c r="F170" s="53" t="str">
        <f>IFERROR(VLOOKUP(A170&amp;$I$2,ODDS!A169:$K$50000,7,0)," ")</f>
        <v xml:space="preserve"> </v>
      </c>
      <c r="G170" s="53" t="str">
        <f>IFERROR(VLOOKUP(A170&amp;$I$2,ODDS!A169:$K$50000,5,0)," ")</f>
        <v xml:space="preserve"> </v>
      </c>
      <c r="H170" s="53" t="str">
        <f t="shared" si="7"/>
        <v xml:space="preserve"> </v>
      </c>
      <c r="I170" s="22"/>
      <c r="J170" s="22"/>
      <c r="K170" s="22"/>
      <c r="L170" s="60" t="str">
        <f>IFERROR(VLOOKUP(A170&amp;$K$2,ODDS!B169:$K$50000,2,0)," ")</f>
        <v xml:space="preserve"> </v>
      </c>
      <c r="M170" s="39" t="str">
        <f>IFERROR(VLOOKUP(A170&amp;$K$2,ODDS!B169:$K$50000,3,0)," ")</f>
        <v xml:space="preserve"> </v>
      </c>
      <c r="N170" s="53" t="str">
        <f>IFERROR(VLOOKUP(A170&amp;$K$2,ODDS!B169:$K$50000,5,0)," ")</f>
        <v xml:space="preserve"> </v>
      </c>
      <c r="O170" s="53" t="s">
        <v>211</v>
      </c>
      <c r="P170" s="53" t="str">
        <f>IFERROR(VLOOKUP(A170&amp;$K$2,ODDS!B169:$K$50000,6,0)," ")</f>
        <v xml:space="preserve"> </v>
      </c>
      <c r="Q170" s="39" t="str">
        <f>IFERROR(VLOOKUP(A170&amp;$K$2,ODDS!B169:$K$50000,4,0)," ")</f>
        <v xml:space="preserve"> </v>
      </c>
      <c r="R170" s="53" t="str">
        <f t="shared" si="8"/>
        <v xml:space="preserve"> </v>
      </c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 t="s">
        <v>217</v>
      </c>
    </row>
    <row r="171" spans="2:31" x14ac:dyDescent="0.25">
      <c r="B171" s="54" t="str">
        <f>IFERROR(VLOOKUP(A171&amp;$I$2,ODDS!A170:$K$50000,3,0)," ")</f>
        <v xml:space="preserve"> </v>
      </c>
      <c r="C171" s="53" t="str">
        <f>IFERROR(VLOOKUP(A171&amp;$I$2,ODDS!A170:$K$50000,4,0)," ")</f>
        <v xml:space="preserve"> </v>
      </c>
      <c r="D171" s="53" t="str">
        <f>IFERROR(VLOOKUP(A171&amp;$I$2,ODDS!A170:$K$50000,6,0)," ")</f>
        <v xml:space="preserve"> </v>
      </c>
      <c r="E171" s="53" t="s">
        <v>211</v>
      </c>
      <c r="F171" s="53" t="str">
        <f>IFERROR(VLOOKUP(A171&amp;$I$2,ODDS!A170:$K$50000,7,0)," ")</f>
        <v xml:space="preserve"> </v>
      </c>
      <c r="G171" s="53" t="str">
        <f>IFERROR(VLOOKUP(A171&amp;$I$2,ODDS!A170:$K$50000,5,0)," ")</f>
        <v xml:space="preserve"> </v>
      </c>
      <c r="H171" s="53" t="str">
        <f t="shared" si="7"/>
        <v xml:space="preserve"> </v>
      </c>
      <c r="I171" s="22"/>
      <c r="J171" s="22"/>
      <c r="K171" s="22"/>
      <c r="L171" s="60" t="str">
        <f>IFERROR(VLOOKUP(A171&amp;$K$2,ODDS!B170:$K$50000,2,0)," ")</f>
        <v xml:space="preserve"> </v>
      </c>
      <c r="M171" s="39" t="str">
        <f>IFERROR(VLOOKUP(A171&amp;$K$2,ODDS!B170:$K$50000,3,0)," ")</f>
        <v xml:space="preserve"> </v>
      </c>
      <c r="N171" s="53" t="str">
        <f>IFERROR(VLOOKUP(A171&amp;$K$2,ODDS!B170:$K$50000,5,0)," ")</f>
        <v xml:space="preserve"> </v>
      </c>
      <c r="O171" s="53" t="s">
        <v>211</v>
      </c>
      <c r="P171" s="53" t="str">
        <f>IFERROR(VLOOKUP(A171&amp;$K$2,ODDS!B170:$K$50000,6,0)," ")</f>
        <v xml:space="preserve"> </v>
      </c>
      <c r="Q171" s="39" t="str">
        <f>IFERROR(VLOOKUP(A171&amp;$K$2,ODDS!B170:$K$50000,4,0)," ")</f>
        <v xml:space="preserve"> </v>
      </c>
      <c r="R171" s="53" t="str">
        <f t="shared" si="8"/>
        <v xml:space="preserve"> </v>
      </c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</row>
    <row r="172" spans="2:31" x14ac:dyDescent="0.25">
      <c r="B172" s="54" t="str">
        <f>IFERROR(VLOOKUP(A172&amp;$I$2,ODDS!A171:$K$50000,3,0)," ")</f>
        <v xml:space="preserve"> </v>
      </c>
      <c r="C172" s="53" t="str">
        <f>IFERROR(VLOOKUP(A172&amp;$I$2,ODDS!A171:$K$50000,4,0)," ")</f>
        <v xml:space="preserve"> </v>
      </c>
      <c r="D172" s="53" t="str">
        <f>IFERROR(VLOOKUP(A172&amp;$I$2,ODDS!A171:$K$50000,6,0)," ")</f>
        <v xml:space="preserve"> </v>
      </c>
      <c r="E172" s="53" t="s">
        <v>211</v>
      </c>
      <c r="F172" s="53" t="str">
        <f>IFERROR(VLOOKUP(A172&amp;$I$2,ODDS!A171:$K$50000,7,0)," ")</f>
        <v xml:space="preserve"> </v>
      </c>
      <c r="G172" s="53" t="str">
        <f>IFERROR(VLOOKUP(A172&amp;$I$2,ODDS!A171:$K$50000,5,0)," ")</f>
        <v xml:space="preserve"> </v>
      </c>
      <c r="H172" s="53" t="str">
        <f t="shared" si="7"/>
        <v xml:space="preserve"> </v>
      </c>
      <c r="I172" s="22"/>
      <c r="J172" s="22"/>
      <c r="K172" s="22"/>
      <c r="L172" s="60" t="str">
        <f>IFERROR(VLOOKUP(A172&amp;$K$2,ODDS!B171:$K$50000,2,0)," ")</f>
        <v xml:space="preserve"> </v>
      </c>
      <c r="M172" s="39" t="str">
        <f>IFERROR(VLOOKUP(A172&amp;$K$2,ODDS!B171:$K$50000,3,0)," ")</f>
        <v xml:space="preserve"> </v>
      </c>
      <c r="N172" s="53" t="str">
        <f>IFERROR(VLOOKUP(A172&amp;$K$2,ODDS!B171:$K$50000,5,0)," ")</f>
        <v xml:space="preserve"> </v>
      </c>
      <c r="O172" s="53" t="s">
        <v>211</v>
      </c>
      <c r="P172" s="53" t="str">
        <f>IFERROR(VLOOKUP(A172&amp;$K$2,ODDS!B171:$K$50000,6,0)," ")</f>
        <v xml:space="preserve"> </v>
      </c>
      <c r="Q172" s="39" t="str">
        <f>IFERROR(VLOOKUP(A172&amp;$K$2,ODDS!B171:$K$50000,4,0)," ")</f>
        <v xml:space="preserve"> </v>
      </c>
      <c r="R172" s="53" t="str">
        <f t="shared" si="8"/>
        <v xml:space="preserve"> </v>
      </c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 t="s">
        <v>217</v>
      </c>
    </row>
    <row r="173" spans="2:31" x14ac:dyDescent="0.25">
      <c r="B173" s="54" t="str">
        <f>IFERROR(VLOOKUP(A173&amp;$I$2,ODDS!A172:$K$50000,3,0)," ")</f>
        <v xml:space="preserve"> </v>
      </c>
      <c r="C173" s="53" t="str">
        <f>IFERROR(VLOOKUP(A173&amp;$I$2,ODDS!A172:$K$50000,4,0)," ")</f>
        <v xml:space="preserve"> </v>
      </c>
      <c r="D173" s="53" t="str">
        <f>IFERROR(VLOOKUP(A173&amp;$I$2,ODDS!A172:$K$50000,6,0)," ")</f>
        <v xml:space="preserve"> </v>
      </c>
      <c r="E173" s="53" t="s">
        <v>211</v>
      </c>
      <c r="F173" s="53" t="str">
        <f>IFERROR(VLOOKUP(A173&amp;$I$2,ODDS!A172:$K$50000,7,0)," ")</f>
        <v xml:space="preserve"> </v>
      </c>
      <c r="G173" s="53" t="str">
        <f>IFERROR(VLOOKUP(A173&amp;$I$2,ODDS!A172:$K$50000,5,0)," ")</f>
        <v xml:space="preserve"> </v>
      </c>
      <c r="H173" s="53" t="str">
        <f t="shared" si="7"/>
        <v xml:space="preserve"> </v>
      </c>
      <c r="I173" s="22"/>
      <c r="J173" s="22"/>
      <c r="K173" s="22"/>
      <c r="L173" s="60" t="str">
        <f>IFERROR(VLOOKUP(A173&amp;$K$2,ODDS!B172:$K$50000,2,0)," ")</f>
        <v xml:space="preserve"> </v>
      </c>
      <c r="M173" s="39" t="str">
        <f>IFERROR(VLOOKUP(A173&amp;$K$2,ODDS!B172:$K$50000,3,0)," ")</f>
        <v xml:space="preserve"> </v>
      </c>
      <c r="N173" s="53" t="str">
        <f>IFERROR(VLOOKUP(A173&amp;$K$2,ODDS!B172:$K$50000,5,0)," ")</f>
        <v xml:space="preserve"> </v>
      </c>
      <c r="O173" s="53" t="s">
        <v>211</v>
      </c>
      <c r="P173" s="53" t="str">
        <f>IFERROR(VLOOKUP(A173&amp;$K$2,ODDS!B172:$K$50000,6,0)," ")</f>
        <v xml:space="preserve"> </v>
      </c>
      <c r="Q173" s="39" t="str">
        <f>IFERROR(VLOOKUP(A173&amp;$K$2,ODDS!B172:$K$50000,4,0)," ")</f>
        <v xml:space="preserve"> </v>
      </c>
      <c r="R173" s="53" t="str">
        <f t="shared" si="8"/>
        <v xml:space="preserve"> </v>
      </c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</row>
    <row r="174" spans="2:31" x14ac:dyDescent="0.25">
      <c r="B174" s="54" t="str">
        <f>IFERROR(VLOOKUP(A174&amp;$I$2,ODDS!A173:$K$50000,3,0)," ")</f>
        <v xml:space="preserve"> </v>
      </c>
      <c r="C174" s="53" t="str">
        <f>IFERROR(VLOOKUP(A174&amp;$I$2,ODDS!A173:$K$50000,4,0)," ")</f>
        <v xml:space="preserve"> </v>
      </c>
      <c r="D174" s="53" t="str">
        <f>IFERROR(VLOOKUP(A174&amp;$I$2,ODDS!A173:$K$50000,6,0)," ")</f>
        <v xml:space="preserve"> </v>
      </c>
      <c r="E174" s="53" t="s">
        <v>211</v>
      </c>
      <c r="F174" s="53" t="str">
        <f>IFERROR(VLOOKUP(A174&amp;$I$2,ODDS!A173:$K$50000,7,0)," ")</f>
        <v xml:space="preserve"> </v>
      </c>
      <c r="G174" s="53" t="str">
        <f>IFERROR(VLOOKUP(A174&amp;$I$2,ODDS!A173:$K$50000,5,0)," ")</f>
        <v xml:space="preserve"> </v>
      </c>
      <c r="H174" s="53" t="str">
        <f t="shared" si="7"/>
        <v xml:space="preserve"> </v>
      </c>
      <c r="I174" s="22"/>
      <c r="J174" s="22"/>
      <c r="K174" s="22"/>
      <c r="L174" s="60" t="str">
        <f>IFERROR(VLOOKUP(A174&amp;$K$2,ODDS!B173:$K$50000,2,0)," ")</f>
        <v xml:space="preserve"> </v>
      </c>
      <c r="M174" s="39" t="str">
        <f>IFERROR(VLOOKUP(A174&amp;$K$2,ODDS!B173:$K$50000,3,0)," ")</f>
        <v xml:space="preserve"> </v>
      </c>
      <c r="N174" s="53" t="str">
        <f>IFERROR(VLOOKUP(A174&amp;$K$2,ODDS!B173:$K$50000,5,0)," ")</f>
        <v xml:space="preserve"> </v>
      </c>
      <c r="O174" s="53" t="s">
        <v>211</v>
      </c>
      <c r="P174" s="53" t="str">
        <f>IFERROR(VLOOKUP(A174&amp;$K$2,ODDS!B173:$K$50000,6,0)," ")</f>
        <v xml:space="preserve"> </v>
      </c>
      <c r="Q174" s="39" t="str">
        <f>IFERROR(VLOOKUP(A174&amp;$K$2,ODDS!B173:$K$50000,4,0)," ")</f>
        <v xml:space="preserve"> </v>
      </c>
      <c r="R174" s="53" t="str">
        <f t="shared" si="8"/>
        <v xml:space="preserve"> </v>
      </c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 t="s">
        <v>217</v>
      </c>
    </row>
    <row r="175" spans="2:31" x14ac:dyDescent="0.25">
      <c r="B175" s="54" t="str">
        <f>IFERROR(VLOOKUP(A175&amp;$I$2,ODDS!A174:$K$50000,3,0)," ")</f>
        <v xml:space="preserve"> </v>
      </c>
      <c r="C175" s="53" t="str">
        <f>IFERROR(VLOOKUP(A175&amp;$I$2,ODDS!A174:$K$50000,4,0)," ")</f>
        <v xml:space="preserve"> </v>
      </c>
      <c r="D175" s="53" t="str">
        <f>IFERROR(VLOOKUP(A175&amp;$I$2,ODDS!A174:$K$50000,6,0)," ")</f>
        <v xml:space="preserve"> </v>
      </c>
      <c r="E175" s="53" t="s">
        <v>211</v>
      </c>
      <c r="F175" s="53" t="str">
        <f>IFERROR(VLOOKUP(A175&amp;$I$2,ODDS!A174:$K$50000,7,0)," ")</f>
        <v xml:space="preserve"> </v>
      </c>
      <c r="G175" s="53" t="str">
        <f>IFERROR(VLOOKUP(A175&amp;$I$2,ODDS!A174:$K$50000,5,0)," ")</f>
        <v xml:space="preserve"> </v>
      </c>
      <c r="H175" s="53" t="str">
        <f t="shared" si="7"/>
        <v xml:space="preserve"> </v>
      </c>
      <c r="I175" s="22"/>
      <c r="J175" s="22"/>
      <c r="K175" s="22"/>
      <c r="L175" s="60" t="str">
        <f>IFERROR(VLOOKUP(A175&amp;$K$2,ODDS!B174:$K$50000,2,0)," ")</f>
        <v xml:space="preserve"> </v>
      </c>
      <c r="M175" s="39" t="str">
        <f>IFERROR(VLOOKUP(A175&amp;$K$2,ODDS!B174:$K$50000,3,0)," ")</f>
        <v xml:space="preserve"> </v>
      </c>
      <c r="N175" s="53" t="str">
        <f>IFERROR(VLOOKUP(A175&amp;$K$2,ODDS!B174:$K$50000,5,0)," ")</f>
        <v xml:space="preserve"> </v>
      </c>
      <c r="O175" s="53" t="s">
        <v>211</v>
      </c>
      <c r="P175" s="53" t="str">
        <f>IFERROR(VLOOKUP(A175&amp;$K$2,ODDS!B174:$K$50000,6,0)," ")</f>
        <v xml:space="preserve"> </v>
      </c>
      <c r="Q175" s="39" t="str">
        <f>IFERROR(VLOOKUP(A175&amp;$K$2,ODDS!B174:$K$50000,4,0)," ")</f>
        <v xml:space="preserve"> </v>
      </c>
      <c r="R175" s="53" t="str">
        <f t="shared" si="8"/>
        <v xml:space="preserve"> </v>
      </c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</row>
    <row r="176" spans="2:31" x14ac:dyDescent="0.25">
      <c r="B176" s="54" t="str">
        <f>IFERROR(VLOOKUP(A176&amp;$I$2,ODDS!A175:$K$50000,3,0)," ")</f>
        <v xml:space="preserve"> </v>
      </c>
      <c r="C176" s="53" t="str">
        <f>IFERROR(VLOOKUP(A176&amp;$I$2,ODDS!A175:$K$50000,4,0)," ")</f>
        <v xml:space="preserve"> </v>
      </c>
      <c r="D176" s="53" t="str">
        <f>IFERROR(VLOOKUP(A176&amp;$I$2,ODDS!A175:$K$50000,6,0)," ")</f>
        <v xml:space="preserve"> </v>
      </c>
      <c r="E176" s="53" t="s">
        <v>211</v>
      </c>
      <c r="F176" s="53" t="str">
        <f>IFERROR(VLOOKUP(A176&amp;$I$2,ODDS!A175:$K$50000,7,0)," ")</f>
        <v xml:space="preserve"> </v>
      </c>
      <c r="G176" s="53" t="str">
        <f>IFERROR(VLOOKUP(A176&amp;$I$2,ODDS!A175:$K$50000,5,0)," ")</f>
        <v xml:space="preserve"> </v>
      </c>
      <c r="H176" s="53" t="str">
        <f t="shared" si="7"/>
        <v xml:space="preserve"> </v>
      </c>
      <c r="I176" s="22"/>
      <c r="J176" s="22"/>
      <c r="K176" s="22"/>
      <c r="L176" s="60" t="str">
        <f>IFERROR(VLOOKUP(A176&amp;$K$2,ODDS!B175:$K$50000,2,0)," ")</f>
        <v xml:space="preserve"> </v>
      </c>
      <c r="M176" s="39" t="str">
        <f>IFERROR(VLOOKUP(A176&amp;$K$2,ODDS!B175:$K$50000,3,0)," ")</f>
        <v xml:space="preserve"> </v>
      </c>
      <c r="N176" s="53" t="str">
        <f>IFERROR(VLOOKUP(A176&amp;$K$2,ODDS!B175:$K$50000,5,0)," ")</f>
        <v xml:space="preserve"> </v>
      </c>
      <c r="O176" s="53" t="s">
        <v>211</v>
      </c>
      <c r="P176" s="53" t="str">
        <f>IFERROR(VLOOKUP(A176&amp;$K$2,ODDS!B175:$K$50000,6,0)," ")</f>
        <v xml:space="preserve"> </v>
      </c>
      <c r="Q176" s="39" t="str">
        <f>IFERROR(VLOOKUP(A176&amp;$K$2,ODDS!B175:$K$50000,4,0)," ")</f>
        <v xml:space="preserve"> </v>
      </c>
      <c r="R176" s="53" t="str">
        <f t="shared" si="8"/>
        <v xml:space="preserve"> </v>
      </c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 t="s">
        <v>217</v>
      </c>
    </row>
    <row r="177" spans="2:31" x14ac:dyDescent="0.25">
      <c r="B177" s="54" t="str">
        <f>IFERROR(VLOOKUP(A177&amp;$I$2,ODDS!A176:$K$50000,3,0)," ")</f>
        <v xml:space="preserve"> </v>
      </c>
      <c r="C177" s="53" t="str">
        <f>IFERROR(VLOOKUP(A177&amp;$I$2,ODDS!A176:$K$50000,4,0)," ")</f>
        <v xml:space="preserve"> </v>
      </c>
      <c r="D177" s="53" t="str">
        <f>IFERROR(VLOOKUP(A177&amp;$I$2,ODDS!A176:$K$50000,6,0)," ")</f>
        <v xml:space="preserve"> </v>
      </c>
      <c r="E177" s="53" t="s">
        <v>211</v>
      </c>
      <c r="F177" s="53" t="str">
        <f>IFERROR(VLOOKUP(A177&amp;$I$2,ODDS!A176:$K$50000,7,0)," ")</f>
        <v xml:space="preserve"> </v>
      </c>
      <c r="G177" s="53" t="str">
        <f>IFERROR(VLOOKUP(A177&amp;$I$2,ODDS!A176:$K$50000,5,0)," ")</f>
        <v xml:space="preserve"> </v>
      </c>
      <c r="H177" s="53" t="str">
        <f t="shared" si="7"/>
        <v xml:space="preserve"> </v>
      </c>
      <c r="I177" s="22"/>
      <c r="J177" s="22"/>
      <c r="K177" s="22"/>
      <c r="L177" s="60" t="str">
        <f>IFERROR(VLOOKUP(A177&amp;$K$2,ODDS!B176:$K$50000,2,0)," ")</f>
        <v xml:space="preserve"> </v>
      </c>
      <c r="M177" s="39" t="str">
        <f>IFERROR(VLOOKUP(A177&amp;$K$2,ODDS!B176:$K$50000,3,0)," ")</f>
        <v xml:space="preserve"> </v>
      </c>
      <c r="N177" s="53" t="str">
        <f>IFERROR(VLOOKUP(A177&amp;$K$2,ODDS!B176:$K$50000,5,0)," ")</f>
        <v xml:space="preserve"> </v>
      </c>
      <c r="O177" s="53" t="s">
        <v>211</v>
      </c>
      <c r="P177" s="53" t="str">
        <f>IFERROR(VLOOKUP(A177&amp;$K$2,ODDS!B176:$K$50000,6,0)," ")</f>
        <v xml:space="preserve"> </v>
      </c>
      <c r="Q177" s="39" t="str">
        <f>IFERROR(VLOOKUP(A177&amp;$K$2,ODDS!B176:$K$50000,4,0)," ")</f>
        <v xml:space="preserve"> </v>
      </c>
      <c r="R177" s="53" t="str">
        <f t="shared" si="8"/>
        <v xml:space="preserve"> </v>
      </c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</row>
    <row r="178" spans="2:31" x14ac:dyDescent="0.25">
      <c r="B178" s="54" t="str">
        <f>IFERROR(VLOOKUP(A178&amp;$I$2,ODDS!A177:$K$50000,3,0)," ")</f>
        <v xml:space="preserve"> </v>
      </c>
      <c r="C178" s="53" t="str">
        <f>IFERROR(VLOOKUP(A178&amp;$I$2,ODDS!A177:$K$50000,4,0)," ")</f>
        <v xml:space="preserve"> </v>
      </c>
      <c r="D178" s="53" t="str">
        <f>IFERROR(VLOOKUP(A178&amp;$I$2,ODDS!A177:$K$50000,6,0)," ")</f>
        <v xml:space="preserve"> </v>
      </c>
      <c r="E178" s="53" t="s">
        <v>211</v>
      </c>
      <c r="F178" s="53" t="str">
        <f>IFERROR(VLOOKUP(A178&amp;$I$2,ODDS!A177:$K$50000,7,0)," ")</f>
        <v xml:space="preserve"> </v>
      </c>
      <c r="G178" s="53" t="str">
        <f>IFERROR(VLOOKUP(A178&amp;$I$2,ODDS!A177:$K$50000,5,0)," ")</f>
        <v xml:space="preserve"> </v>
      </c>
      <c r="H178" s="53" t="str">
        <f t="shared" si="7"/>
        <v xml:space="preserve"> </v>
      </c>
      <c r="I178" s="22"/>
      <c r="J178" s="22"/>
      <c r="K178" s="22"/>
      <c r="L178" s="60" t="str">
        <f>IFERROR(VLOOKUP(A178&amp;$K$2,ODDS!B177:$K$50000,2,0)," ")</f>
        <v xml:space="preserve"> </v>
      </c>
      <c r="M178" s="39" t="str">
        <f>IFERROR(VLOOKUP(A178&amp;$K$2,ODDS!B177:$K$50000,3,0)," ")</f>
        <v xml:space="preserve"> </v>
      </c>
      <c r="N178" s="53" t="str">
        <f>IFERROR(VLOOKUP(A178&amp;$K$2,ODDS!B177:$K$50000,5,0)," ")</f>
        <v xml:space="preserve"> </v>
      </c>
      <c r="O178" s="53" t="s">
        <v>211</v>
      </c>
      <c r="P178" s="53" t="str">
        <f>IFERROR(VLOOKUP(A178&amp;$K$2,ODDS!B177:$K$50000,6,0)," ")</f>
        <v xml:space="preserve"> </v>
      </c>
      <c r="Q178" s="39" t="str">
        <f>IFERROR(VLOOKUP(A178&amp;$K$2,ODDS!B177:$K$50000,4,0)," ")</f>
        <v xml:space="preserve"> </v>
      </c>
      <c r="R178" s="53" t="str">
        <f t="shared" si="8"/>
        <v xml:space="preserve"> </v>
      </c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 t="s">
        <v>217</v>
      </c>
    </row>
    <row r="179" spans="2:31" x14ac:dyDescent="0.25">
      <c r="B179" s="54" t="str">
        <f>IFERROR(VLOOKUP(A179&amp;$I$2,ODDS!A178:$K$50000,3,0)," ")</f>
        <v xml:space="preserve"> </v>
      </c>
      <c r="C179" s="53" t="str">
        <f>IFERROR(VLOOKUP(A179&amp;$I$2,ODDS!A178:$K$50000,4,0)," ")</f>
        <v xml:space="preserve"> </v>
      </c>
      <c r="D179" s="53" t="str">
        <f>IFERROR(VLOOKUP(A179&amp;$I$2,ODDS!A178:$K$50000,6,0)," ")</f>
        <v xml:space="preserve"> </v>
      </c>
      <c r="E179" s="53" t="s">
        <v>211</v>
      </c>
      <c r="F179" s="53" t="str">
        <f>IFERROR(VLOOKUP(A179&amp;$I$2,ODDS!A178:$K$50000,7,0)," ")</f>
        <v xml:space="preserve"> </v>
      </c>
      <c r="G179" s="53" t="str">
        <f>IFERROR(VLOOKUP(A179&amp;$I$2,ODDS!A178:$K$50000,5,0)," ")</f>
        <v xml:space="preserve"> </v>
      </c>
      <c r="H179" s="53" t="str">
        <f t="shared" si="7"/>
        <v xml:space="preserve"> </v>
      </c>
      <c r="I179" s="22"/>
      <c r="J179" s="22"/>
      <c r="K179" s="22"/>
      <c r="L179" s="60" t="str">
        <f>IFERROR(VLOOKUP(A179&amp;$K$2,ODDS!B178:$K$50000,2,0)," ")</f>
        <v xml:space="preserve"> </v>
      </c>
      <c r="M179" s="39" t="str">
        <f>IFERROR(VLOOKUP(A179&amp;$K$2,ODDS!B178:$K$50000,3,0)," ")</f>
        <v xml:space="preserve"> </v>
      </c>
      <c r="N179" s="53" t="str">
        <f>IFERROR(VLOOKUP(A179&amp;$K$2,ODDS!B178:$K$50000,5,0)," ")</f>
        <v xml:space="preserve"> </v>
      </c>
      <c r="O179" s="53" t="s">
        <v>211</v>
      </c>
      <c r="P179" s="53" t="str">
        <f>IFERROR(VLOOKUP(A179&amp;$K$2,ODDS!B178:$K$50000,6,0)," ")</f>
        <v xml:space="preserve"> </v>
      </c>
      <c r="Q179" s="39" t="str">
        <f>IFERROR(VLOOKUP(A179&amp;$K$2,ODDS!B178:$K$50000,4,0)," ")</f>
        <v xml:space="preserve"> </v>
      </c>
      <c r="R179" s="53" t="str">
        <f t="shared" si="8"/>
        <v xml:space="preserve"> </v>
      </c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</row>
    <row r="180" spans="2:31" x14ac:dyDescent="0.25">
      <c r="B180" s="54" t="str">
        <f>IFERROR(VLOOKUP(A180&amp;$I$2,ODDS!A179:$K$50000,3,0)," ")</f>
        <v xml:space="preserve"> </v>
      </c>
      <c r="C180" s="53" t="str">
        <f>IFERROR(VLOOKUP(A180&amp;$I$2,ODDS!A179:$K$50000,4,0)," ")</f>
        <v xml:space="preserve"> </v>
      </c>
      <c r="D180" s="53" t="str">
        <f>IFERROR(VLOOKUP(A180&amp;$I$2,ODDS!A179:$K$50000,6,0)," ")</f>
        <v xml:space="preserve"> </v>
      </c>
      <c r="E180" s="53" t="s">
        <v>211</v>
      </c>
      <c r="F180" s="53" t="str">
        <f>IFERROR(VLOOKUP(A180&amp;$I$2,ODDS!A179:$K$50000,7,0)," ")</f>
        <v xml:space="preserve"> </v>
      </c>
      <c r="G180" s="53" t="str">
        <f>IFERROR(VLOOKUP(A180&amp;$I$2,ODDS!A179:$K$50000,5,0)," ")</f>
        <v xml:space="preserve"> </v>
      </c>
      <c r="H180" s="53" t="str">
        <f t="shared" si="7"/>
        <v xml:space="preserve"> </v>
      </c>
      <c r="I180" s="22"/>
      <c r="J180" s="22"/>
      <c r="K180" s="22"/>
      <c r="L180" s="60" t="str">
        <f>IFERROR(VLOOKUP(A180&amp;$K$2,ODDS!B179:$K$50000,2,0)," ")</f>
        <v xml:space="preserve"> </v>
      </c>
      <c r="M180" s="39" t="str">
        <f>IFERROR(VLOOKUP(A180&amp;$K$2,ODDS!B179:$K$50000,3,0)," ")</f>
        <v xml:space="preserve"> </v>
      </c>
      <c r="N180" s="53" t="str">
        <f>IFERROR(VLOOKUP(A180&amp;$K$2,ODDS!B179:$K$50000,5,0)," ")</f>
        <v xml:space="preserve"> </v>
      </c>
      <c r="O180" s="53" t="s">
        <v>211</v>
      </c>
      <c r="P180" s="53" t="str">
        <f>IFERROR(VLOOKUP(A180&amp;$K$2,ODDS!B179:$K$50000,6,0)," ")</f>
        <v xml:space="preserve"> </v>
      </c>
      <c r="Q180" s="39" t="str">
        <f>IFERROR(VLOOKUP(A180&amp;$K$2,ODDS!B179:$K$50000,4,0)," ")</f>
        <v xml:space="preserve"> </v>
      </c>
      <c r="R180" s="53" t="str">
        <f t="shared" si="8"/>
        <v xml:space="preserve"> </v>
      </c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 t="s">
        <v>217</v>
      </c>
    </row>
    <row r="181" spans="2:31" x14ac:dyDescent="0.25">
      <c r="B181" s="54" t="str">
        <f>IFERROR(VLOOKUP(A181&amp;$I$2,ODDS!A180:$K$50000,3,0)," ")</f>
        <v xml:space="preserve"> </v>
      </c>
      <c r="C181" s="53" t="str">
        <f>IFERROR(VLOOKUP(A181&amp;$I$2,ODDS!A180:$K$50000,4,0)," ")</f>
        <v xml:space="preserve"> </v>
      </c>
      <c r="D181" s="53" t="str">
        <f>IFERROR(VLOOKUP(A181&amp;$I$2,ODDS!A180:$K$50000,6,0)," ")</f>
        <v xml:space="preserve"> </v>
      </c>
      <c r="E181" s="53" t="s">
        <v>211</v>
      </c>
      <c r="F181" s="53" t="str">
        <f>IFERROR(VLOOKUP(A181&amp;$I$2,ODDS!A180:$K$50000,7,0)," ")</f>
        <v xml:space="preserve"> </v>
      </c>
      <c r="G181" s="53" t="str">
        <f>IFERROR(VLOOKUP(A181&amp;$I$2,ODDS!A180:$K$50000,5,0)," ")</f>
        <v xml:space="preserve"> </v>
      </c>
      <c r="H181" s="53" t="str">
        <f t="shared" si="7"/>
        <v xml:space="preserve"> </v>
      </c>
      <c r="I181" s="22"/>
      <c r="J181" s="22"/>
      <c r="K181" s="22"/>
      <c r="L181" s="60" t="str">
        <f>IFERROR(VLOOKUP(A181&amp;$K$2,ODDS!B180:$K$50000,2,0)," ")</f>
        <v xml:space="preserve"> </v>
      </c>
      <c r="M181" s="39" t="str">
        <f>IFERROR(VLOOKUP(A181&amp;$K$2,ODDS!B180:$K$50000,3,0)," ")</f>
        <v xml:space="preserve"> </v>
      </c>
      <c r="N181" s="53" t="str">
        <f>IFERROR(VLOOKUP(A181&amp;$K$2,ODDS!B180:$K$50000,5,0)," ")</f>
        <v xml:space="preserve"> </v>
      </c>
      <c r="O181" s="53" t="s">
        <v>211</v>
      </c>
      <c r="P181" s="53" t="str">
        <f>IFERROR(VLOOKUP(A181&amp;$K$2,ODDS!B180:$K$50000,6,0)," ")</f>
        <v xml:space="preserve"> </v>
      </c>
      <c r="Q181" s="39" t="str">
        <f>IFERROR(VLOOKUP(A181&amp;$K$2,ODDS!B180:$K$50000,4,0)," ")</f>
        <v xml:space="preserve"> </v>
      </c>
      <c r="R181" s="53" t="str">
        <f t="shared" si="8"/>
        <v xml:space="preserve"> </v>
      </c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</row>
    <row r="182" spans="2:31" x14ac:dyDescent="0.25">
      <c r="B182" s="54" t="str">
        <f>IFERROR(VLOOKUP(A182&amp;$I$2,ODDS!A181:$K$50000,3,0)," ")</f>
        <v xml:space="preserve"> </v>
      </c>
      <c r="C182" s="53" t="str">
        <f>IFERROR(VLOOKUP(A182&amp;$I$2,ODDS!A181:$K$50000,4,0)," ")</f>
        <v xml:space="preserve"> </v>
      </c>
      <c r="D182" s="53" t="str">
        <f>IFERROR(VLOOKUP(A182&amp;$I$2,ODDS!A181:$K$50000,6,0)," ")</f>
        <v xml:space="preserve"> </v>
      </c>
      <c r="E182" s="53" t="s">
        <v>211</v>
      </c>
      <c r="F182" s="53" t="str">
        <f>IFERROR(VLOOKUP(A182&amp;$I$2,ODDS!A181:$K$50000,7,0)," ")</f>
        <v xml:space="preserve"> </v>
      </c>
      <c r="G182" s="53" t="str">
        <f>IFERROR(VLOOKUP(A182&amp;$I$2,ODDS!A181:$K$50000,5,0)," ")</f>
        <v xml:space="preserve"> </v>
      </c>
      <c r="H182" s="53" t="str">
        <f t="shared" si="7"/>
        <v xml:space="preserve"> </v>
      </c>
      <c r="I182" s="22"/>
      <c r="J182" s="22"/>
      <c r="K182" s="22"/>
      <c r="L182" s="60" t="str">
        <f>IFERROR(VLOOKUP(A182&amp;$K$2,ODDS!B181:$K$50000,2,0)," ")</f>
        <v xml:space="preserve"> </v>
      </c>
      <c r="M182" s="39" t="str">
        <f>IFERROR(VLOOKUP(A182&amp;$K$2,ODDS!B181:$K$50000,3,0)," ")</f>
        <v xml:space="preserve"> </v>
      </c>
      <c r="N182" s="53" t="str">
        <f>IFERROR(VLOOKUP(A182&amp;$K$2,ODDS!B181:$K$50000,5,0)," ")</f>
        <v xml:space="preserve"> </v>
      </c>
      <c r="O182" s="53" t="s">
        <v>211</v>
      </c>
      <c r="P182" s="53" t="str">
        <f>IFERROR(VLOOKUP(A182&amp;$K$2,ODDS!B181:$K$50000,6,0)," ")</f>
        <v xml:space="preserve"> </v>
      </c>
      <c r="Q182" s="39" t="str">
        <f>IFERROR(VLOOKUP(A182&amp;$K$2,ODDS!B181:$K$50000,4,0)," ")</f>
        <v xml:space="preserve"> </v>
      </c>
      <c r="R182" s="53" t="str">
        <f t="shared" si="8"/>
        <v xml:space="preserve"> </v>
      </c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 t="s">
        <v>217</v>
      </c>
    </row>
    <row r="183" spans="2:31" x14ac:dyDescent="0.25">
      <c r="B183" s="54" t="str">
        <f>IFERROR(VLOOKUP(A183&amp;$I$2,ODDS!A182:$K$50000,3,0)," ")</f>
        <v xml:space="preserve"> </v>
      </c>
      <c r="C183" s="53" t="str">
        <f>IFERROR(VLOOKUP(A183&amp;$I$2,ODDS!A182:$K$50000,4,0)," ")</f>
        <v xml:space="preserve"> </v>
      </c>
      <c r="D183" s="53" t="str">
        <f>IFERROR(VLOOKUP(A183&amp;$I$2,ODDS!A182:$K$50000,6,0)," ")</f>
        <v xml:space="preserve"> </v>
      </c>
      <c r="E183" s="53" t="s">
        <v>211</v>
      </c>
      <c r="F183" s="53" t="str">
        <f>IFERROR(VLOOKUP(A183&amp;$I$2,ODDS!A182:$K$50000,7,0)," ")</f>
        <v xml:space="preserve"> </v>
      </c>
      <c r="G183" s="53" t="str">
        <f>IFERROR(VLOOKUP(A183&amp;$I$2,ODDS!A182:$K$50000,5,0)," ")</f>
        <v xml:space="preserve"> </v>
      </c>
      <c r="H183" s="53" t="str">
        <f t="shared" si="7"/>
        <v xml:space="preserve"> </v>
      </c>
      <c r="I183" s="22"/>
      <c r="J183" s="22"/>
      <c r="K183" s="22"/>
      <c r="L183" s="60" t="str">
        <f>IFERROR(VLOOKUP(A183&amp;$K$2,ODDS!B182:$K$50000,2,0)," ")</f>
        <v xml:space="preserve"> </v>
      </c>
      <c r="M183" s="39" t="str">
        <f>IFERROR(VLOOKUP(A183&amp;$K$2,ODDS!B182:$K$50000,3,0)," ")</f>
        <v xml:space="preserve"> </v>
      </c>
      <c r="N183" s="53" t="str">
        <f>IFERROR(VLOOKUP(A183&amp;$K$2,ODDS!B182:$K$50000,5,0)," ")</f>
        <v xml:space="preserve"> </v>
      </c>
      <c r="O183" s="53" t="s">
        <v>211</v>
      </c>
      <c r="P183" s="53" t="str">
        <f>IFERROR(VLOOKUP(A183&amp;$K$2,ODDS!B182:$K$50000,6,0)," ")</f>
        <v xml:space="preserve"> </v>
      </c>
      <c r="Q183" s="39" t="str">
        <f>IFERROR(VLOOKUP(A183&amp;$K$2,ODDS!B182:$K$50000,4,0)," ")</f>
        <v xml:space="preserve"> </v>
      </c>
      <c r="R183" s="53" t="str">
        <f t="shared" si="8"/>
        <v xml:space="preserve"> </v>
      </c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</row>
    <row r="184" spans="2:31" x14ac:dyDescent="0.25">
      <c r="B184" s="54" t="str">
        <f>IFERROR(VLOOKUP(A184&amp;$I$2,ODDS!A183:$K$50000,3,0)," ")</f>
        <v xml:space="preserve"> </v>
      </c>
      <c r="C184" s="53" t="str">
        <f>IFERROR(VLOOKUP(A184&amp;$I$2,ODDS!A183:$K$50000,4,0)," ")</f>
        <v xml:space="preserve"> </v>
      </c>
      <c r="D184" s="53" t="str">
        <f>IFERROR(VLOOKUP(A184&amp;$I$2,ODDS!A183:$K$50000,6,0)," ")</f>
        <v xml:space="preserve"> </v>
      </c>
      <c r="E184" s="53" t="s">
        <v>211</v>
      </c>
      <c r="F184" s="53" t="str">
        <f>IFERROR(VLOOKUP(A184&amp;$I$2,ODDS!A183:$K$50000,7,0)," ")</f>
        <v xml:space="preserve"> </v>
      </c>
      <c r="G184" s="53" t="str">
        <f>IFERROR(VLOOKUP(A184&amp;$I$2,ODDS!A183:$K$50000,5,0)," ")</f>
        <v xml:space="preserve"> </v>
      </c>
      <c r="H184" s="53" t="str">
        <f t="shared" si="7"/>
        <v xml:space="preserve"> </v>
      </c>
      <c r="I184" s="22"/>
      <c r="J184" s="22"/>
      <c r="K184" s="22"/>
      <c r="L184" s="60" t="str">
        <f>IFERROR(VLOOKUP(A184&amp;$K$2,ODDS!B183:$K$50000,2,0)," ")</f>
        <v xml:space="preserve"> </v>
      </c>
      <c r="M184" s="39" t="str">
        <f>IFERROR(VLOOKUP(A184&amp;$K$2,ODDS!B183:$K$50000,3,0)," ")</f>
        <v xml:space="preserve"> </v>
      </c>
      <c r="N184" s="53" t="str">
        <f>IFERROR(VLOOKUP(A184&amp;$K$2,ODDS!B183:$K$50000,5,0)," ")</f>
        <v xml:space="preserve"> </v>
      </c>
      <c r="O184" s="53" t="s">
        <v>211</v>
      </c>
      <c r="P184" s="53" t="str">
        <f>IFERROR(VLOOKUP(A184&amp;$K$2,ODDS!B183:$K$50000,6,0)," ")</f>
        <v xml:space="preserve"> </v>
      </c>
      <c r="Q184" s="39" t="str">
        <f>IFERROR(VLOOKUP(A184&amp;$K$2,ODDS!B183:$K$50000,4,0)," ")</f>
        <v xml:space="preserve"> </v>
      </c>
      <c r="R184" s="53" t="str">
        <f t="shared" si="8"/>
        <v xml:space="preserve"> </v>
      </c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 t="s">
        <v>217</v>
      </c>
    </row>
    <row r="185" spans="2:31" x14ac:dyDescent="0.25">
      <c r="B185" s="54" t="str">
        <f>IFERROR(VLOOKUP(A185&amp;$I$2,ODDS!A184:$K$50000,3,0)," ")</f>
        <v xml:space="preserve"> </v>
      </c>
      <c r="C185" s="53" t="str">
        <f>IFERROR(VLOOKUP(A185&amp;$I$2,ODDS!A184:$K$50000,4,0)," ")</f>
        <v xml:space="preserve"> </v>
      </c>
      <c r="D185" s="53" t="str">
        <f>IFERROR(VLOOKUP(A185&amp;$I$2,ODDS!A184:$K$50000,6,0)," ")</f>
        <v xml:space="preserve"> </v>
      </c>
      <c r="E185" s="53" t="s">
        <v>211</v>
      </c>
      <c r="F185" s="53" t="str">
        <f>IFERROR(VLOOKUP(A185&amp;$I$2,ODDS!A184:$K$50000,7,0)," ")</f>
        <v xml:space="preserve"> </v>
      </c>
      <c r="G185" s="53" t="str">
        <f>IFERROR(VLOOKUP(A185&amp;$I$2,ODDS!A184:$K$50000,5,0)," ")</f>
        <v xml:space="preserve"> </v>
      </c>
      <c r="H185" s="53" t="str">
        <f t="shared" si="7"/>
        <v xml:space="preserve"> </v>
      </c>
      <c r="I185" s="22"/>
      <c r="J185" s="22"/>
      <c r="K185" s="22"/>
      <c r="L185" s="60" t="str">
        <f>IFERROR(VLOOKUP(A185&amp;$K$2,ODDS!B184:$K$50000,2,0)," ")</f>
        <v xml:space="preserve"> </v>
      </c>
      <c r="M185" s="39" t="str">
        <f>IFERROR(VLOOKUP(A185&amp;$K$2,ODDS!B184:$K$50000,3,0)," ")</f>
        <v xml:space="preserve"> </v>
      </c>
      <c r="N185" s="53" t="str">
        <f>IFERROR(VLOOKUP(A185&amp;$K$2,ODDS!B184:$K$50000,5,0)," ")</f>
        <v xml:space="preserve"> </v>
      </c>
      <c r="O185" s="53" t="s">
        <v>211</v>
      </c>
      <c r="P185" s="53" t="str">
        <f>IFERROR(VLOOKUP(A185&amp;$K$2,ODDS!B184:$K$50000,6,0)," ")</f>
        <v xml:space="preserve"> </v>
      </c>
      <c r="Q185" s="39" t="str">
        <f>IFERROR(VLOOKUP(A185&amp;$K$2,ODDS!B184:$K$50000,4,0)," ")</f>
        <v xml:space="preserve"> </v>
      </c>
      <c r="R185" s="53" t="str">
        <f t="shared" si="8"/>
        <v xml:space="preserve"> </v>
      </c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</row>
    <row r="186" spans="2:31" x14ac:dyDescent="0.25">
      <c r="B186" s="54" t="str">
        <f>IFERROR(VLOOKUP(A186&amp;$I$2,ODDS!A185:$K$50000,3,0)," ")</f>
        <v xml:space="preserve"> </v>
      </c>
      <c r="C186" s="53" t="str">
        <f>IFERROR(VLOOKUP(A186&amp;$I$2,ODDS!A185:$K$50000,4,0)," ")</f>
        <v xml:space="preserve"> </v>
      </c>
      <c r="D186" s="53" t="str">
        <f>IFERROR(VLOOKUP(A186&amp;$I$2,ODDS!A185:$K$50000,6,0)," ")</f>
        <v xml:space="preserve"> </v>
      </c>
      <c r="E186" s="53" t="s">
        <v>211</v>
      </c>
      <c r="F186" s="53" t="str">
        <f>IFERROR(VLOOKUP(A186&amp;$I$2,ODDS!A185:$K$50000,7,0)," ")</f>
        <v xml:space="preserve"> </v>
      </c>
      <c r="G186" s="53" t="str">
        <f>IFERROR(VLOOKUP(A186&amp;$I$2,ODDS!A185:$K$50000,5,0)," ")</f>
        <v xml:space="preserve"> </v>
      </c>
      <c r="H186" s="53" t="str">
        <f t="shared" si="7"/>
        <v xml:space="preserve"> </v>
      </c>
      <c r="I186" s="22"/>
      <c r="J186" s="22"/>
      <c r="K186" s="22"/>
      <c r="L186" s="60" t="str">
        <f>IFERROR(VLOOKUP(A186&amp;$K$2,ODDS!B185:$K$50000,2,0)," ")</f>
        <v xml:space="preserve"> </v>
      </c>
      <c r="M186" s="39" t="str">
        <f>IFERROR(VLOOKUP(A186&amp;$K$2,ODDS!B185:$K$50000,3,0)," ")</f>
        <v xml:space="preserve"> </v>
      </c>
      <c r="N186" s="53" t="str">
        <f>IFERROR(VLOOKUP(A186&amp;$K$2,ODDS!B185:$K$50000,5,0)," ")</f>
        <v xml:space="preserve"> </v>
      </c>
      <c r="O186" s="53" t="s">
        <v>211</v>
      </c>
      <c r="P186" s="53" t="str">
        <f>IFERROR(VLOOKUP(A186&amp;$K$2,ODDS!B185:$K$50000,6,0)," ")</f>
        <v xml:space="preserve"> </v>
      </c>
      <c r="Q186" s="39" t="str">
        <f>IFERROR(VLOOKUP(A186&amp;$K$2,ODDS!B185:$K$50000,4,0)," ")</f>
        <v xml:space="preserve"> </v>
      </c>
      <c r="R186" s="53" t="str">
        <f t="shared" si="8"/>
        <v xml:space="preserve"> </v>
      </c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 t="s">
        <v>217</v>
      </c>
    </row>
    <row r="187" spans="2:31" x14ac:dyDescent="0.25">
      <c r="B187" s="54" t="str">
        <f>IFERROR(VLOOKUP(A187&amp;$I$2,ODDS!A186:$K$50000,3,0)," ")</f>
        <v xml:space="preserve"> </v>
      </c>
      <c r="C187" s="53" t="str">
        <f>IFERROR(VLOOKUP(A187&amp;$I$2,ODDS!A186:$K$50000,4,0)," ")</f>
        <v xml:space="preserve"> </v>
      </c>
      <c r="D187" s="53" t="str">
        <f>IFERROR(VLOOKUP(A187&amp;$I$2,ODDS!A186:$K$50000,6,0)," ")</f>
        <v xml:space="preserve"> </v>
      </c>
      <c r="E187" s="53" t="s">
        <v>211</v>
      </c>
      <c r="F187" s="53" t="str">
        <f>IFERROR(VLOOKUP(A187&amp;$I$2,ODDS!A186:$K$50000,7,0)," ")</f>
        <v xml:space="preserve"> </v>
      </c>
      <c r="G187" s="53" t="str">
        <f>IFERROR(VLOOKUP(A187&amp;$I$2,ODDS!A186:$K$50000,5,0)," ")</f>
        <v xml:space="preserve"> </v>
      </c>
      <c r="H187" s="53" t="str">
        <f t="shared" si="7"/>
        <v xml:space="preserve"> </v>
      </c>
      <c r="I187" s="22"/>
      <c r="J187" s="22"/>
      <c r="K187" s="22"/>
      <c r="L187" s="60" t="str">
        <f>IFERROR(VLOOKUP(A187&amp;$K$2,ODDS!B186:$K$50000,2,0)," ")</f>
        <v xml:space="preserve"> </v>
      </c>
      <c r="M187" s="39" t="str">
        <f>IFERROR(VLOOKUP(A187&amp;$K$2,ODDS!B186:$K$50000,3,0)," ")</f>
        <v xml:space="preserve"> </v>
      </c>
      <c r="N187" s="53" t="str">
        <f>IFERROR(VLOOKUP(A187&amp;$K$2,ODDS!B186:$K$50000,5,0)," ")</f>
        <v xml:space="preserve"> </v>
      </c>
      <c r="O187" s="53" t="s">
        <v>211</v>
      </c>
      <c r="P187" s="53" t="str">
        <f>IFERROR(VLOOKUP(A187&amp;$K$2,ODDS!B186:$K$50000,6,0)," ")</f>
        <v xml:space="preserve"> </v>
      </c>
      <c r="Q187" s="39" t="str">
        <f>IFERROR(VLOOKUP(A187&amp;$K$2,ODDS!B186:$K$50000,4,0)," ")</f>
        <v xml:space="preserve"> </v>
      </c>
      <c r="R187" s="53" t="str">
        <f t="shared" si="8"/>
        <v xml:space="preserve"> </v>
      </c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</row>
    <row r="188" spans="2:31" x14ac:dyDescent="0.25">
      <c r="B188" s="54" t="str">
        <f>IFERROR(VLOOKUP(A188&amp;$I$2,ODDS!A187:$K$50000,3,0)," ")</f>
        <v xml:space="preserve"> </v>
      </c>
      <c r="C188" s="53" t="str">
        <f>IFERROR(VLOOKUP(A188&amp;$I$2,ODDS!A187:$K$50000,4,0)," ")</f>
        <v xml:space="preserve"> </v>
      </c>
      <c r="D188" s="53" t="str">
        <f>IFERROR(VLOOKUP(A188&amp;$I$2,ODDS!A187:$K$50000,6,0)," ")</f>
        <v xml:space="preserve"> </v>
      </c>
      <c r="E188" s="53" t="s">
        <v>211</v>
      </c>
      <c r="F188" s="53" t="str">
        <f>IFERROR(VLOOKUP(A188&amp;$I$2,ODDS!A187:$K$50000,7,0)," ")</f>
        <v xml:space="preserve"> </v>
      </c>
      <c r="G188" s="53" t="str">
        <f>IFERROR(VLOOKUP(A188&amp;$I$2,ODDS!A187:$K$50000,5,0)," ")</f>
        <v xml:space="preserve"> </v>
      </c>
      <c r="H188" s="53" t="str">
        <f t="shared" si="7"/>
        <v xml:space="preserve"> </v>
      </c>
      <c r="I188" s="22"/>
      <c r="J188" s="22"/>
      <c r="K188" s="22"/>
      <c r="L188" s="60" t="str">
        <f>IFERROR(VLOOKUP(A188&amp;$K$2,ODDS!B187:$K$50000,2,0)," ")</f>
        <v xml:space="preserve"> </v>
      </c>
      <c r="M188" s="39" t="str">
        <f>IFERROR(VLOOKUP(A188&amp;$K$2,ODDS!B187:$K$50000,3,0)," ")</f>
        <v xml:space="preserve"> </v>
      </c>
      <c r="N188" s="53" t="str">
        <f>IFERROR(VLOOKUP(A188&amp;$K$2,ODDS!B187:$K$50000,5,0)," ")</f>
        <v xml:space="preserve"> </v>
      </c>
      <c r="O188" s="53" t="s">
        <v>211</v>
      </c>
      <c r="P188" s="53" t="str">
        <f>IFERROR(VLOOKUP(A188&amp;$K$2,ODDS!B187:$K$50000,6,0)," ")</f>
        <v xml:space="preserve"> </v>
      </c>
      <c r="Q188" s="39" t="str">
        <f>IFERROR(VLOOKUP(A188&amp;$K$2,ODDS!B187:$K$50000,4,0)," ")</f>
        <v xml:space="preserve"> </v>
      </c>
      <c r="R188" s="53" t="str">
        <f t="shared" si="8"/>
        <v xml:space="preserve"> </v>
      </c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 t="s">
        <v>217</v>
      </c>
    </row>
    <row r="189" spans="2:31" x14ac:dyDescent="0.25">
      <c r="B189" s="54" t="str">
        <f>IFERROR(VLOOKUP(A189&amp;$I$2,ODDS!A188:$K$50000,3,0)," ")</f>
        <v xml:space="preserve"> </v>
      </c>
      <c r="C189" s="53" t="str">
        <f>IFERROR(VLOOKUP(A189&amp;$I$2,ODDS!A188:$K$50000,4,0)," ")</f>
        <v xml:space="preserve"> </v>
      </c>
      <c r="D189" s="53" t="str">
        <f>IFERROR(VLOOKUP(A189&amp;$I$2,ODDS!A188:$K$50000,6,0)," ")</f>
        <v xml:space="preserve"> </v>
      </c>
      <c r="E189" s="53" t="s">
        <v>211</v>
      </c>
      <c r="F189" s="53" t="str">
        <f>IFERROR(VLOOKUP(A189&amp;$I$2,ODDS!A188:$K$50000,7,0)," ")</f>
        <v xml:space="preserve"> </v>
      </c>
      <c r="G189" s="53" t="str">
        <f>IFERROR(VLOOKUP(A189&amp;$I$2,ODDS!A188:$K$50000,5,0)," ")</f>
        <v xml:space="preserve"> </v>
      </c>
      <c r="H189" s="53" t="str">
        <f t="shared" si="7"/>
        <v xml:space="preserve"> </v>
      </c>
      <c r="I189" s="22"/>
      <c r="J189" s="22"/>
      <c r="K189" s="22"/>
      <c r="L189" s="60" t="str">
        <f>IFERROR(VLOOKUP(A189&amp;$K$2,ODDS!B188:$K$50000,2,0)," ")</f>
        <v xml:space="preserve"> </v>
      </c>
      <c r="M189" s="39" t="str">
        <f>IFERROR(VLOOKUP(A189&amp;$K$2,ODDS!B188:$K$50000,3,0)," ")</f>
        <v xml:space="preserve"> </v>
      </c>
      <c r="N189" s="53" t="str">
        <f>IFERROR(VLOOKUP(A189&amp;$K$2,ODDS!B188:$K$50000,5,0)," ")</f>
        <v xml:space="preserve"> </v>
      </c>
      <c r="O189" s="53" t="s">
        <v>211</v>
      </c>
      <c r="P189" s="53" t="str">
        <f>IFERROR(VLOOKUP(A189&amp;$K$2,ODDS!B188:$K$50000,6,0)," ")</f>
        <v xml:space="preserve"> </v>
      </c>
      <c r="Q189" s="39" t="str">
        <f>IFERROR(VLOOKUP(A189&amp;$K$2,ODDS!B188:$K$50000,4,0)," ")</f>
        <v xml:space="preserve"> </v>
      </c>
      <c r="R189" s="53" t="str">
        <f t="shared" si="8"/>
        <v xml:space="preserve"> </v>
      </c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</row>
    <row r="190" spans="2:31" x14ac:dyDescent="0.25">
      <c r="B190" s="54" t="str">
        <f>IFERROR(VLOOKUP(A190&amp;$I$2,ODDS!A189:$K$50000,3,0)," ")</f>
        <v xml:space="preserve"> </v>
      </c>
      <c r="C190" s="53" t="str">
        <f>IFERROR(VLOOKUP(A190&amp;$I$2,ODDS!A189:$K$50000,4,0)," ")</f>
        <v xml:space="preserve"> </v>
      </c>
      <c r="D190" s="53" t="str">
        <f>IFERROR(VLOOKUP(A190&amp;$I$2,ODDS!A189:$K$50000,6,0)," ")</f>
        <v xml:space="preserve"> </v>
      </c>
      <c r="E190" s="53" t="s">
        <v>211</v>
      </c>
      <c r="F190" s="53" t="str">
        <f>IFERROR(VLOOKUP(A190&amp;$I$2,ODDS!A189:$K$50000,7,0)," ")</f>
        <v xml:space="preserve"> </v>
      </c>
      <c r="G190" s="53" t="str">
        <f>IFERROR(VLOOKUP(A190&amp;$I$2,ODDS!A189:$K$50000,5,0)," ")</f>
        <v xml:space="preserve"> </v>
      </c>
      <c r="H190" s="53" t="str">
        <f t="shared" si="7"/>
        <v xml:space="preserve"> </v>
      </c>
      <c r="I190" s="22"/>
      <c r="J190" s="22"/>
      <c r="K190" s="22"/>
      <c r="L190" s="60" t="str">
        <f>IFERROR(VLOOKUP(A190&amp;$K$2,ODDS!B189:$K$50000,2,0)," ")</f>
        <v xml:space="preserve"> </v>
      </c>
      <c r="M190" s="39" t="str">
        <f>IFERROR(VLOOKUP(A190&amp;$K$2,ODDS!B189:$K$50000,3,0)," ")</f>
        <v xml:space="preserve"> </v>
      </c>
      <c r="N190" s="53" t="str">
        <f>IFERROR(VLOOKUP(A190&amp;$K$2,ODDS!B189:$K$50000,5,0)," ")</f>
        <v xml:space="preserve"> </v>
      </c>
      <c r="O190" s="53" t="s">
        <v>211</v>
      </c>
      <c r="P190" s="53" t="str">
        <f>IFERROR(VLOOKUP(A190&amp;$K$2,ODDS!B189:$K$50000,6,0)," ")</f>
        <v xml:space="preserve"> </v>
      </c>
      <c r="Q190" s="39" t="str">
        <f>IFERROR(VLOOKUP(A190&amp;$K$2,ODDS!B189:$K$50000,4,0)," ")</f>
        <v xml:space="preserve"> </v>
      </c>
      <c r="R190" s="53" t="str">
        <f t="shared" si="8"/>
        <v xml:space="preserve"> </v>
      </c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 t="s">
        <v>217</v>
      </c>
    </row>
    <row r="191" spans="2:31" x14ac:dyDescent="0.25">
      <c r="B191" s="54" t="str">
        <f>IFERROR(VLOOKUP(A191&amp;$I$2,ODDS!A190:$K$50000,3,0)," ")</f>
        <v xml:space="preserve"> </v>
      </c>
      <c r="C191" s="53" t="str">
        <f>IFERROR(VLOOKUP(A191&amp;$I$2,ODDS!A190:$K$50000,4,0)," ")</f>
        <v xml:space="preserve"> </v>
      </c>
      <c r="D191" s="53" t="str">
        <f>IFERROR(VLOOKUP(A191&amp;$I$2,ODDS!A190:$K$50000,6,0)," ")</f>
        <v xml:space="preserve"> </v>
      </c>
      <c r="E191" s="53" t="s">
        <v>211</v>
      </c>
      <c r="F191" s="53" t="str">
        <f>IFERROR(VLOOKUP(A191&amp;$I$2,ODDS!A190:$K$50000,7,0)," ")</f>
        <v xml:space="preserve"> </v>
      </c>
      <c r="G191" s="53" t="str">
        <f>IFERROR(VLOOKUP(A191&amp;$I$2,ODDS!A190:$K$50000,5,0)," ")</f>
        <v xml:space="preserve"> </v>
      </c>
      <c r="H191" s="53" t="str">
        <f t="shared" si="7"/>
        <v xml:space="preserve"> </v>
      </c>
      <c r="I191" s="22"/>
      <c r="J191" s="22"/>
      <c r="K191" s="22"/>
      <c r="L191" s="60" t="str">
        <f>IFERROR(VLOOKUP(A191&amp;$K$2,ODDS!B190:$K$50000,2,0)," ")</f>
        <v xml:space="preserve"> </v>
      </c>
      <c r="M191" s="39" t="str">
        <f>IFERROR(VLOOKUP(A191&amp;$K$2,ODDS!B190:$K$50000,3,0)," ")</f>
        <v xml:space="preserve"> </v>
      </c>
      <c r="N191" s="53" t="str">
        <f>IFERROR(VLOOKUP(A191&amp;$K$2,ODDS!B190:$K$50000,5,0)," ")</f>
        <v xml:space="preserve"> </v>
      </c>
      <c r="O191" s="53" t="s">
        <v>211</v>
      </c>
      <c r="P191" s="53" t="str">
        <f>IFERROR(VLOOKUP(A191&amp;$K$2,ODDS!B190:$K$50000,6,0)," ")</f>
        <v xml:space="preserve"> </v>
      </c>
      <c r="Q191" s="39" t="str">
        <f>IFERROR(VLOOKUP(A191&amp;$K$2,ODDS!B190:$K$50000,4,0)," ")</f>
        <v xml:space="preserve"> </v>
      </c>
      <c r="R191" s="53" t="str">
        <f t="shared" si="8"/>
        <v xml:space="preserve"> </v>
      </c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</row>
    <row r="192" spans="2:31" x14ac:dyDescent="0.25">
      <c r="B192" s="54" t="str">
        <f>IFERROR(VLOOKUP(A192&amp;$I$2,ODDS!A191:$K$50000,3,0)," ")</f>
        <v xml:space="preserve"> </v>
      </c>
      <c r="C192" s="53" t="str">
        <f>IFERROR(VLOOKUP(A192&amp;$I$2,ODDS!A191:$K$50000,4,0)," ")</f>
        <v xml:space="preserve"> </v>
      </c>
      <c r="D192" s="53" t="str">
        <f>IFERROR(VLOOKUP(A192&amp;$I$2,ODDS!A191:$K$50000,6,0)," ")</f>
        <v xml:space="preserve"> </v>
      </c>
      <c r="E192" s="53" t="s">
        <v>211</v>
      </c>
      <c r="F192" s="53" t="str">
        <f>IFERROR(VLOOKUP(A192&amp;$I$2,ODDS!A191:$K$50000,7,0)," ")</f>
        <v xml:space="preserve"> </v>
      </c>
      <c r="G192" s="53" t="str">
        <f>IFERROR(VLOOKUP(A192&amp;$I$2,ODDS!A191:$K$50000,5,0)," ")</f>
        <v xml:space="preserve"> </v>
      </c>
      <c r="H192" s="53" t="str">
        <f t="shared" si="7"/>
        <v xml:space="preserve"> </v>
      </c>
      <c r="I192" s="22"/>
      <c r="J192" s="22"/>
      <c r="K192" s="22"/>
      <c r="L192" s="60" t="str">
        <f>IFERROR(VLOOKUP(A192&amp;$K$2,ODDS!B191:$K$50000,2,0)," ")</f>
        <v xml:space="preserve"> </v>
      </c>
      <c r="M192" s="39" t="str">
        <f>IFERROR(VLOOKUP(A192&amp;$K$2,ODDS!B191:$K$50000,3,0)," ")</f>
        <v xml:space="preserve"> </v>
      </c>
      <c r="N192" s="53" t="str">
        <f>IFERROR(VLOOKUP(A192&amp;$K$2,ODDS!B191:$K$50000,5,0)," ")</f>
        <v xml:space="preserve"> </v>
      </c>
      <c r="O192" s="53" t="s">
        <v>211</v>
      </c>
      <c r="P192" s="53" t="str">
        <f>IFERROR(VLOOKUP(A192&amp;$K$2,ODDS!B191:$K$50000,6,0)," ")</f>
        <v xml:space="preserve"> </v>
      </c>
      <c r="Q192" s="39" t="str">
        <f>IFERROR(VLOOKUP(A192&amp;$K$2,ODDS!B191:$K$50000,4,0)," ")</f>
        <v xml:space="preserve"> </v>
      </c>
      <c r="R192" s="53" t="str">
        <f t="shared" si="8"/>
        <v xml:space="preserve"> </v>
      </c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 t="s">
        <v>217</v>
      </c>
    </row>
    <row r="193" spans="2:31" x14ac:dyDescent="0.25">
      <c r="B193" s="54" t="str">
        <f>IFERROR(VLOOKUP(A193&amp;$I$2,ODDS!A192:$K$50000,3,0)," ")</f>
        <v xml:space="preserve"> </v>
      </c>
      <c r="C193" s="53" t="str">
        <f>IFERROR(VLOOKUP(A193&amp;$I$2,ODDS!A192:$K$50000,4,0)," ")</f>
        <v xml:space="preserve"> </v>
      </c>
      <c r="D193" s="53" t="str">
        <f>IFERROR(VLOOKUP(A193&amp;$I$2,ODDS!A192:$K$50000,6,0)," ")</f>
        <v xml:space="preserve"> </v>
      </c>
      <c r="E193" s="53" t="s">
        <v>211</v>
      </c>
      <c r="F193" s="53" t="str">
        <f>IFERROR(VLOOKUP(A193&amp;$I$2,ODDS!A192:$K$50000,7,0)," ")</f>
        <v xml:space="preserve"> </v>
      </c>
      <c r="G193" s="53" t="str">
        <f>IFERROR(VLOOKUP(A193&amp;$I$2,ODDS!A192:$K$50000,5,0)," ")</f>
        <v xml:space="preserve"> </v>
      </c>
      <c r="H193" s="53" t="str">
        <f t="shared" si="7"/>
        <v xml:space="preserve"> </v>
      </c>
      <c r="I193" s="22"/>
      <c r="J193" s="22"/>
      <c r="K193" s="22"/>
      <c r="L193" s="60" t="str">
        <f>IFERROR(VLOOKUP(A193&amp;$K$2,ODDS!B192:$K$50000,2,0)," ")</f>
        <v xml:space="preserve"> </v>
      </c>
      <c r="M193" s="39" t="str">
        <f>IFERROR(VLOOKUP(A193&amp;$K$2,ODDS!B192:$K$50000,3,0)," ")</f>
        <v xml:space="preserve"> </v>
      </c>
      <c r="N193" s="53" t="str">
        <f>IFERROR(VLOOKUP(A193&amp;$K$2,ODDS!B192:$K$50000,5,0)," ")</f>
        <v xml:space="preserve"> </v>
      </c>
      <c r="O193" s="53" t="s">
        <v>211</v>
      </c>
      <c r="P193" s="53" t="str">
        <f>IFERROR(VLOOKUP(A193&amp;$K$2,ODDS!B192:$K$50000,6,0)," ")</f>
        <v xml:space="preserve"> </v>
      </c>
      <c r="Q193" s="39" t="str">
        <f>IFERROR(VLOOKUP(A193&amp;$K$2,ODDS!B192:$K$50000,4,0)," ")</f>
        <v xml:space="preserve"> </v>
      </c>
      <c r="R193" s="53" t="str">
        <f t="shared" si="8"/>
        <v xml:space="preserve"> </v>
      </c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</row>
    <row r="194" spans="2:31" x14ac:dyDescent="0.25">
      <c r="B194" s="54" t="str">
        <f>IFERROR(VLOOKUP(A194&amp;$I$2,ODDS!A193:$K$50000,3,0)," ")</f>
        <v xml:space="preserve"> </v>
      </c>
      <c r="C194" s="53" t="str">
        <f>IFERROR(VLOOKUP(A194&amp;$I$2,ODDS!A193:$K$50000,4,0)," ")</f>
        <v xml:space="preserve"> </v>
      </c>
      <c r="D194" s="53" t="str">
        <f>IFERROR(VLOOKUP(A194&amp;$I$2,ODDS!A193:$K$50000,6,0)," ")</f>
        <v xml:space="preserve"> </v>
      </c>
      <c r="E194" s="53" t="s">
        <v>211</v>
      </c>
      <c r="F194" s="53" t="str">
        <f>IFERROR(VLOOKUP(A194&amp;$I$2,ODDS!A193:$K$50000,7,0)," ")</f>
        <v xml:space="preserve"> </v>
      </c>
      <c r="G194" s="53" t="str">
        <f>IFERROR(VLOOKUP(A194&amp;$I$2,ODDS!A193:$K$50000,5,0)," ")</f>
        <v xml:space="preserve"> </v>
      </c>
      <c r="H194" s="53" t="str">
        <f t="shared" si="7"/>
        <v xml:space="preserve"> </v>
      </c>
      <c r="I194" s="22"/>
      <c r="J194" s="22"/>
      <c r="K194" s="22"/>
      <c r="L194" s="60" t="str">
        <f>IFERROR(VLOOKUP(A194&amp;$K$2,ODDS!B193:$K$50000,2,0)," ")</f>
        <v xml:space="preserve"> </v>
      </c>
      <c r="M194" s="39" t="str">
        <f>IFERROR(VLOOKUP(A194&amp;$K$2,ODDS!B193:$K$50000,3,0)," ")</f>
        <v xml:space="preserve"> </v>
      </c>
      <c r="N194" s="53" t="str">
        <f>IFERROR(VLOOKUP(A194&amp;$K$2,ODDS!B193:$K$50000,5,0)," ")</f>
        <v xml:space="preserve"> </v>
      </c>
      <c r="O194" s="53" t="s">
        <v>211</v>
      </c>
      <c r="P194" s="53" t="str">
        <f>IFERROR(VLOOKUP(A194&amp;$K$2,ODDS!B193:$K$50000,6,0)," ")</f>
        <v xml:space="preserve"> </v>
      </c>
      <c r="Q194" s="39" t="str">
        <f>IFERROR(VLOOKUP(A194&amp;$K$2,ODDS!B193:$K$50000,4,0)," ")</f>
        <v xml:space="preserve"> </v>
      </c>
      <c r="R194" s="53" t="str">
        <f t="shared" si="8"/>
        <v xml:space="preserve"> </v>
      </c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 t="s">
        <v>217</v>
      </c>
    </row>
    <row r="195" spans="2:31" x14ac:dyDescent="0.25">
      <c r="B195" s="54" t="str">
        <f>IFERROR(VLOOKUP(A195&amp;$I$2,ODDS!A194:$K$50000,3,0)," ")</f>
        <v xml:space="preserve"> </v>
      </c>
      <c r="C195" s="53" t="str">
        <f>IFERROR(VLOOKUP(A195&amp;$I$2,ODDS!A194:$K$50000,4,0)," ")</f>
        <v xml:space="preserve"> </v>
      </c>
      <c r="D195" s="53" t="str">
        <f>IFERROR(VLOOKUP(A195&amp;$I$2,ODDS!A194:$K$50000,6,0)," ")</f>
        <v xml:space="preserve"> </v>
      </c>
      <c r="E195" s="53" t="s">
        <v>211</v>
      </c>
      <c r="F195" s="53" t="str">
        <f>IFERROR(VLOOKUP(A195&amp;$I$2,ODDS!A194:$K$50000,7,0)," ")</f>
        <v xml:space="preserve"> </v>
      </c>
      <c r="G195" s="53" t="str">
        <f>IFERROR(VLOOKUP(A195&amp;$I$2,ODDS!A194:$K$50000,5,0)," ")</f>
        <v xml:space="preserve"> </v>
      </c>
      <c r="H195" s="53" t="str">
        <f t="shared" si="7"/>
        <v xml:space="preserve"> </v>
      </c>
      <c r="I195" s="22"/>
      <c r="J195" s="22"/>
      <c r="K195" s="22"/>
      <c r="L195" s="60" t="str">
        <f>IFERROR(VLOOKUP(A195&amp;$K$2,ODDS!B194:$K$50000,2,0)," ")</f>
        <v xml:space="preserve"> </v>
      </c>
      <c r="M195" s="39" t="str">
        <f>IFERROR(VLOOKUP(A195&amp;$K$2,ODDS!B194:$K$50000,3,0)," ")</f>
        <v xml:space="preserve"> </v>
      </c>
      <c r="N195" s="53" t="str">
        <f>IFERROR(VLOOKUP(A195&amp;$K$2,ODDS!B194:$K$50000,5,0)," ")</f>
        <v xml:space="preserve"> </v>
      </c>
      <c r="O195" s="53" t="s">
        <v>211</v>
      </c>
      <c r="P195" s="53" t="str">
        <f>IFERROR(VLOOKUP(A195&amp;$K$2,ODDS!B194:$K$50000,6,0)," ")</f>
        <v xml:space="preserve"> </v>
      </c>
      <c r="Q195" s="39" t="str">
        <f>IFERROR(VLOOKUP(A195&amp;$K$2,ODDS!B194:$K$50000,4,0)," ")</f>
        <v xml:space="preserve"> </v>
      </c>
      <c r="R195" s="53" t="str">
        <f t="shared" si="8"/>
        <v xml:space="preserve"> </v>
      </c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</row>
    <row r="196" spans="2:31" x14ac:dyDescent="0.25">
      <c r="B196" s="54" t="str">
        <f>IFERROR(VLOOKUP(A196&amp;$I$2,ODDS!A195:$K$50000,3,0)," ")</f>
        <v xml:space="preserve"> </v>
      </c>
      <c r="C196" s="53" t="str">
        <f>IFERROR(VLOOKUP(A196&amp;$I$2,ODDS!A195:$K$50000,4,0)," ")</f>
        <v xml:space="preserve"> </v>
      </c>
      <c r="D196" s="53" t="str">
        <f>IFERROR(VLOOKUP(A196&amp;$I$2,ODDS!A195:$K$50000,6,0)," ")</f>
        <v xml:space="preserve"> </v>
      </c>
      <c r="E196" s="53" t="s">
        <v>211</v>
      </c>
      <c r="F196" s="53" t="str">
        <f>IFERROR(VLOOKUP(A196&amp;$I$2,ODDS!A195:$K$50000,7,0)," ")</f>
        <v xml:space="preserve"> </v>
      </c>
      <c r="G196" s="53" t="str">
        <f>IFERROR(VLOOKUP(A196&amp;$I$2,ODDS!A195:$K$50000,5,0)," ")</f>
        <v xml:space="preserve"> </v>
      </c>
      <c r="H196" s="53" t="str">
        <f t="shared" si="7"/>
        <v xml:space="preserve"> </v>
      </c>
      <c r="I196" s="22"/>
      <c r="J196" s="22"/>
      <c r="K196" s="22"/>
      <c r="L196" s="60" t="str">
        <f>IFERROR(VLOOKUP(A196&amp;$K$2,ODDS!B195:$K$50000,2,0)," ")</f>
        <v xml:space="preserve"> </v>
      </c>
      <c r="M196" s="39" t="str">
        <f>IFERROR(VLOOKUP(A196&amp;$K$2,ODDS!B195:$K$50000,3,0)," ")</f>
        <v xml:space="preserve"> </v>
      </c>
      <c r="N196" s="53" t="str">
        <f>IFERROR(VLOOKUP(A196&amp;$K$2,ODDS!B195:$K$50000,5,0)," ")</f>
        <v xml:space="preserve"> </v>
      </c>
      <c r="O196" s="53" t="s">
        <v>211</v>
      </c>
      <c r="P196" s="53" t="str">
        <f>IFERROR(VLOOKUP(A196&amp;$K$2,ODDS!B195:$K$50000,6,0)," ")</f>
        <v xml:space="preserve"> </v>
      </c>
      <c r="Q196" s="39" t="str">
        <f>IFERROR(VLOOKUP(A196&amp;$K$2,ODDS!B195:$K$50000,4,0)," ")</f>
        <v xml:space="preserve"> </v>
      </c>
      <c r="R196" s="53" t="str">
        <f t="shared" si="8"/>
        <v xml:space="preserve"> </v>
      </c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 t="s">
        <v>217</v>
      </c>
    </row>
    <row r="197" spans="2:31" x14ac:dyDescent="0.25">
      <c r="B197" s="54" t="str">
        <f>IFERROR(VLOOKUP(A197&amp;$I$2,ODDS!A196:$K$50000,3,0)," ")</f>
        <v xml:space="preserve"> </v>
      </c>
      <c r="C197" s="53" t="str">
        <f>IFERROR(VLOOKUP(A197&amp;$I$2,ODDS!A196:$K$50000,4,0)," ")</f>
        <v xml:space="preserve"> </v>
      </c>
      <c r="D197" s="53" t="str">
        <f>IFERROR(VLOOKUP(A197&amp;$I$2,ODDS!A196:$K$50000,6,0)," ")</f>
        <v xml:space="preserve"> </v>
      </c>
      <c r="E197" s="53" t="s">
        <v>211</v>
      </c>
      <c r="F197" s="53" t="str">
        <f>IFERROR(VLOOKUP(A197&amp;$I$2,ODDS!A196:$K$50000,7,0)," ")</f>
        <v xml:space="preserve"> </v>
      </c>
      <c r="G197" s="53" t="str">
        <f>IFERROR(VLOOKUP(A197&amp;$I$2,ODDS!A196:$K$50000,5,0)," ")</f>
        <v xml:space="preserve"> </v>
      </c>
      <c r="H197" s="53" t="str">
        <f t="shared" si="7"/>
        <v xml:space="preserve"> </v>
      </c>
      <c r="I197" s="22"/>
      <c r="J197" s="22"/>
      <c r="K197" s="22"/>
      <c r="L197" s="60" t="str">
        <f>IFERROR(VLOOKUP(A197&amp;$K$2,ODDS!B196:$K$50000,2,0)," ")</f>
        <v xml:space="preserve"> </v>
      </c>
      <c r="M197" s="39" t="str">
        <f>IFERROR(VLOOKUP(A197&amp;$K$2,ODDS!B196:$K$50000,3,0)," ")</f>
        <v xml:space="preserve"> </v>
      </c>
      <c r="N197" s="53" t="str">
        <f>IFERROR(VLOOKUP(A197&amp;$K$2,ODDS!B196:$K$50000,5,0)," ")</f>
        <v xml:space="preserve"> </v>
      </c>
      <c r="O197" s="53" t="s">
        <v>211</v>
      </c>
      <c r="P197" s="53" t="str">
        <f>IFERROR(VLOOKUP(A197&amp;$K$2,ODDS!B196:$K$50000,6,0)," ")</f>
        <v xml:space="preserve"> </v>
      </c>
      <c r="Q197" s="39" t="str">
        <f>IFERROR(VLOOKUP(A197&amp;$K$2,ODDS!B196:$K$50000,4,0)," ")</f>
        <v xml:space="preserve"> </v>
      </c>
      <c r="R197" s="53" t="str">
        <f t="shared" si="8"/>
        <v xml:space="preserve"> </v>
      </c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</row>
    <row r="198" spans="2:31" x14ac:dyDescent="0.25">
      <c r="B198" s="54" t="str">
        <f>IFERROR(VLOOKUP(A198&amp;$I$2,ODDS!A197:$K$50000,3,0)," ")</f>
        <v xml:space="preserve"> </v>
      </c>
      <c r="C198" s="53" t="str">
        <f>IFERROR(VLOOKUP(A198&amp;$I$2,ODDS!A197:$K$50000,4,0)," ")</f>
        <v xml:space="preserve"> </v>
      </c>
      <c r="D198" s="53" t="str">
        <f>IFERROR(VLOOKUP(A198&amp;$I$2,ODDS!A197:$K$50000,6,0)," ")</f>
        <v xml:space="preserve"> </v>
      </c>
      <c r="E198" s="53" t="s">
        <v>211</v>
      </c>
      <c r="F198" s="53" t="str">
        <f>IFERROR(VLOOKUP(A198&amp;$I$2,ODDS!A197:$K$50000,7,0)," ")</f>
        <v xml:space="preserve"> </v>
      </c>
      <c r="G198" s="53" t="str">
        <f>IFERROR(VLOOKUP(A198&amp;$I$2,ODDS!A197:$K$50000,5,0)," ")</f>
        <v xml:space="preserve"> </v>
      </c>
      <c r="H198" s="53" t="str">
        <f t="shared" si="7"/>
        <v xml:space="preserve"> </v>
      </c>
      <c r="I198" s="22"/>
      <c r="J198" s="22"/>
      <c r="K198" s="22"/>
      <c r="L198" s="60" t="str">
        <f>IFERROR(VLOOKUP(A198&amp;$K$2,ODDS!B197:$K$50000,2,0)," ")</f>
        <v xml:space="preserve"> </v>
      </c>
      <c r="M198" s="39" t="str">
        <f>IFERROR(VLOOKUP(A198&amp;$K$2,ODDS!B197:$K$50000,3,0)," ")</f>
        <v xml:space="preserve"> </v>
      </c>
      <c r="N198" s="53" t="str">
        <f>IFERROR(VLOOKUP(A198&amp;$K$2,ODDS!B197:$K$50000,5,0)," ")</f>
        <v xml:space="preserve"> </v>
      </c>
      <c r="O198" s="53" t="s">
        <v>211</v>
      </c>
      <c r="P198" s="53" t="str">
        <f>IFERROR(VLOOKUP(A198&amp;$K$2,ODDS!B197:$K$50000,6,0)," ")</f>
        <v xml:space="preserve"> </v>
      </c>
      <c r="Q198" s="39" t="str">
        <f>IFERROR(VLOOKUP(A198&amp;$K$2,ODDS!B197:$K$50000,4,0)," ")</f>
        <v xml:space="preserve"> </v>
      </c>
      <c r="R198" s="53" t="str">
        <f t="shared" si="8"/>
        <v xml:space="preserve"> </v>
      </c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 t="s">
        <v>217</v>
      </c>
    </row>
    <row r="199" spans="2:31" x14ac:dyDescent="0.25">
      <c r="B199" s="54" t="str">
        <f>IFERROR(VLOOKUP(A199&amp;$I$2,ODDS!A198:$K$50000,3,0)," ")</f>
        <v xml:space="preserve"> </v>
      </c>
      <c r="C199" s="53" t="str">
        <f>IFERROR(VLOOKUP(A199&amp;$I$2,ODDS!A198:$K$50000,4,0)," ")</f>
        <v xml:space="preserve"> </v>
      </c>
      <c r="D199" s="53" t="str">
        <f>IFERROR(VLOOKUP(A199&amp;$I$2,ODDS!A198:$K$50000,6,0)," ")</f>
        <v xml:space="preserve"> </v>
      </c>
      <c r="E199" s="53" t="s">
        <v>211</v>
      </c>
      <c r="F199" s="53" t="str">
        <f>IFERROR(VLOOKUP(A199&amp;$I$2,ODDS!A198:$K$50000,7,0)," ")</f>
        <v xml:space="preserve"> </v>
      </c>
      <c r="G199" s="53" t="str">
        <f>IFERROR(VLOOKUP(A199&amp;$I$2,ODDS!A198:$K$50000,5,0)," ")</f>
        <v xml:space="preserve"> </v>
      </c>
      <c r="H199" s="53" t="str">
        <f t="shared" si="7"/>
        <v xml:space="preserve"> </v>
      </c>
      <c r="I199" s="22"/>
      <c r="J199" s="22"/>
      <c r="K199" s="22"/>
      <c r="L199" s="60" t="str">
        <f>IFERROR(VLOOKUP(A199&amp;$K$2,ODDS!B198:$K$50000,2,0)," ")</f>
        <v xml:space="preserve"> </v>
      </c>
      <c r="M199" s="39" t="str">
        <f>IFERROR(VLOOKUP(A199&amp;$K$2,ODDS!B198:$K$50000,3,0)," ")</f>
        <v xml:space="preserve"> </v>
      </c>
      <c r="N199" s="53" t="str">
        <f>IFERROR(VLOOKUP(A199&amp;$K$2,ODDS!B198:$K$50000,5,0)," ")</f>
        <v xml:space="preserve"> </v>
      </c>
      <c r="O199" s="53" t="s">
        <v>211</v>
      </c>
      <c r="P199" s="53" t="str">
        <f>IFERROR(VLOOKUP(A199&amp;$K$2,ODDS!B198:$K$50000,6,0)," ")</f>
        <v xml:space="preserve"> </v>
      </c>
      <c r="Q199" s="39" t="str">
        <f>IFERROR(VLOOKUP(A199&amp;$K$2,ODDS!B198:$K$50000,4,0)," ")</f>
        <v xml:space="preserve"> </v>
      </c>
      <c r="R199" s="53" t="str">
        <f t="shared" si="8"/>
        <v xml:space="preserve"> </v>
      </c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</row>
    <row r="200" spans="2:31" x14ac:dyDescent="0.25">
      <c r="B200" s="54" t="str">
        <f>IFERROR(VLOOKUP(A200&amp;$I$2,ODDS!A199:$K$50000,3,0)," ")</f>
        <v xml:space="preserve"> </v>
      </c>
      <c r="C200" s="53" t="str">
        <f>IFERROR(VLOOKUP(A200&amp;$I$2,ODDS!A199:$K$50000,4,0)," ")</f>
        <v xml:space="preserve"> </v>
      </c>
      <c r="D200" s="53" t="str">
        <f>IFERROR(VLOOKUP(A200&amp;$I$2,ODDS!A199:$K$50000,6,0)," ")</f>
        <v xml:space="preserve"> </v>
      </c>
      <c r="E200" s="53" t="s">
        <v>211</v>
      </c>
      <c r="F200" s="53" t="str">
        <f>IFERROR(VLOOKUP(A200&amp;$I$2,ODDS!A199:$K$50000,7,0)," ")</f>
        <v xml:space="preserve"> </v>
      </c>
      <c r="G200" s="53" t="str">
        <f>IFERROR(VLOOKUP(A200&amp;$I$2,ODDS!A199:$K$50000,5,0)," ")</f>
        <v xml:space="preserve"> </v>
      </c>
      <c r="H200" s="53" t="str">
        <f t="shared" si="7"/>
        <v xml:space="preserve"> </v>
      </c>
      <c r="I200" s="22"/>
      <c r="J200" s="22"/>
      <c r="K200" s="22"/>
      <c r="L200" s="60" t="str">
        <f>IFERROR(VLOOKUP(A200&amp;$K$2,ODDS!B199:$K$50000,2,0)," ")</f>
        <v xml:space="preserve"> </v>
      </c>
      <c r="M200" s="39" t="str">
        <f>IFERROR(VLOOKUP(A200&amp;$K$2,ODDS!B199:$K$50000,3,0)," ")</f>
        <v xml:space="preserve"> </v>
      </c>
      <c r="N200" s="53" t="str">
        <f>IFERROR(VLOOKUP(A200&amp;$K$2,ODDS!B199:$K$50000,5,0)," ")</f>
        <v xml:space="preserve"> </v>
      </c>
      <c r="O200" s="53" t="s">
        <v>211</v>
      </c>
      <c r="P200" s="53" t="str">
        <f>IFERROR(VLOOKUP(A200&amp;$K$2,ODDS!B199:$K$50000,6,0)," ")</f>
        <v xml:space="preserve"> </v>
      </c>
      <c r="Q200" s="39" t="str">
        <f>IFERROR(VLOOKUP(A200&amp;$K$2,ODDS!B199:$K$50000,4,0)," ")</f>
        <v xml:space="preserve"> </v>
      </c>
      <c r="R200" s="53" t="str">
        <f t="shared" si="8"/>
        <v xml:space="preserve"> </v>
      </c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 t="s">
        <v>217</v>
      </c>
    </row>
    <row r="201" spans="2:31" x14ac:dyDescent="0.25">
      <c r="B201" s="54" t="str">
        <f>IFERROR(VLOOKUP(A201&amp;$I$2,ODDS!A200:$K$50000,3,0)," ")</f>
        <v xml:space="preserve"> </v>
      </c>
      <c r="C201" s="53" t="str">
        <f>IFERROR(VLOOKUP(A201&amp;$I$2,ODDS!A200:$K$50000,4,0)," ")</f>
        <v xml:space="preserve"> </v>
      </c>
      <c r="D201" s="53" t="str">
        <f>IFERROR(VLOOKUP(A201&amp;$I$2,ODDS!A200:$K$50000,6,0)," ")</f>
        <v xml:space="preserve"> </v>
      </c>
      <c r="E201" s="53" t="s">
        <v>211</v>
      </c>
      <c r="F201" s="53" t="str">
        <f>IFERROR(VLOOKUP(A201&amp;$I$2,ODDS!A200:$K$50000,7,0)," ")</f>
        <v xml:space="preserve"> </v>
      </c>
      <c r="G201" s="53" t="str">
        <f>IFERROR(VLOOKUP(A201&amp;$I$2,ODDS!A200:$K$50000,5,0)," ")</f>
        <v xml:space="preserve"> </v>
      </c>
      <c r="H201" s="53" t="str">
        <f t="shared" si="7"/>
        <v xml:space="preserve"> </v>
      </c>
      <c r="I201" s="22"/>
      <c r="J201" s="22"/>
      <c r="K201" s="22"/>
      <c r="L201" s="60" t="str">
        <f>IFERROR(VLOOKUP(A201&amp;$K$2,ODDS!B200:$K$50000,2,0)," ")</f>
        <v xml:space="preserve"> </v>
      </c>
      <c r="M201" s="39" t="str">
        <f>IFERROR(VLOOKUP(A201&amp;$K$2,ODDS!B200:$K$50000,3,0)," ")</f>
        <v xml:space="preserve"> </v>
      </c>
      <c r="N201" s="53" t="str">
        <f>IFERROR(VLOOKUP(A201&amp;$K$2,ODDS!B200:$K$50000,5,0)," ")</f>
        <v xml:space="preserve"> </v>
      </c>
      <c r="O201" s="53" t="s">
        <v>211</v>
      </c>
      <c r="P201" s="53" t="str">
        <f>IFERROR(VLOOKUP(A201&amp;$K$2,ODDS!B200:$K$50000,6,0)," ")</f>
        <v xml:space="preserve"> </v>
      </c>
      <c r="Q201" s="39" t="str">
        <f>IFERROR(VLOOKUP(A201&amp;$K$2,ODDS!B200:$K$50000,4,0)," ")</f>
        <v xml:space="preserve"> </v>
      </c>
      <c r="R201" s="53" t="str">
        <f t="shared" si="8"/>
        <v xml:space="preserve"> </v>
      </c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</row>
    <row r="202" spans="2:31" x14ac:dyDescent="0.25">
      <c r="B202" s="54" t="str">
        <f>IFERROR(VLOOKUP(A202&amp;$I$2,ODDS!A201:$K$50000,3,0)," ")</f>
        <v xml:space="preserve"> </v>
      </c>
      <c r="C202" s="53" t="str">
        <f>IFERROR(VLOOKUP(A202&amp;$I$2,ODDS!A201:$K$50000,4,0)," ")</f>
        <v xml:space="preserve"> </v>
      </c>
      <c r="D202" s="53" t="str">
        <f>IFERROR(VLOOKUP(A202&amp;$I$2,ODDS!A201:$K$50000,6,0)," ")</f>
        <v xml:space="preserve"> </v>
      </c>
      <c r="E202" s="53" t="s">
        <v>211</v>
      </c>
      <c r="F202" s="53" t="str">
        <f>IFERROR(VLOOKUP(A202&amp;$I$2,ODDS!A201:$K$50000,7,0)," ")</f>
        <v xml:space="preserve"> </v>
      </c>
      <c r="G202" s="53" t="str">
        <f>IFERROR(VLOOKUP(A202&amp;$I$2,ODDS!A201:$K$50000,5,0)," ")</f>
        <v xml:space="preserve"> </v>
      </c>
      <c r="H202" s="53" t="str">
        <f t="shared" si="7"/>
        <v xml:space="preserve"> </v>
      </c>
      <c r="I202" s="22"/>
      <c r="J202" s="22"/>
      <c r="K202" s="22"/>
      <c r="L202" s="60" t="str">
        <f>IFERROR(VLOOKUP(A202&amp;$K$2,ODDS!B201:$K$50000,2,0)," ")</f>
        <v xml:space="preserve"> </v>
      </c>
      <c r="M202" s="39" t="str">
        <f>IFERROR(VLOOKUP(A202&amp;$K$2,ODDS!B201:$K$50000,3,0)," ")</f>
        <v xml:space="preserve"> </v>
      </c>
      <c r="N202" s="53" t="str">
        <f>IFERROR(VLOOKUP(A202&amp;$K$2,ODDS!B201:$K$50000,5,0)," ")</f>
        <v xml:space="preserve"> </v>
      </c>
      <c r="O202" s="53" t="s">
        <v>211</v>
      </c>
      <c r="P202" s="53" t="str">
        <f>IFERROR(VLOOKUP(A202&amp;$K$2,ODDS!B201:$K$50000,6,0)," ")</f>
        <v xml:space="preserve"> </v>
      </c>
      <c r="Q202" s="39" t="str">
        <f>IFERROR(VLOOKUP(A202&amp;$K$2,ODDS!B201:$K$50000,4,0)," ")</f>
        <v xml:space="preserve"> </v>
      </c>
      <c r="R202" s="53" t="str">
        <f t="shared" si="8"/>
        <v xml:space="preserve"> </v>
      </c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 t="s">
        <v>217</v>
      </c>
    </row>
    <row r="203" spans="2:31" x14ac:dyDescent="0.25">
      <c r="B203" s="54" t="str">
        <f>IFERROR(VLOOKUP(A203&amp;$I$2,ODDS!A202:$K$50000,3,0)," ")</f>
        <v xml:space="preserve"> </v>
      </c>
      <c r="C203" s="53" t="str">
        <f>IFERROR(VLOOKUP(A203&amp;$I$2,ODDS!A202:$K$50000,4,0)," ")</f>
        <v xml:space="preserve"> </v>
      </c>
      <c r="D203" s="53" t="str">
        <f>IFERROR(VLOOKUP(A203&amp;$I$2,ODDS!A202:$K$50000,6,0)," ")</f>
        <v xml:space="preserve"> </v>
      </c>
      <c r="E203" s="53" t="s">
        <v>211</v>
      </c>
      <c r="F203" s="53" t="str">
        <f>IFERROR(VLOOKUP(A203&amp;$I$2,ODDS!A202:$K$50000,7,0)," ")</f>
        <v xml:space="preserve"> </v>
      </c>
      <c r="G203" s="53" t="str">
        <f>IFERROR(VLOOKUP(A203&amp;$I$2,ODDS!A202:$K$50000,5,0)," ")</f>
        <v xml:space="preserve"> </v>
      </c>
      <c r="H203" s="53" t="str">
        <f t="shared" si="7"/>
        <v xml:space="preserve"> </v>
      </c>
      <c r="I203" s="22"/>
      <c r="J203" s="22"/>
      <c r="K203" s="22"/>
      <c r="L203" s="60" t="str">
        <f>IFERROR(VLOOKUP(A203&amp;$K$2,ODDS!B202:$K$50000,2,0)," ")</f>
        <v xml:space="preserve"> </v>
      </c>
      <c r="M203" s="39" t="str">
        <f>IFERROR(VLOOKUP(A203&amp;$K$2,ODDS!B202:$K$50000,3,0)," ")</f>
        <v xml:space="preserve"> </v>
      </c>
      <c r="N203" s="53" t="str">
        <f>IFERROR(VLOOKUP(A203&amp;$K$2,ODDS!B202:$K$50000,5,0)," ")</f>
        <v xml:space="preserve"> </v>
      </c>
      <c r="O203" s="53" t="s">
        <v>211</v>
      </c>
      <c r="P203" s="53" t="str">
        <f>IFERROR(VLOOKUP(A203&amp;$K$2,ODDS!B202:$K$50000,6,0)," ")</f>
        <v xml:space="preserve"> </v>
      </c>
      <c r="Q203" s="39" t="str">
        <f>IFERROR(VLOOKUP(A203&amp;$K$2,ODDS!B202:$K$50000,4,0)," ")</f>
        <v xml:space="preserve"> </v>
      </c>
      <c r="R203" s="53" t="str">
        <f t="shared" si="8"/>
        <v xml:space="preserve"> </v>
      </c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</row>
    <row r="204" spans="2:31" x14ac:dyDescent="0.25">
      <c r="B204" s="54" t="str">
        <f>IFERROR(VLOOKUP(A204&amp;$I$2,ODDS!A203:$K$50000,3,0)," ")</f>
        <v xml:space="preserve"> </v>
      </c>
      <c r="C204" s="53" t="str">
        <f>IFERROR(VLOOKUP(A204&amp;$I$2,ODDS!A203:$K$50000,4,0)," ")</f>
        <v xml:space="preserve"> </v>
      </c>
      <c r="D204" s="53" t="str">
        <f>IFERROR(VLOOKUP(A204&amp;$I$2,ODDS!A203:$K$50000,6,0)," ")</f>
        <v xml:space="preserve"> </v>
      </c>
      <c r="E204" s="53" t="s">
        <v>211</v>
      </c>
      <c r="F204" s="53" t="str">
        <f>IFERROR(VLOOKUP(A204&amp;$I$2,ODDS!A203:$K$50000,7,0)," ")</f>
        <v xml:space="preserve"> </v>
      </c>
      <c r="G204" s="53" t="str">
        <f>IFERROR(VLOOKUP(A204&amp;$I$2,ODDS!A203:$K$50000,5,0)," ")</f>
        <v xml:space="preserve"> </v>
      </c>
      <c r="H204" s="53" t="str">
        <f t="shared" si="7"/>
        <v xml:space="preserve"> </v>
      </c>
      <c r="I204" s="22"/>
      <c r="J204" s="22"/>
      <c r="K204" s="22"/>
      <c r="L204" s="60" t="str">
        <f>IFERROR(VLOOKUP(A204&amp;$K$2,ODDS!B203:$K$50000,2,0)," ")</f>
        <v xml:space="preserve"> </v>
      </c>
      <c r="M204" s="39" t="str">
        <f>IFERROR(VLOOKUP(A204&amp;$K$2,ODDS!B203:$K$50000,3,0)," ")</f>
        <v xml:space="preserve"> </v>
      </c>
      <c r="N204" s="53" t="str">
        <f>IFERROR(VLOOKUP(A204&amp;$K$2,ODDS!B203:$K$50000,5,0)," ")</f>
        <v xml:space="preserve"> </v>
      </c>
      <c r="O204" s="53" t="s">
        <v>211</v>
      </c>
      <c r="P204" s="53" t="str">
        <f>IFERROR(VLOOKUP(A204&amp;$K$2,ODDS!B203:$K$50000,6,0)," ")</f>
        <v xml:space="preserve"> </v>
      </c>
      <c r="Q204" s="39" t="str">
        <f>IFERROR(VLOOKUP(A204&amp;$K$2,ODDS!B203:$K$50000,4,0)," ")</f>
        <v xml:space="preserve"> </v>
      </c>
      <c r="R204" s="53" t="str">
        <f t="shared" si="8"/>
        <v xml:space="preserve"> </v>
      </c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 t="s">
        <v>217</v>
      </c>
    </row>
    <row r="205" spans="2:31" x14ac:dyDescent="0.25">
      <c r="B205" s="54" t="str">
        <f>IFERROR(VLOOKUP(A205&amp;$I$2,ODDS!A204:$K$50000,3,0)," ")</f>
        <v xml:space="preserve"> </v>
      </c>
      <c r="C205" s="53" t="str">
        <f>IFERROR(VLOOKUP(A205&amp;$I$2,ODDS!A204:$K$50000,4,0)," ")</f>
        <v xml:space="preserve"> </v>
      </c>
      <c r="D205" s="53" t="str">
        <f>IFERROR(VLOOKUP(A205&amp;$I$2,ODDS!A204:$K$50000,6,0)," ")</f>
        <v xml:space="preserve"> </v>
      </c>
      <c r="E205" s="53" t="s">
        <v>211</v>
      </c>
      <c r="F205" s="53" t="str">
        <f>IFERROR(VLOOKUP(A205&amp;$I$2,ODDS!A204:$K$50000,7,0)," ")</f>
        <v xml:space="preserve"> </v>
      </c>
      <c r="G205" s="53" t="str">
        <f>IFERROR(VLOOKUP(A205&amp;$I$2,ODDS!A204:$K$50000,5,0)," ")</f>
        <v xml:space="preserve"> </v>
      </c>
      <c r="H205" s="53" t="str">
        <f t="shared" ref="H205:H268" si="9">IF(C205=$I$2,IF(D205&gt;F205,"VENCEU",IF(D205=F205,"EMPATOU",IF(F205&gt;D205,"PERDEU")))," ")</f>
        <v xml:space="preserve"> </v>
      </c>
      <c r="I205" s="22"/>
      <c r="J205" s="22"/>
      <c r="K205" s="22"/>
      <c r="L205" s="60" t="str">
        <f>IFERROR(VLOOKUP(A205&amp;$K$2,ODDS!B204:$K$50000,2,0)," ")</f>
        <v xml:space="preserve"> </v>
      </c>
      <c r="M205" s="39" t="str">
        <f>IFERROR(VLOOKUP(A205&amp;$K$2,ODDS!B204:$K$50000,3,0)," ")</f>
        <v xml:space="preserve"> </v>
      </c>
      <c r="N205" s="53" t="str">
        <f>IFERROR(VLOOKUP(A205&amp;$K$2,ODDS!B204:$K$50000,5,0)," ")</f>
        <v xml:space="preserve"> </v>
      </c>
      <c r="O205" s="53" t="s">
        <v>211</v>
      </c>
      <c r="P205" s="53" t="str">
        <f>IFERROR(VLOOKUP(A205&amp;$K$2,ODDS!B204:$K$50000,6,0)," ")</f>
        <v xml:space="preserve"> </v>
      </c>
      <c r="Q205" s="39" t="str">
        <f>IFERROR(VLOOKUP(A205&amp;$K$2,ODDS!B204:$K$50000,4,0)," ")</f>
        <v xml:space="preserve"> </v>
      </c>
      <c r="R205" s="53" t="str">
        <f t="shared" ref="R205:R268" si="10">IF(Q205=$K$2,IF(P205&gt;N205,"VENCEU",IF(P205=N205,"EMPATOU",IF(N205&gt;P205,"PERDEU")))," ")</f>
        <v xml:space="preserve"> </v>
      </c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</row>
    <row r="206" spans="2:31" x14ac:dyDescent="0.25">
      <c r="B206" s="54" t="str">
        <f>IFERROR(VLOOKUP(A206&amp;$I$2,ODDS!A205:$K$50000,3,0)," ")</f>
        <v xml:space="preserve"> </v>
      </c>
      <c r="C206" s="53" t="str">
        <f>IFERROR(VLOOKUP(A206&amp;$I$2,ODDS!A205:$K$50000,4,0)," ")</f>
        <v xml:space="preserve"> </v>
      </c>
      <c r="D206" s="53" t="str">
        <f>IFERROR(VLOOKUP(A206&amp;$I$2,ODDS!A205:$K$50000,6,0)," ")</f>
        <v xml:space="preserve"> </v>
      </c>
      <c r="E206" s="53" t="s">
        <v>211</v>
      </c>
      <c r="F206" s="53" t="str">
        <f>IFERROR(VLOOKUP(A206&amp;$I$2,ODDS!A205:$K$50000,7,0)," ")</f>
        <v xml:space="preserve"> </v>
      </c>
      <c r="G206" s="53" t="str">
        <f>IFERROR(VLOOKUP(A206&amp;$I$2,ODDS!A205:$K$50000,5,0)," ")</f>
        <v xml:space="preserve"> </v>
      </c>
      <c r="H206" s="53" t="str">
        <f t="shared" si="9"/>
        <v xml:space="preserve"> </v>
      </c>
      <c r="I206" s="22"/>
      <c r="J206" s="22"/>
      <c r="K206" s="22"/>
      <c r="L206" s="60" t="str">
        <f>IFERROR(VLOOKUP(A206&amp;$K$2,ODDS!B205:$K$50000,2,0)," ")</f>
        <v xml:space="preserve"> </v>
      </c>
      <c r="M206" s="39" t="str">
        <f>IFERROR(VLOOKUP(A206&amp;$K$2,ODDS!B205:$K$50000,3,0)," ")</f>
        <v xml:space="preserve"> </v>
      </c>
      <c r="N206" s="53" t="str">
        <f>IFERROR(VLOOKUP(A206&amp;$K$2,ODDS!B205:$K$50000,5,0)," ")</f>
        <v xml:space="preserve"> </v>
      </c>
      <c r="O206" s="53" t="s">
        <v>211</v>
      </c>
      <c r="P206" s="53" t="str">
        <f>IFERROR(VLOOKUP(A206&amp;$K$2,ODDS!B205:$K$50000,6,0)," ")</f>
        <v xml:space="preserve"> </v>
      </c>
      <c r="Q206" s="39" t="str">
        <f>IFERROR(VLOOKUP(A206&amp;$K$2,ODDS!B205:$K$50000,4,0)," ")</f>
        <v xml:space="preserve"> </v>
      </c>
      <c r="R206" s="53" t="str">
        <f t="shared" si="10"/>
        <v xml:space="preserve"> </v>
      </c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 t="s">
        <v>217</v>
      </c>
    </row>
    <row r="207" spans="2:31" x14ac:dyDescent="0.25">
      <c r="B207" s="54" t="str">
        <f>IFERROR(VLOOKUP(A207&amp;$I$2,ODDS!A206:$K$50000,3,0)," ")</f>
        <v xml:space="preserve"> </v>
      </c>
      <c r="C207" s="53" t="str">
        <f>IFERROR(VLOOKUP(A207&amp;$I$2,ODDS!A206:$K$50000,4,0)," ")</f>
        <v xml:space="preserve"> </v>
      </c>
      <c r="D207" s="53" t="str">
        <f>IFERROR(VLOOKUP(A207&amp;$I$2,ODDS!A206:$K$50000,6,0)," ")</f>
        <v xml:space="preserve"> </v>
      </c>
      <c r="E207" s="53" t="s">
        <v>211</v>
      </c>
      <c r="F207" s="53" t="str">
        <f>IFERROR(VLOOKUP(A207&amp;$I$2,ODDS!A206:$K$50000,7,0)," ")</f>
        <v xml:space="preserve"> </v>
      </c>
      <c r="G207" s="53" t="str">
        <f>IFERROR(VLOOKUP(A207&amp;$I$2,ODDS!A206:$K$50000,5,0)," ")</f>
        <v xml:space="preserve"> </v>
      </c>
      <c r="H207" s="53" t="str">
        <f t="shared" si="9"/>
        <v xml:space="preserve"> </v>
      </c>
      <c r="I207" s="22"/>
      <c r="J207" s="22"/>
      <c r="K207" s="22"/>
      <c r="L207" s="60" t="str">
        <f>IFERROR(VLOOKUP(A207&amp;$K$2,ODDS!B206:$K$50000,2,0)," ")</f>
        <v xml:space="preserve"> </v>
      </c>
      <c r="M207" s="39" t="str">
        <f>IFERROR(VLOOKUP(A207&amp;$K$2,ODDS!B206:$K$50000,3,0)," ")</f>
        <v xml:space="preserve"> </v>
      </c>
      <c r="N207" s="53" t="str">
        <f>IFERROR(VLOOKUP(A207&amp;$K$2,ODDS!B206:$K$50000,5,0)," ")</f>
        <v xml:space="preserve"> </v>
      </c>
      <c r="O207" s="53" t="s">
        <v>211</v>
      </c>
      <c r="P207" s="53" t="str">
        <f>IFERROR(VLOOKUP(A207&amp;$K$2,ODDS!B206:$K$50000,6,0)," ")</f>
        <v xml:space="preserve"> </v>
      </c>
      <c r="Q207" s="39" t="str">
        <f>IFERROR(VLOOKUP(A207&amp;$K$2,ODDS!B206:$K$50000,4,0)," ")</f>
        <v xml:space="preserve"> </v>
      </c>
      <c r="R207" s="53" t="str">
        <f t="shared" si="10"/>
        <v xml:space="preserve"> </v>
      </c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</row>
    <row r="208" spans="2:31" x14ac:dyDescent="0.25">
      <c r="B208" s="54" t="str">
        <f>IFERROR(VLOOKUP(A208&amp;$I$2,ODDS!A207:$K$50000,3,0)," ")</f>
        <v xml:space="preserve"> </v>
      </c>
      <c r="C208" s="53" t="str">
        <f>IFERROR(VLOOKUP(A208&amp;$I$2,ODDS!A207:$K$50000,4,0)," ")</f>
        <v xml:space="preserve"> </v>
      </c>
      <c r="D208" s="53" t="str">
        <f>IFERROR(VLOOKUP(A208&amp;$I$2,ODDS!A207:$K$50000,6,0)," ")</f>
        <v xml:space="preserve"> </v>
      </c>
      <c r="E208" s="53" t="s">
        <v>211</v>
      </c>
      <c r="F208" s="53" t="str">
        <f>IFERROR(VLOOKUP(A208&amp;$I$2,ODDS!A207:$K$50000,7,0)," ")</f>
        <v xml:space="preserve"> </v>
      </c>
      <c r="G208" s="53" t="str">
        <f>IFERROR(VLOOKUP(A208&amp;$I$2,ODDS!A207:$K$50000,5,0)," ")</f>
        <v xml:space="preserve"> </v>
      </c>
      <c r="H208" s="53" t="str">
        <f t="shared" si="9"/>
        <v xml:space="preserve"> </v>
      </c>
      <c r="I208" s="22"/>
      <c r="J208" s="22"/>
      <c r="K208" s="22"/>
      <c r="L208" s="60" t="str">
        <f>IFERROR(VLOOKUP(A208&amp;$K$2,ODDS!B207:$K$50000,2,0)," ")</f>
        <v xml:space="preserve"> </v>
      </c>
      <c r="M208" s="39" t="str">
        <f>IFERROR(VLOOKUP(A208&amp;$K$2,ODDS!B207:$K$50000,3,0)," ")</f>
        <v xml:space="preserve"> </v>
      </c>
      <c r="N208" s="53" t="str">
        <f>IFERROR(VLOOKUP(A208&amp;$K$2,ODDS!B207:$K$50000,5,0)," ")</f>
        <v xml:space="preserve"> </v>
      </c>
      <c r="O208" s="53" t="s">
        <v>211</v>
      </c>
      <c r="P208" s="53" t="str">
        <f>IFERROR(VLOOKUP(A208&amp;$K$2,ODDS!B207:$K$50000,6,0)," ")</f>
        <v xml:space="preserve"> </v>
      </c>
      <c r="Q208" s="39" t="str">
        <f>IFERROR(VLOOKUP(A208&amp;$K$2,ODDS!B207:$K$50000,4,0)," ")</f>
        <v xml:space="preserve"> </v>
      </c>
      <c r="R208" s="53" t="str">
        <f t="shared" si="10"/>
        <v xml:space="preserve"> </v>
      </c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 t="s">
        <v>217</v>
      </c>
    </row>
    <row r="209" spans="2:31" x14ac:dyDescent="0.25">
      <c r="B209" s="54" t="str">
        <f>IFERROR(VLOOKUP(A209&amp;$I$2,ODDS!A208:$K$50000,3,0)," ")</f>
        <v xml:space="preserve"> </v>
      </c>
      <c r="C209" s="53" t="str">
        <f>IFERROR(VLOOKUP(A209&amp;$I$2,ODDS!A208:$K$50000,4,0)," ")</f>
        <v xml:space="preserve"> </v>
      </c>
      <c r="D209" s="53" t="str">
        <f>IFERROR(VLOOKUP(A209&amp;$I$2,ODDS!A208:$K$50000,6,0)," ")</f>
        <v xml:space="preserve"> </v>
      </c>
      <c r="E209" s="53" t="s">
        <v>211</v>
      </c>
      <c r="F209" s="53" t="str">
        <f>IFERROR(VLOOKUP(A209&amp;$I$2,ODDS!A208:$K$50000,7,0)," ")</f>
        <v xml:space="preserve"> </v>
      </c>
      <c r="G209" s="53" t="str">
        <f>IFERROR(VLOOKUP(A209&amp;$I$2,ODDS!A208:$K$50000,5,0)," ")</f>
        <v xml:space="preserve"> </v>
      </c>
      <c r="H209" s="53" t="str">
        <f t="shared" si="9"/>
        <v xml:space="preserve"> </v>
      </c>
      <c r="I209" s="22"/>
      <c r="J209" s="22"/>
      <c r="K209" s="22"/>
      <c r="L209" s="60" t="str">
        <f>IFERROR(VLOOKUP(A209&amp;$K$2,ODDS!B208:$K$50000,2,0)," ")</f>
        <v xml:space="preserve"> </v>
      </c>
      <c r="M209" s="39" t="str">
        <f>IFERROR(VLOOKUP(A209&amp;$K$2,ODDS!B208:$K$50000,3,0)," ")</f>
        <v xml:space="preserve"> </v>
      </c>
      <c r="N209" s="53" t="str">
        <f>IFERROR(VLOOKUP(A209&amp;$K$2,ODDS!B208:$K$50000,5,0)," ")</f>
        <v xml:space="preserve"> </v>
      </c>
      <c r="O209" s="53" t="s">
        <v>211</v>
      </c>
      <c r="P209" s="53" t="str">
        <f>IFERROR(VLOOKUP(A209&amp;$K$2,ODDS!B208:$K$50000,6,0)," ")</f>
        <v xml:space="preserve"> </v>
      </c>
      <c r="Q209" s="39" t="str">
        <f>IFERROR(VLOOKUP(A209&amp;$K$2,ODDS!B208:$K$50000,4,0)," ")</f>
        <v xml:space="preserve"> </v>
      </c>
      <c r="R209" s="53" t="str">
        <f t="shared" si="10"/>
        <v xml:space="preserve"> </v>
      </c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</row>
    <row r="210" spans="2:31" x14ac:dyDescent="0.25">
      <c r="B210" s="54" t="str">
        <f>IFERROR(VLOOKUP(A210&amp;$I$2,ODDS!A209:$K$50000,3,0)," ")</f>
        <v xml:space="preserve"> </v>
      </c>
      <c r="C210" s="53" t="str">
        <f>IFERROR(VLOOKUP(A210&amp;$I$2,ODDS!A209:$K$50000,4,0)," ")</f>
        <v xml:space="preserve"> </v>
      </c>
      <c r="D210" s="53" t="str">
        <f>IFERROR(VLOOKUP(A210&amp;$I$2,ODDS!A209:$K$50000,6,0)," ")</f>
        <v xml:space="preserve"> </v>
      </c>
      <c r="E210" s="53" t="s">
        <v>211</v>
      </c>
      <c r="F210" s="53" t="str">
        <f>IFERROR(VLOOKUP(A210&amp;$I$2,ODDS!A209:$K$50000,7,0)," ")</f>
        <v xml:space="preserve"> </v>
      </c>
      <c r="G210" s="53" t="str">
        <f>IFERROR(VLOOKUP(A210&amp;$I$2,ODDS!A209:$K$50000,5,0)," ")</f>
        <v xml:space="preserve"> </v>
      </c>
      <c r="H210" s="53" t="str">
        <f t="shared" si="9"/>
        <v xml:space="preserve"> </v>
      </c>
      <c r="I210" s="22"/>
      <c r="J210" s="22"/>
      <c r="K210" s="22"/>
      <c r="L210" s="60" t="str">
        <f>IFERROR(VLOOKUP(A210&amp;$K$2,ODDS!B209:$K$50000,2,0)," ")</f>
        <v xml:space="preserve"> </v>
      </c>
      <c r="M210" s="39" t="str">
        <f>IFERROR(VLOOKUP(A210&amp;$K$2,ODDS!B209:$K$50000,3,0)," ")</f>
        <v xml:space="preserve"> </v>
      </c>
      <c r="N210" s="53" t="str">
        <f>IFERROR(VLOOKUP(A210&amp;$K$2,ODDS!B209:$K$50000,5,0)," ")</f>
        <v xml:space="preserve"> </v>
      </c>
      <c r="O210" s="53" t="s">
        <v>211</v>
      </c>
      <c r="P210" s="53" t="str">
        <f>IFERROR(VLOOKUP(A210&amp;$K$2,ODDS!B209:$K$50000,6,0)," ")</f>
        <v xml:space="preserve"> </v>
      </c>
      <c r="Q210" s="39" t="str">
        <f>IFERROR(VLOOKUP(A210&amp;$K$2,ODDS!B209:$K$50000,4,0)," ")</f>
        <v xml:space="preserve"> </v>
      </c>
      <c r="R210" s="53" t="str">
        <f t="shared" si="10"/>
        <v xml:space="preserve"> </v>
      </c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 t="s">
        <v>217</v>
      </c>
    </row>
    <row r="211" spans="2:31" x14ac:dyDescent="0.25">
      <c r="B211" s="54" t="str">
        <f>IFERROR(VLOOKUP(A211&amp;$I$2,ODDS!A210:$K$50000,3,0)," ")</f>
        <v xml:space="preserve"> </v>
      </c>
      <c r="C211" s="53" t="str">
        <f>IFERROR(VLOOKUP(A211&amp;$I$2,ODDS!A210:$K$50000,4,0)," ")</f>
        <v xml:space="preserve"> </v>
      </c>
      <c r="D211" s="53" t="str">
        <f>IFERROR(VLOOKUP(A211&amp;$I$2,ODDS!A210:$K$50000,6,0)," ")</f>
        <v xml:space="preserve"> </v>
      </c>
      <c r="E211" s="53" t="s">
        <v>211</v>
      </c>
      <c r="F211" s="53" t="str">
        <f>IFERROR(VLOOKUP(A211&amp;$I$2,ODDS!A210:$K$50000,7,0)," ")</f>
        <v xml:space="preserve"> </v>
      </c>
      <c r="G211" s="53" t="str">
        <f>IFERROR(VLOOKUP(A211&amp;$I$2,ODDS!A210:$K$50000,5,0)," ")</f>
        <v xml:space="preserve"> </v>
      </c>
      <c r="H211" s="53" t="str">
        <f t="shared" si="9"/>
        <v xml:space="preserve"> </v>
      </c>
      <c r="I211" s="22"/>
      <c r="J211" s="22"/>
      <c r="K211" s="22"/>
      <c r="L211" s="60" t="str">
        <f>IFERROR(VLOOKUP(A211&amp;$K$2,ODDS!B210:$K$50000,2,0)," ")</f>
        <v xml:space="preserve"> </v>
      </c>
      <c r="M211" s="39" t="str">
        <f>IFERROR(VLOOKUP(A211&amp;$K$2,ODDS!B210:$K$50000,3,0)," ")</f>
        <v xml:space="preserve"> </v>
      </c>
      <c r="N211" s="53" t="str">
        <f>IFERROR(VLOOKUP(A211&amp;$K$2,ODDS!B210:$K$50000,5,0)," ")</f>
        <v xml:space="preserve"> </v>
      </c>
      <c r="O211" s="53" t="s">
        <v>211</v>
      </c>
      <c r="P211" s="53" t="str">
        <f>IFERROR(VLOOKUP(A211&amp;$K$2,ODDS!B210:$K$50000,6,0)," ")</f>
        <v xml:space="preserve"> </v>
      </c>
      <c r="Q211" s="39" t="str">
        <f>IFERROR(VLOOKUP(A211&amp;$K$2,ODDS!B210:$K$50000,4,0)," ")</f>
        <v xml:space="preserve"> </v>
      </c>
      <c r="R211" s="53" t="str">
        <f t="shared" si="10"/>
        <v xml:space="preserve"> </v>
      </c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</row>
    <row r="212" spans="2:31" x14ac:dyDescent="0.25">
      <c r="B212" s="54" t="str">
        <f>IFERROR(VLOOKUP(A212&amp;$I$2,ODDS!A211:$K$50000,3,0)," ")</f>
        <v xml:space="preserve"> </v>
      </c>
      <c r="C212" s="53" t="str">
        <f>IFERROR(VLOOKUP(A212&amp;$I$2,ODDS!A211:$K$50000,4,0)," ")</f>
        <v xml:space="preserve"> </v>
      </c>
      <c r="D212" s="53" t="str">
        <f>IFERROR(VLOOKUP(A212&amp;$I$2,ODDS!A211:$K$50000,6,0)," ")</f>
        <v xml:space="preserve"> </v>
      </c>
      <c r="E212" s="53" t="s">
        <v>211</v>
      </c>
      <c r="F212" s="53" t="str">
        <f>IFERROR(VLOOKUP(A212&amp;$I$2,ODDS!A211:$K$50000,7,0)," ")</f>
        <v xml:space="preserve"> </v>
      </c>
      <c r="G212" s="53" t="str">
        <f>IFERROR(VLOOKUP(A212&amp;$I$2,ODDS!A211:$K$50000,5,0)," ")</f>
        <v xml:space="preserve"> </v>
      </c>
      <c r="H212" s="53" t="str">
        <f t="shared" si="9"/>
        <v xml:space="preserve"> </v>
      </c>
      <c r="I212" s="22"/>
      <c r="J212" s="22"/>
      <c r="K212" s="22"/>
      <c r="L212" s="60" t="str">
        <f>IFERROR(VLOOKUP(A212&amp;$K$2,ODDS!B211:$K$50000,2,0)," ")</f>
        <v xml:space="preserve"> </v>
      </c>
      <c r="M212" s="39" t="str">
        <f>IFERROR(VLOOKUP(A212&amp;$K$2,ODDS!B211:$K$50000,3,0)," ")</f>
        <v xml:space="preserve"> </v>
      </c>
      <c r="N212" s="53" t="str">
        <f>IFERROR(VLOOKUP(A212&amp;$K$2,ODDS!B211:$K$50000,5,0)," ")</f>
        <v xml:space="preserve"> </v>
      </c>
      <c r="O212" s="53" t="s">
        <v>211</v>
      </c>
      <c r="P212" s="53" t="str">
        <f>IFERROR(VLOOKUP(A212&amp;$K$2,ODDS!B211:$K$50000,6,0)," ")</f>
        <v xml:space="preserve"> </v>
      </c>
      <c r="Q212" s="39" t="str">
        <f>IFERROR(VLOOKUP(A212&amp;$K$2,ODDS!B211:$K$50000,4,0)," ")</f>
        <v xml:space="preserve"> </v>
      </c>
      <c r="R212" s="53" t="str">
        <f t="shared" si="10"/>
        <v xml:space="preserve"> </v>
      </c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 t="s">
        <v>217</v>
      </c>
    </row>
    <row r="213" spans="2:31" x14ac:dyDescent="0.25">
      <c r="B213" s="54" t="str">
        <f>IFERROR(VLOOKUP(A213&amp;$I$2,ODDS!A212:$K$50000,3,0)," ")</f>
        <v xml:space="preserve"> </v>
      </c>
      <c r="C213" s="53" t="str">
        <f>IFERROR(VLOOKUP(A213&amp;$I$2,ODDS!A212:$K$50000,4,0)," ")</f>
        <v xml:space="preserve"> </v>
      </c>
      <c r="D213" s="53" t="str">
        <f>IFERROR(VLOOKUP(A213&amp;$I$2,ODDS!A212:$K$50000,6,0)," ")</f>
        <v xml:space="preserve"> </v>
      </c>
      <c r="E213" s="53" t="s">
        <v>211</v>
      </c>
      <c r="F213" s="53" t="str">
        <f>IFERROR(VLOOKUP(A213&amp;$I$2,ODDS!A212:$K$50000,7,0)," ")</f>
        <v xml:space="preserve"> </v>
      </c>
      <c r="G213" s="53" t="str">
        <f>IFERROR(VLOOKUP(A213&amp;$I$2,ODDS!A212:$K$50000,5,0)," ")</f>
        <v xml:space="preserve"> </v>
      </c>
      <c r="H213" s="53" t="str">
        <f t="shared" si="9"/>
        <v xml:space="preserve"> </v>
      </c>
      <c r="I213" s="22"/>
      <c r="J213" s="22"/>
      <c r="K213" s="22"/>
      <c r="L213" s="60" t="str">
        <f>IFERROR(VLOOKUP(A213&amp;$K$2,ODDS!B212:$K$50000,2,0)," ")</f>
        <v xml:space="preserve"> </v>
      </c>
      <c r="M213" s="39" t="str">
        <f>IFERROR(VLOOKUP(A213&amp;$K$2,ODDS!B212:$K$50000,3,0)," ")</f>
        <v xml:space="preserve"> </v>
      </c>
      <c r="N213" s="53" t="str">
        <f>IFERROR(VLOOKUP(A213&amp;$K$2,ODDS!B212:$K$50000,5,0)," ")</f>
        <v xml:space="preserve"> </v>
      </c>
      <c r="O213" s="53" t="s">
        <v>211</v>
      </c>
      <c r="P213" s="53" t="str">
        <f>IFERROR(VLOOKUP(A213&amp;$K$2,ODDS!B212:$K$50000,6,0)," ")</f>
        <v xml:space="preserve"> </v>
      </c>
      <c r="Q213" s="39" t="str">
        <f>IFERROR(VLOOKUP(A213&amp;$K$2,ODDS!B212:$K$50000,4,0)," ")</f>
        <v xml:space="preserve"> </v>
      </c>
      <c r="R213" s="53" t="str">
        <f t="shared" si="10"/>
        <v xml:space="preserve"> </v>
      </c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3"/>
    </row>
    <row r="214" spans="2:31" x14ac:dyDescent="0.25">
      <c r="B214" s="54" t="str">
        <f>IFERROR(VLOOKUP(A214&amp;$I$2,ODDS!A213:$K$50000,3,0)," ")</f>
        <v xml:space="preserve"> </v>
      </c>
      <c r="C214" s="53" t="str">
        <f>IFERROR(VLOOKUP(A214&amp;$I$2,ODDS!A213:$K$50000,4,0)," ")</f>
        <v xml:space="preserve"> </v>
      </c>
      <c r="D214" s="53" t="str">
        <f>IFERROR(VLOOKUP(A214&amp;$I$2,ODDS!A213:$K$50000,6,0)," ")</f>
        <v xml:space="preserve"> </v>
      </c>
      <c r="E214" s="53" t="s">
        <v>211</v>
      </c>
      <c r="F214" s="53" t="str">
        <f>IFERROR(VLOOKUP(A214&amp;$I$2,ODDS!A213:$K$50000,7,0)," ")</f>
        <v xml:space="preserve"> </v>
      </c>
      <c r="G214" s="53" t="str">
        <f>IFERROR(VLOOKUP(A214&amp;$I$2,ODDS!A213:$K$50000,5,0)," ")</f>
        <v xml:space="preserve"> </v>
      </c>
      <c r="H214" s="53" t="str">
        <f t="shared" si="9"/>
        <v xml:space="preserve"> </v>
      </c>
      <c r="I214" s="22"/>
      <c r="J214" s="22"/>
      <c r="K214" s="22"/>
      <c r="L214" s="60" t="str">
        <f>IFERROR(VLOOKUP(A214&amp;$K$2,ODDS!B213:$K$50000,2,0)," ")</f>
        <v xml:space="preserve"> </v>
      </c>
      <c r="M214" s="39" t="str">
        <f>IFERROR(VLOOKUP(A214&amp;$K$2,ODDS!B213:$K$50000,3,0)," ")</f>
        <v xml:space="preserve"> </v>
      </c>
      <c r="N214" s="53" t="str">
        <f>IFERROR(VLOOKUP(A214&amp;$K$2,ODDS!B213:$K$50000,5,0)," ")</f>
        <v xml:space="preserve"> </v>
      </c>
      <c r="O214" s="53" t="s">
        <v>211</v>
      </c>
      <c r="P214" s="53" t="str">
        <f>IFERROR(VLOOKUP(A214&amp;$K$2,ODDS!B213:$K$50000,6,0)," ")</f>
        <v xml:space="preserve"> </v>
      </c>
      <c r="Q214" s="39" t="str">
        <f>IFERROR(VLOOKUP(A214&amp;$K$2,ODDS!B213:$K$50000,4,0)," ")</f>
        <v xml:space="preserve"> </v>
      </c>
      <c r="R214" s="53" t="str">
        <f t="shared" si="10"/>
        <v xml:space="preserve"> </v>
      </c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 t="s">
        <v>217</v>
      </c>
    </row>
    <row r="215" spans="2:31" x14ac:dyDescent="0.25">
      <c r="B215" s="54" t="str">
        <f>IFERROR(VLOOKUP(A215&amp;$I$2,ODDS!A214:$K$50000,3,0)," ")</f>
        <v xml:space="preserve"> </v>
      </c>
      <c r="C215" s="53" t="str">
        <f>IFERROR(VLOOKUP(A215&amp;$I$2,ODDS!A214:$K$50000,4,0)," ")</f>
        <v xml:space="preserve"> </v>
      </c>
      <c r="D215" s="53" t="str">
        <f>IFERROR(VLOOKUP(A215&amp;$I$2,ODDS!A214:$K$50000,6,0)," ")</f>
        <v xml:space="preserve"> </v>
      </c>
      <c r="E215" s="53" t="s">
        <v>211</v>
      </c>
      <c r="F215" s="53" t="str">
        <f>IFERROR(VLOOKUP(A215&amp;$I$2,ODDS!A214:$K$50000,7,0)," ")</f>
        <v xml:space="preserve"> </v>
      </c>
      <c r="G215" s="53" t="str">
        <f>IFERROR(VLOOKUP(A215&amp;$I$2,ODDS!A214:$K$50000,5,0)," ")</f>
        <v xml:space="preserve"> </v>
      </c>
      <c r="H215" s="53" t="str">
        <f t="shared" si="9"/>
        <v xml:space="preserve"> </v>
      </c>
      <c r="I215" s="22"/>
      <c r="J215" s="22"/>
      <c r="K215" s="22"/>
      <c r="L215" s="60" t="str">
        <f>IFERROR(VLOOKUP(A215&amp;$K$2,ODDS!B214:$K$50000,2,0)," ")</f>
        <v xml:space="preserve"> </v>
      </c>
      <c r="M215" s="39" t="str">
        <f>IFERROR(VLOOKUP(A215&amp;$K$2,ODDS!B214:$K$50000,3,0)," ")</f>
        <v xml:space="preserve"> </v>
      </c>
      <c r="N215" s="53" t="str">
        <f>IFERROR(VLOOKUP(A215&amp;$K$2,ODDS!B214:$K$50000,5,0)," ")</f>
        <v xml:space="preserve"> </v>
      </c>
      <c r="O215" s="53" t="s">
        <v>211</v>
      </c>
      <c r="P215" s="53" t="str">
        <f>IFERROR(VLOOKUP(A215&amp;$K$2,ODDS!B214:$K$50000,6,0)," ")</f>
        <v xml:space="preserve"> </v>
      </c>
      <c r="Q215" s="39" t="str">
        <f>IFERROR(VLOOKUP(A215&amp;$K$2,ODDS!B214:$K$50000,4,0)," ")</f>
        <v xml:space="preserve"> </v>
      </c>
      <c r="R215" s="53" t="str">
        <f t="shared" si="10"/>
        <v xml:space="preserve"> </v>
      </c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3"/>
    </row>
    <row r="216" spans="2:31" x14ac:dyDescent="0.25">
      <c r="B216" s="54" t="str">
        <f>IFERROR(VLOOKUP(A216&amp;$I$2,ODDS!A215:$K$50000,3,0)," ")</f>
        <v xml:space="preserve"> </v>
      </c>
      <c r="C216" s="53" t="str">
        <f>IFERROR(VLOOKUP(A216&amp;$I$2,ODDS!A215:$K$50000,4,0)," ")</f>
        <v xml:space="preserve"> </v>
      </c>
      <c r="D216" s="53" t="str">
        <f>IFERROR(VLOOKUP(A216&amp;$I$2,ODDS!A215:$K$50000,6,0)," ")</f>
        <v xml:space="preserve"> </v>
      </c>
      <c r="E216" s="53" t="s">
        <v>211</v>
      </c>
      <c r="F216" s="53" t="str">
        <f>IFERROR(VLOOKUP(A216&amp;$I$2,ODDS!A215:$K$50000,7,0)," ")</f>
        <v xml:space="preserve"> </v>
      </c>
      <c r="G216" s="53" t="str">
        <f>IFERROR(VLOOKUP(A216&amp;$I$2,ODDS!A215:$K$50000,5,0)," ")</f>
        <v xml:space="preserve"> </v>
      </c>
      <c r="H216" s="53" t="str">
        <f t="shared" si="9"/>
        <v xml:space="preserve"> </v>
      </c>
      <c r="I216" s="22"/>
      <c r="J216" s="22"/>
      <c r="K216" s="22"/>
      <c r="L216" s="60" t="str">
        <f>IFERROR(VLOOKUP(A216&amp;$K$2,ODDS!B215:$K$50000,2,0)," ")</f>
        <v xml:space="preserve"> </v>
      </c>
      <c r="M216" s="39" t="str">
        <f>IFERROR(VLOOKUP(A216&amp;$K$2,ODDS!B215:$K$50000,3,0)," ")</f>
        <v xml:space="preserve"> </v>
      </c>
      <c r="N216" s="53" t="str">
        <f>IFERROR(VLOOKUP(A216&amp;$K$2,ODDS!B215:$K$50000,5,0)," ")</f>
        <v xml:space="preserve"> </v>
      </c>
      <c r="O216" s="53" t="s">
        <v>211</v>
      </c>
      <c r="P216" s="53" t="str">
        <f>IFERROR(VLOOKUP(A216&amp;$K$2,ODDS!B215:$K$50000,6,0)," ")</f>
        <v xml:space="preserve"> </v>
      </c>
      <c r="Q216" s="39" t="str">
        <f>IFERROR(VLOOKUP(A216&amp;$K$2,ODDS!B215:$K$50000,4,0)," ")</f>
        <v xml:space="preserve"> </v>
      </c>
      <c r="R216" s="53" t="str">
        <f t="shared" si="10"/>
        <v xml:space="preserve"> </v>
      </c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 t="s">
        <v>217</v>
      </c>
    </row>
    <row r="217" spans="2:31" x14ac:dyDescent="0.25">
      <c r="B217" s="54" t="str">
        <f>IFERROR(VLOOKUP(A217&amp;$I$2,ODDS!A216:$K$50000,3,0)," ")</f>
        <v xml:space="preserve"> </v>
      </c>
      <c r="C217" s="53" t="str">
        <f>IFERROR(VLOOKUP(A217&amp;$I$2,ODDS!A216:$K$50000,4,0)," ")</f>
        <v xml:space="preserve"> </v>
      </c>
      <c r="D217" s="53" t="str">
        <f>IFERROR(VLOOKUP(A217&amp;$I$2,ODDS!A216:$K$50000,6,0)," ")</f>
        <v xml:space="preserve"> </v>
      </c>
      <c r="E217" s="53" t="s">
        <v>211</v>
      </c>
      <c r="F217" s="53" t="str">
        <f>IFERROR(VLOOKUP(A217&amp;$I$2,ODDS!A216:$K$50000,7,0)," ")</f>
        <v xml:space="preserve"> </v>
      </c>
      <c r="G217" s="53" t="str">
        <f>IFERROR(VLOOKUP(A217&amp;$I$2,ODDS!A216:$K$50000,5,0)," ")</f>
        <v xml:space="preserve"> </v>
      </c>
      <c r="H217" s="53" t="str">
        <f t="shared" si="9"/>
        <v xml:space="preserve"> </v>
      </c>
      <c r="I217" s="22"/>
      <c r="J217" s="22"/>
      <c r="K217" s="22"/>
      <c r="L217" s="60" t="str">
        <f>IFERROR(VLOOKUP(A217&amp;$K$2,ODDS!B216:$K$50000,2,0)," ")</f>
        <v xml:space="preserve"> </v>
      </c>
      <c r="M217" s="39" t="str">
        <f>IFERROR(VLOOKUP(A217&amp;$K$2,ODDS!B216:$K$50000,3,0)," ")</f>
        <v xml:space="preserve"> </v>
      </c>
      <c r="N217" s="53" t="str">
        <f>IFERROR(VLOOKUP(A217&amp;$K$2,ODDS!B216:$K$50000,5,0)," ")</f>
        <v xml:space="preserve"> </v>
      </c>
      <c r="O217" s="53" t="s">
        <v>211</v>
      </c>
      <c r="P217" s="53" t="str">
        <f>IFERROR(VLOOKUP(A217&amp;$K$2,ODDS!B216:$K$50000,6,0)," ")</f>
        <v xml:space="preserve"> </v>
      </c>
      <c r="Q217" s="39" t="str">
        <f>IFERROR(VLOOKUP(A217&amp;$K$2,ODDS!B216:$K$50000,4,0)," ")</f>
        <v xml:space="preserve"> </v>
      </c>
      <c r="R217" s="53" t="str">
        <f t="shared" si="10"/>
        <v xml:space="preserve"> </v>
      </c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3"/>
    </row>
    <row r="218" spans="2:31" x14ac:dyDescent="0.25">
      <c r="B218" s="54" t="str">
        <f>IFERROR(VLOOKUP(A218&amp;$I$2,ODDS!A217:$K$50000,3,0)," ")</f>
        <v xml:space="preserve"> </v>
      </c>
      <c r="C218" s="53" t="str">
        <f>IFERROR(VLOOKUP(A218&amp;$I$2,ODDS!A217:$K$50000,4,0)," ")</f>
        <v xml:space="preserve"> </v>
      </c>
      <c r="D218" s="53" t="str">
        <f>IFERROR(VLOOKUP(A218&amp;$I$2,ODDS!A217:$K$50000,6,0)," ")</f>
        <v xml:space="preserve"> </v>
      </c>
      <c r="E218" s="53" t="s">
        <v>211</v>
      </c>
      <c r="F218" s="53" t="str">
        <f>IFERROR(VLOOKUP(A218&amp;$I$2,ODDS!A217:$K$50000,7,0)," ")</f>
        <v xml:space="preserve"> </v>
      </c>
      <c r="G218" s="53" t="str">
        <f>IFERROR(VLOOKUP(A218&amp;$I$2,ODDS!A217:$K$50000,5,0)," ")</f>
        <v xml:space="preserve"> </v>
      </c>
      <c r="H218" s="53" t="str">
        <f t="shared" si="9"/>
        <v xml:space="preserve"> </v>
      </c>
      <c r="I218" s="22"/>
      <c r="J218" s="22"/>
      <c r="K218" s="22"/>
      <c r="L218" s="60" t="str">
        <f>IFERROR(VLOOKUP(A218&amp;$K$2,ODDS!B217:$K$50000,2,0)," ")</f>
        <v xml:space="preserve"> </v>
      </c>
      <c r="M218" s="39" t="str">
        <f>IFERROR(VLOOKUP(A218&amp;$K$2,ODDS!B217:$K$50000,3,0)," ")</f>
        <v xml:space="preserve"> </v>
      </c>
      <c r="N218" s="53" t="str">
        <f>IFERROR(VLOOKUP(A218&amp;$K$2,ODDS!B217:$K$50000,5,0)," ")</f>
        <v xml:space="preserve"> </v>
      </c>
      <c r="O218" s="53" t="s">
        <v>211</v>
      </c>
      <c r="P218" s="53" t="str">
        <f>IFERROR(VLOOKUP(A218&amp;$K$2,ODDS!B217:$K$50000,6,0)," ")</f>
        <v xml:space="preserve"> </v>
      </c>
      <c r="Q218" s="39" t="str">
        <f>IFERROR(VLOOKUP(A218&amp;$K$2,ODDS!B217:$K$50000,4,0)," ")</f>
        <v xml:space="preserve"> </v>
      </c>
      <c r="R218" s="53" t="str">
        <f t="shared" si="10"/>
        <v xml:space="preserve"> </v>
      </c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3" t="s">
        <v>217</v>
      </c>
    </row>
    <row r="219" spans="2:31" x14ac:dyDescent="0.25">
      <c r="B219" s="54" t="str">
        <f>IFERROR(VLOOKUP(A219&amp;$I$2,ODDS!A218:$K$50000,3,0)," ")</f>
        <v xml:space="preserve"> </v>
      </c>
      <c r="C219" s="53" t="str">
        <f>IFERROR(VLOOKUP(A219&amp;$I$2,ODDS!A218:$K$50000,4,0)," ")</f>
        <v xml:space="preserve"> </v>
      </c>
      <c r="D219" s="53" t="str">
        <f>IFERROR(VLOOKUP(A219&amp;$I$2,ODDS!A218:$K$50000,6,0)," ")</f>
        <v xml:space="preserve"> </v>
      </c>
      <c r="E219" s="53" t="s">
        <v>211</v>
      </c>
      <c r="F219" s="53" t="str">
        <f>IFERROR(VLOOKUP(A219&amp;$I$2,ODDS!A218:$K$50000,7,0)," ")</f>
        <v xml:space="preserve"> </v>
      </c>
      <c r="G219" s="53" t="str">
        <f>IFERROR(VLOOKUP(A219&amp;$I$2,ODDS!A218:$K$50000,5,0)," ")</f>
        <v xml:space="preserve"> </v>
      </c>
      <c r="H219" s="53" t="str">
        <f t="shared" si="9"/>
        <v xml:space="preserve"> </v>
      </c>
      <c r="I219" s="22"/>
      <c r="J219" s="22"/>
      <c r="K219" s="22"/>
      <c r="L219" s="60" t="str">
        <f>IFERROR(VLOOKUP(A219&amp;$K$2,ODDS!B218:$K$50000,2,0)," ")</f>
        <v xml:space="preserve"> </v>
      </c>
      <c r="M219" s="39" t="str">
        <f>IFERROR(VLOOKUP(A219&amp;$K$2,ODDS!B218:$K$50000,3,0)," ")</f>
        <v xml:space="preserve"> </v>
      </c>
      <c r="N219" s="53" t="str">
        <f>IFERROR(VLOOKUP(A219&amp;$K$2,ODDS!B218:$K$50000,5,0)," ")</f>
        <v xml:space="preserve"> </v>
      </c>
      <c r="O219" s="53" t="s">
        <v>211</v>
      </c>
      <c r="P219" s="53" t="str">
        <f>IFERROR(VLOOKUP(A219&amp;$K$2,ODDS!B218:$K$50000,6,0)," ")</f>
        <v xml:space="preserve"> </v>
      </c>
      <c r="Q219" s="39" t="str">
        <f>IFERROR(VLOOKUP(A219&amp;$K$2,ODDS!B218:$K$50000,4,0)," ")</f>
        <v xml:space="preserve"> </v>
      </c>
      <c r="R219" s="53" t="str">
        <f t="shared" si="10"/>
        <v xml:space="preserve"> </v>
      </c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3"/>
    </row>
    <row r="220" spans="2:31" x14ac:dyDescent="0.25">
      <c r="B220" s="54" t="str">
        <f>IFERROR(VLOOKUP(A220&amp;$I$2,ODDS!A219:$K$50000,3,0)," ")</f>
        <v xml:space="preserve"> </v>
      </c>
      <c r="C220" s="53" t="str">
        <f>IFERROR(VLOOKUP(A220&amp;$I$2,ODDS!A219:$K$50000,4,0)," ")</f>
        <v xml:space="preserve"> </v>
      </c>
      <c r="D220" s="53" t="str">
        <f>IFERROR(VLOOKUP(A220&amp;$I$2,ODDS!A219:$K$50000,6,0)," ")</f>
        <v xml:space="preserve"> </v>
      </c>
      <c r="E220" s="53" t="s">
        <v>211</v>
      </c>
      <c r="F220" s="53" t="str">
        <f>IFERROR(VLOOKUP(A220&amp;$I$2,ODDS!A219:$K$50000,7,0)," ")</f>
        <v xml:space="preserve"> </v>
      </c>
      <c r="G220" s="53" t="str">
        <f>IFERROR(VLOOKUP(A220&amp;$I$2,ODDS!A219:$K$50000,5,0)," ")</f>
        <v xml:space="preserve"> </v>
      </c>
      <c r="H220" s="53" t="str">
        <f t="shared" si="9"/>
        <v xml:space="preserve"> </v>
      </c>
      <c r="I220" s="22"/>
      <c r="J220" s="22"/>
      <c r="K220" s="22"/>
      <c r="L220" s="60" t="str">
        <f>IFERROR(VLOOKUP(A220&amp;$K$2,ODDS!B219:$K$50000,2,0)," ")</f>
        <v xml:space="preserve"> </v>
      </c>
      <c r="M220" s="39" t="str">
        <f>IFERROR(VLOOKUP(A220&amp;$K$2,ODDS!B219:$K$50000,3,0)," ")</f>
        <v xml:space="preserve"> </v>
      </c>
      <c r="N220" s="53" t="str">
        <f>IFERROR(VLOOKUP(A220&amp;$K$2,ODDS!B219:$K$50000,5,0)," ")</f>
        <v xml:space="preserve"> </v>
      </c>
      <c r="O220" s="53" t="s">
        <v>211</v>
      </c>
      <c r="P220" s="53" t="str">
        <f>IFERROR(VLOOKUP(A220&amp;$K$2,ODDS!B219:$K$50000,6,0)," ")</f>
        <v xml:space="preserve"> </v>
      </c>
      <c r="Q220" s="39" t="str">
        <f>IFERROR(VLOOKUP(A220&amp;$K$2,ODDS!B219:$K$50000,4,0)," ")</f>
        <v xml:space="preserve"> </v>
      </c>
      <c r="R220" s="53" t="str">
        <f t="shared" si="10"/>
        <v xml:space="preserve"> </v>
      </c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 t="s">
        <v>217</v>
      </c>
    </row>
    <row r="221" spans="2:31" x14ac:dyDescent="0.25">
      <c r="B221" s="54" t="str">
        <f>IFERROR(VLOOKUP(A221&amp;$I$2,ODDS!A220:$K$50000,3,0)," ")</f>
        <v xml:space="preserve"> </v>
      </c>
      <c r="C221" s="53" t="str">
        <f>IFERROR(VLOOKUP(A221&amp;$I$2,ODDS!A220:$K$50000,4,0)," ")</f>
        <v xml:space="preserve"> </v>
      </c>
      <c r="D221" s="53" t="str">
        <f>IFERROR(VLOOKUP(A221&amp;$I$2,ODDS!A220:$K$50000,6,0)," ")</f>
        <v xml:space="preserve"> </v>
      </c>
      <c r="E221" s="53" t="s">
        <v>211</v>
      </c>
      <c r="F221" s="53" t="str">
        <f>IFERROR(VLOOKUP(A221&amp;$I$2,ODDS!A220:$K$50000,7,0)," ")</f>
        <v xml:space="preserve"> </v>
      </c>
      <c r="G221" s="53" t="str">
        <f>IFERROR(VLOOKUP(A221&amp;$I$2,ODDS!A220:$K$50000,5,0)," ")</f>
        <v xml:space="preserve"> </v>
      </c>
      <c r="H221" s="53" t="str">
        <f t="shared" si="9"/>
        <v xml:space="preserve"> </v>
      </c>
      <c r="I221" s="22"/>
      <c r="J221" s="22"/>
      <c r="K221" s="22"/>
      <c r="L221" s="60" t="str">
        <f>IFERROR(VLOOKUP(A221&amp;$K$2,ODDS!B220:$K$50000,2,0)," ")</f>
        <v xml:space="preserve"> </v>
      </c>
      <c r="M221" s="39" t="str">
        <f>IFERROR(VLOOKUP(A221&amp;$K$2,ODDS!B220:$K$50000,3,0)," ")</f>
        <v xml:space="preserve"> </v>
      </c>
      <c r="N221" s="53" t="str">
        <f>IFERROR(VLOOKUP(A221&amp;$K$2,ODDS!B220:$K$50000,5,0)," ")</f>
        <v xml:space="preserve"> </v>
      </c>
      <c r="O221" s="53" t="s">
        <v>211</v>
      </c>
      <c r="P221" s="53" t="str">
        <f>IFERROR(VLOOKUP(A221&amp;$K$2,ODDS!B220:$K$50000,6,0)," ")</f>
        <v xml:space="preserve"> </v>
      </c>
      <c r="Q221" s="39" t="str">
        <f>IFERROR(VLOOKUP(A221&amp;$K$2,ODDS!B220:$K$50000,4,0)," ")</f>
        <v xml:space="preserve"> </v>
      </c>
      <c r="R221" s="53" t="str">
        <f t="shared" si="10"/>
        <v xml:space="preserve"> </v>
      </c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</row>
    <row r="222" spans="2:31" x14ac:dyDescent="0.25">
      <c r="B222" s="54" t="str">
        <f>IFERROR(VLOOKUP(A222&amp;$I$2,ODDS!A221:$K$50000,3,0)," ")</f>
        <v xml:space="preserve"> </v>
      </c>
      <c r="C222" s="53" t="str">
        <f>IFERROR(VLOOKUP(A222&amp;$I$2,ODDS!A221:$K$50000,4,0)," ")</f>
        <v xml:space="preserve"> </v>
      </c>
      <c r="D222" s="53" t="str">
        <f>IFERROR(VLOOKUP(A222&amp;$I$2,ODDS!A221:$K$50000,6,0)," ")</f>
        <v xml:space="preserve"> </v>
      </c>
      <c r="E222" s="53" t="s">
        <v>211</v>
      </c>
      <c r="F222" s="53" t="str">
        <f>IFERROR(VLOOKUP(A222&amp;$I$2,ODDS!A221:$K$50000,7,0)," ")</f>
        <v xml:space="preserve"> </v>
      </c>
      <c r="G222" s="53" t="str">
        <f>IFERROR(VLOOKUP(A222&amp;$I$2,ODDS!A221:$K$50000,5,0)," ")</f>
        <v xml:space="preserve"> </v>
      </c>
      <c r="H222" s="53" t="str">
        <f t="shared" si="9"/>
        <v xml:space="preserve"> </v>
      </c>
      <c r="I222" s="22"/>
      <c r="J222" s="22"/>
      <c r="K222" s="22"/>
      <c r="L222" s="60" t="str">
        <f>IFERROR(VLOOKUP(A222&amp;$K$2,ODDS!B221:$K$50000,2,0)," ")</f>
        <v xml:space="preserve"> </v>
      </c>
      <c r="M222" s="39" t="str">
        <f>IFERROR(VLOOKUP(A222&amp;$K$2,ODDS!B221:$K$50000,3,0)," ")</f>
        <v xml:space="preserve"> </v>
      </c>
      <c r="N222" s="53" t="str">
        <f>IFERROR(VLOOKUP(A222&amp;$K$2,ODDS!B221:$K$50000,5,0)," ")</f>
        <v xml:space="preserve"> </v>
      </c>
      <c r="O222" s="53" t="s">
        <v>211</v>
      </c>
      <c r="P222" s="53" t="str">
        <f>IFERROR(VLOOKUP(A222&amp;$K$2,ODDS!B221:$K$50000,6,0)," ")</f>
        <v xml:space="preserve"> </v>
      </c>
      <c r="Q222" s="39" t="str">
        <f>IFERROR(VLOOKUP(A222&amp;$K$2,ODDS!B221:$K$50000,4,0)," ")</f>
        <v xml:space="preserve"> </v>
      </c>
      <c r="R222" s="53" t="str">
        <f t="shared" si="10"/>
        <v xml:space="preserve"> </v>
      </c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 t="s">
        <v>217</v>
      </c>
    </row>
    <row r="223" spans="2:31" x14ac:dyDescent="0.25">
      <c r="B223" s="54" t="str">
        <f>IFERROR(VLOOKUP(A223&amp;$I$2,ODDS!A222:$K$50000,3,0)," ")</f>
        <v xml:space="preserve"> </v>
      </c>
      <c r="C223" s="53" t="str">
        <f>IFERROR(VLOOKUP(A223&amp;$I$2,ODDS!A222:$K$50000,4,0)," ")</f>
        <v xml:space="preserve"> </v>
      </c>
      <c r="D223" s="53" t="str">
        <f>IFERROR(VLOOKUP(A223&amp;$I$2,ODDS!A222:$K$50000,6,0)," ")</f>
        <v xml:space="preserve"> </v>
      </c>
      <c r="E223" s="53" t="s">
        <v>211</v>
      </c>
      <c r="F223" s="53" t="str">
        <f>IFERROR(VLOOKUP(A223&amp;$I$2,ODDS!A222:$K$50000,7,0)," ")</f>
        <v xml:space="preserve"> </v>
      </c>
      <c r="G223" s="53" t="str">
        <f>IFERROR(VLOOKUP(A223&amp;$I$2,ODDS!A222:$K$50000,5,0)," ")</f>
        <v xml:space="preserve"> </v>
      </c>
      <c r="H223" s="53" t="str">
        <f t="shared" si="9"/>
        <v xml:space="preserve"> </v>
      </c>
      <c r="I223" s="22"/>
      <c r="J223" s="22"/>
      <c r="K223" s="22"/>
      <c r="L223" s="60" t="str">
        <f>IFERROR(VLOOKUP(A223&amp;$K$2,ODDS!B222:$K$50000,2,0)," ")</f>
        <v xml:space="preserve"> </v>
      </c>
      <c r="M223" s="39" t="str">
        <f>IFERROR(VLOOKUP(A223&amp;$K$2,ODDS!B222:$K$50000,3,0)," ")</f>
        <v xml:space="preserve"> </v>
      </c>
      <c r="N223" s="53" t="str">
        <f>IFERROR(VLOOKUP(A223&amp;$K$2,ODDS!B222:$K$50000,5,0)," ")</f>
        <v xml:space="preserve"> </v>
      </c>
      <c r="O223" s="53" t="s">
        <v>211</v>
      </c>
      <c r="P223" s="53" t="str">
        <f>IFERROR(VLOOKUP(A223&amp;$K$2,ODDS!B222:$K$50000,6,0)," ")</f>
        <v xml:space="preserve"> </v>
      </c>
      <c r="Q223" s="39" t="str">
        <f>IFERROR(VLOOKUP(A223&amp;$K$2,ODDS!B222:$K$50000,4,0)," ")</f>
        <v xml:space="preserve"> </v>
      </c>
      <c r="R223" s="53" t="str">
        <f t="shared" si="10"/>
        <v xml:space="preserve"> </v>
      </c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</row>
    <row r="224" spans="2:31" x14ac:dyDescent="0.25">
      <c r="B224" s="54" t="str">
        <f>IFERROR(VLOOKUP(A224&amp;$I$2,ODDS!A223:$K$50000,3,0)," ")</f>
        <v xml:space="preserve"> </v>
      </c>
      <c r="C224" s="53" t="str">
        <f>IFERROR(VLOOKUP(A224&amp;$I$2,ODDS!A223:$K$50000,4,0)," ")</f>
        <v xml:space="preserve"> </v>
      </c>
      <c r="D224" s="53" t="str">
        <f>IFERROR(VLOOKUP(A224&amp;$I$2,ODDS!A223:$K$50000,6,0)," ")</f>
        <v xml:space="preserve"> </v>
      </c>
      <c r="E224" s="53" t="s">
        <v>211</v>
      </c>
      <c r="F224" s="53" t="str">
        <f>IFERROR(VLOOKUP(A224&amp;$I$2,ODDS!A223:$K$50000,7,0)," ")</f>
        <v xml:space="preserve"> </v>
      </c>
      <c r="G224" s="53" t="str">
        <f>IFERROR(VLOOKUP(A224&amp;$I$2,ODDS!A223:$K$50000,5,0)," ")</f>
        <v xml:space="preserve"> </v>
      </c>
      <c r="H224" s="53" t="str">
        <f t="shared" si="9"/>
        <v xml:space="preserve"> </v>
      </c>
      <c r="I224" s="22"/>
      <c r="J224" s="22"/>
      <c r="K224" s="22"/>
      <c r="L224" s="60" t="str">
        <f>IFERROR(VLOOKUP(A224&amp;$K$2,ODDS!B223:$K$50000,2,0)," ")</f>
        <v xml:space="preserve"> </v>
      </c>
      <c r="M224" s="39" t="str">
        <f>IFERROR(VLOOKUP(A224&amp;$K$2,ODDS!B223:$K$50000,3,0)," ")</f>
        <v xml:space="preserve"> </v>
      </c>
      <c r="N224" s="53" t="str">
        <f>IFERROR(VLOOKUP(A224&amp;$K$2,ODDS!B223:$K$50000,5,0)," ")</f>
        <v xml:space="preserve"> </v>
      </c>
      <c r="O224" s="53" t="s">
        <v>211</v>
      </c>
      <c r="P224" s="53" t="str">
        <f>IFERROR(VLOOKUP(A224&amp;$K$2,ODDS!B223:$K$50000,6,0)," ")</f>
        <v xml:space="preserve"> </v>
      </c>
      <c r="Q224" s="39" t="str">
        <f>IFERROR(VLOOKUP(A224&amp;$K$2,ODDS!B223:$K$50000,4,0)," ")</f>
        <v xml:space="preserve"> </v>
      </c>
      <c r="R224" s="53" t="str">
        <f t="shared" si="10"/>
        <v xml:space="preserve"> </v>
      </c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3" t="s">
        <v>217</v>
      </c>
    </row>
    <row r="225" spans="2:31" x14ac:dyDescent="0.25">
      <c r="B225" s="54" t="str">
        <f>IFERROR(VLOOKUP(A225&amp;$I$2,ODDS!A224:$K$50000,3,0)," ")</f>
        <v xml:space="preserve"> </v>
      </c>
      <c r="C225" s="53" t="str">
        <f>IFERROR(VLOOKUP(A225&amp;$I$2,ODDS!A224:$K$50000,4,0)," ")</f>
        <v xml:space="preserve"> </v>
      </c>
      <c r="D225" s="53" t="str">
        <f>IFERROR(VLOOKUP(A225&amp;$I$2,ODDS!A224:$K$50000,6,0)," ")</f>
        <v xml:space="preserve"> </v>
      </c>
      <c r="E225" s="53" t="s">
        <v>211</v>
      </c>
      <c r="F225" s="53" t="str">
        <f>IFERROR(VLOOKUP(A225&amp;$I$2,ODDS!A224:$K$50000,7,0)," ")</f>
        <v xml:space="preserve"> </v>
      </c>
      <c r="G225" s="53" t="str">
        <f>IFERROR(VLOOKUP(A225&amp;$I$2,ODDS!A224:$K$50000,5,0)," ")</f>
        <v xml:space="preserve"> </v>
      </c>
      <c r="H225" s="53" t="str">
        <f t="shared" si="9"/>
        <v xml:space="preserve"> </v>
      </c>
      <c r="I225" s="22"/>
      <c r="J225" s="22"/>
      <c r="K225" s="22"/>
      <c r="L225" s="60" t="str">
        <f>IFERROR(VLOOKUP(A225&amp;$K$2,ODDS!B224:$K$50000,2,0)," ")</f>
        <v xml:space="preserve"> </v>
      </c>
      <c r="M225" s="39" t="str">
        <f>IFERROR(VLOOKUP(A225&amp;$K$2,ODDS!B224:$K$50000,3,0)," ")</f>
        <v xml:space="preserve"> </v>
      </c>
      <c r="N225" s="53" t="str">
        <f>IFERROR(VLOOKUP(A225&amp;$K$2,ODDS!B224:$K$50000,5,0)," ")</f>
        <v xml:space="preserve"> </v>
      </c>
      <c r="O225" s="53" t="s">
        <v>211</v>
      </c>
      <c r="P225" s="53" t="str">
        <f>IFERROR(VLOOKUP(A225&amp;$K$2,ODDS!B224:$K$50000,6,0)," ")</f>
        <v xml:space="preserve"> </v>
      </c>
      <c r="Q225" s="39" t="str">
        <f>IFERROR(VLOOKUP(A225&amp;$K$2,ODDS!B224:$K$50000,4,0)," ")</f>
        <v xml:space="preserve"> </v>
      </c>
      <c r="R225" s="53" t="str">
        <f t="shared" si="10"/>
        <v xml:space="preserve"> </v>
      </c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</row>
    <row r="226" spans="2:31" x14ac:dyDescent="0.25">
      <c r="B226" s="54" t="str">
        <f>IFERROR(VLOOKUP(A226&amp;$I$2,ODDS!A225:$K$50000,3,0)," ")</f>
        <v xml:space="preserve"> </v>
      </c>
      <c r="C226" s="53" t="str">
        <f>IFERROR(VLOOKUP(A226&amp;$I$2,ODDS!A225:$K$50000,4,0)," ")</f>
        <v xml:space="preserve"> </v>
      </c>
      <c r="D226" s="53" t="str">
        <f>IFERROR(VLOOKUP(A226&amp;$I$2,ODDS!A225:$K$50000,6,0)," ")</f>
        <v xml:space="preserve"> </v>
      </c>
      <c r="E226" s="53" t="s">
        <v>211</v>
      </c>
      <c r="F226" s="53" t="str">
        <f>IFERROR(VLOOKUP(A226&amp;$I$2,ODDS!A225:$K$50000,7,0)," ")</f>
        <v xml:space="preserve"> </v>
      </c>
      <c r="G226" s="53" t="str">
        <f>IFERROR(VLOOKUP(A226&amp;$I$2,ODDS!A225:$K$50000,5,0)," ")</f>
        <v xml:space="preserve"> </v>
      </c>
      <c r="H226" s="53" t="str">
        <f t="shared" si="9"/>
        <v xml:space="preserve"> </v>
      </c>
      <c r="I226" s="22"/>
      <c r="J226" s="22"/>
      <c r="K226" s="22"/>
      <c r="L226" s="60" t="str">
        <f>IFERROR(VLOOKUP(A226&amp;$K$2,ODDS!B225:$K$50000,2,0)," ")</f>
        <v xml:space="preserve"> </v>
      </c>
      <c r="M226" s="39" t="str">
        <f>IFERROR(VLOOKUP(A226&amp;$K$2,ODDS!B225:$K$50000,3,0)," ")</f>
        <v xml:space="preserve"> </v>
      </c>
      <c r="N226" s="53" t="str">
        <f>IFERROR(VLOOKUP(A226&amp;$K$2,ODDS!B225:$K$50000,5,0)," ")</f>
        <v xml:space="preserve"> </v>
      </c>
      <c r="O226" s="53" t="s">
        <v>211</v>
      </c>
      <c r="P226" s="53" t="str">
        <f>IFERROR(VLOOKUP(A226&amp;$K$2,ODDS!B225:$K$50000,6,0)," ")</f>
        <v xml:space="preserve"> </v>
      </c>
      <c r="Q226" s="39" t="str">
        <f>IFERROR(VLOOKUP(A226&amp;$K$2,ODDS!B225:$K$50000,4,0)," ")</f>
        <v xml:space="preserve"> </v>
      </c>
      <c r="R226" s="53" t="str">
        <f t="shared" si="10"/>
        <v xml:space="preserve"> </v>
      </c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3" t="s">
        <v>217</v>
      </c>
    </row>
    <row r="227" spans="2:31" x14ac:dyDescent="0.25">
      <c r="B227" s="54" t="str">
        <f>IFERROR(VLOOKUP(A227&amp;$I$2,ODDS!A226:$K$50000,3,0)," ")</f>
        <v xml:space="preserve"> </v>
      </c>
      <c r="C227" s="53" t="str">
        <f>IFERROR(VLOOKUP(A227&amp;$I$2,ODDS!A226:$K$50000,4,0)," ")</f>
        <v xml:space="preserve"> </v>
      </c>
      <c r="D227" s="53" t="str">
        <f>IFERROR(VLOOKUP(A227&amp;$I$2,ODDS!A226:$K$50000,6,0)," ")</f>
        <v xml:space="preserve"> </v>
      </c>
      <c r="E227" s="53" t="s">
        <v>211</v>
      </c>
      <c r="F227" s="53" t="str">
        <f>IFERROR(VLOOKUP(A227&amp;$I$2,ODDS!A226:$K$50000,7,0)," ")</f>
        <v xml:space="preserve"> </v>
      </c>
      <c r="G227" s="53" t="str">
        <f>IFERROR(VLOOKUP(A227&amp;$I$2,ODDS!A226:$K$50000,5,0)," ")</f>
        <v xml:space="preserve"> </v>
      </c>
      <c r="H227" s="53" t="str">
        <f t="shared" si="9"/>
        <v xml:space="preserve"> </v>
      </c>
      <c r="I227" s="22"/>
      <c r="J227" s="22"/>
      <c r="K227" s="22"/>
      <c r="L227" s="60" t="str">
        <f>IFERROR(VLOOKUP(A227&amp;$K$2,ODDS!B226:$K$50000,2,0)," ")</f>
        <v xml:space="preserve"> </v>
      </c>
      <c r="M227" s="39" t="str">
        <f>IFERROR(VLOOKUP(A227&amp;$K$2,ODDS!B226:$K$50000,3,0)," ")</f>
        <v xml:space="preserve"> </v>
      </c>
      <c r="N227" s="53" t="str">
        <f>IFERROR(VLOOKUP(A227&amp;$K$2,ODDS!B226:$K$50000,5,0)," ")</f>
        <v xml:space="preserve"> </v>
      </c>
      <c r="O227" s="53" t="s">
        <v>211</v>
      </c>
      <c r="P227" s="53" t="str">
        <f>IFERROR(VLOOKUP(A227&amp;$K$2,ODDS!B226:$K$50000,6,0)," ")</f>
        <v xml:space="preserve"> </v>
      </c>
      <c r="Q227" s="39" t="str">
        <f>IFERROR(VLOOKUP(A227&amp;$K$2,ODDS!B226:$K$50000,4,0)," ")</f>
        <v xml:space="preserve"> </v>
      </c>
      <c r="R227" s="53" t="str">
        <f t="shared" si="10"/>
        <v xml:space="preserve"> </v>
      </c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3"/>
    </row>
    <row r="228" spans="2:31" x14ac:dyDescent="0.25">
      <c r="B228" s="54" t="str">
        <f>IFERROR(VLOOKUP(A228&amp;$I$2,ODDS!A227:$K$50000,3,0)," ")</f>
        <v xml:space="preserve"> </v>
      </c>
      <c r="C228" s="53" t="str">
        <f>IFERROR(VLOOKUP(A228&amp;$I$2,ODDS!A227:$K$50000,4,0)," ")</f>
        <v xml:space="preserve"> </v>
      </c>
      <c r="D228" s="53" t="str">
        <f>IFERROR(VLOOKUP(A228&amp;$I$2,ODDS!A227:$K$50000,6,0)," ")</f>
        <v xml:space="preserve"> </v>
      </c>
      <c r="E228" s="53" t="s">
        <v>211</v>
      </c>
      <c r="F228" s="53" t="str">
        <f>IFERROR(VLOOKUP(A228&amp;$I$2,ODDS!A227:$K$50000,7,0)," ")</f>
        <v xml:space="preserve"> </v>
      </c>
      <c r="G228" s="53" t="str">
        <f>IFERROR(VLOOKUP(A228&amp;$I$2,ODDS!A227:$K$50000,5,0)," ")</f>
        <v xml:space="preserve"> </v>
      </c>
      <c r="H228" s="53" t="str">
        <f t="shared" si="9"/>
        <v xml:space="preserve"> </v>
      </c>
      <c r="I228" s="22"/>
      <c r="J228" s="22"/>
      <c r="K228" s="22"/>
      <c r="L228" s="60" t="str">
        <f>IFERROR(VLOOKUP(A228&amp;$K$2,ODDS!B227:$K$50000,2,0)," ")</f>
        <v xml:space="preserve"> </v>
      </c>
      <c r="M228" s="39" t="str">
        <f>IFERROR(VLOOKUP(A228&amp;$K$2,ODDS!B227:$K$50000,3,0)," ")</f>
        <v xml:space="preserve"> </v>
      </c>
      <c r="N228" s="53" t="str">
        <f>IFERROR(VLOOKUP(A228&amp;$K$2,ODDS!B227:$K$50000,5,0)," ")</f>
        <v xml:space="preserve"> </v>
      </c>
      <c r="O228" s="53" t="s">
        <v>211</v>
      </c>
      <c r="P228" s="53" t="str">
        <f>IFERROR(VLOOKUP(A228&amp;$K$2,ODDS!B227:$K$50000,6,0)," ")</f>
        <v xml:space="preserve"> </v>
      </c>
      <c r="Q228" s="39" t="str">
        <f>IFERROR(VLOOKUP(A228&amp;$K$2,ODDS!B227:$K$50000,4,0)," ")</f>
        <v xml:space="preserve"> </v>
      </c>
      <c r="R228" s="53" t="str">
        <f t="shared" si="10"/>
        <v xml:space="preserve"> </v>
      </c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 t="s">
        <v>217</v>
      </c>
    </row>
    <row r="229" spans="2:31" x14ac:dyDescent="0.25">
      <c r="B229" s="54" t="str">
        <f>IFERROR(VLOOKUP(A229&amp;$I$2,ODDS!A228:$K$50000,3,0)," ")</f>
        <v xml:space="preserve"> </v>
      </c>
      <c r="C229" s="53" t="str">
        <f>IFERROR(VLOOKUP(A229&amp;$I$2,ODDS!A228:$K$50000,4,0)," ")</f>
        <v xml:space="preserve"> </v>
      </c>
      <c r="D229" s="53" t="str">
        <f>IFERROR(VLOOKUP(A229&amp;$I$2,ODDS!A228:$K$50000,6,0)," ")</f>
        <v xml:space="preserve"> </v>
      </c>
      <c r="E229" s="53" t="s">
        <v>211</v>
      </c>
      <c r="F229" s="53" t="str">
        <f>IFERROR(VLOOKUP(A229&amp;$I$2,ODDS!A228:$K$50000,7,0)," ")</f>
        <v xml:space="preserve"> </v>
      </c>
      <c r="G229" s="53" t="str">
        <f>IFERROR(VLOOKUP(A229&amp;$I$2,ODDS!A228:$K$50000,5,0)," ")</f>
        <v xml:space="preserve"> </v>
      </c>
      <c r="H229" s="53" t="str">
        <f t="shared" si="9"/>
        <v xml:space="preserve"> </v>
      </c>
      <c r="I229" s="22"/>
      <c r="J229" s="22"/>
      <c r="K229" s="22"/>
      <c r="L229" s="60" t="str">
        <f>IFERROR(VLOOKUP(A229&amp;$K$2,ODDS!B228:$K$50000,2,0)," ")</f>
        <v xml:space="preserve"> </v>
      </c>
      <c r="M229" s="39" t="str">
        <f>IFERROR(VLOOKUP(A229&amp;$K$2,ODDS!B228:$K$50000,3,0)," ")</f>
        <v xml:space="preserve"> </v>
      </c>
      <c r="N229" s="53" t="str">
        <f>IFERROR(VLOOKUP(A229&amp;$K$2,ODDS!B228:$K$50000,5,0)," ")</f>
        <v xml:space="preserve"> </v>
      </c>
      <c r="O229" s="53" t="s">
        <v>211</v>
      </c>
      <c r="P229" s="53" t="str">
        <f>IFERROR(VLOOKUP(A229&amp;$K$2,ODDS!B228:$K$50000,6,0)," ")</f>
        <v xml:space="preserve"> </v>
      </c>
      <c r="Q229" s="39" t="str">
        <f>IFERROR(VLOOKUP(A229&amp;$K$2,ODDS!B228:$K$50000,4,0)," ")</f>
        <v xml:space="preserve"> </v>
      </c>
      <c r="R229" s="53" t="str">
        <f t="shared" si="10"/>
        <v xml:space="preserve"> </v>
      </c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3"/>
    </row>
    <row r="230" spans="2:31" x14ac:dyDescent="0.25">
      <c r="B230" s="54" t="str">
        <f>IFERROR(VLOOKUP(A230&amp;$I$2,ODDS!A229:$K$50000,3,0)," ")</f>
        <v xml:space="preserve"> </v>
      </c>
      <c r="C230" s="53" t="str">
        <f>IFERROR(VLOOKUP(A230&amp;$I$2,ODDS!A229:$K$50000,4,0)," ")</f>
        <v xml:space="preserve"> </v>
      </c>
      <c r="D230" s="53" t="str">
        <f>IFERROR(VLOOKUP(A230&amp;$I$2,ODDS!A229:$K$50000,6,0)," ")</f>
        <v xml:space="preserve"> </v>
      </c>
      <c r="E230" s="53" t="s">
        <v>211</v>
      </c>
      <c r="F230" s="53" t="str">
        <f>IFERROR(VLOOKUP(A230&amp;$I$2,ODDS!A229:$K$50000,7,0)," ")</f>
        <v xml:space="preserve"> </v>
      </c>
      <c r="G230" s="53" t="str">
        <f>IFERROR(VLOOKUP(A230&amp;$I$2,ODDS!A229:$K$50000,5,0)," ")</f>
        <v xml:space="preserve"> </v>
      </c>
      <c r="H230" s="53" t="str">
        <f t="shared" si="9"/>
        <v xml:space="preserve"> </v>
      </c>
      <c r="I230" s="22"/>
      <c r="J230" s="22"/>
      <c r="K230" s="22"/>
      <c r="L230" s="60" t="str">
        <f>IFERROR(VLOOKUP(A230&amp;$K$2,ODDS!B229:$K$50000,2,0)," ")</f>
        <v xml:space="preserve"> </v>
      </c>
      <c r="M230" s="39" t="str">
        <f>IFERROR(VLOOKUP(A230&amp;$K$2,ODDS!B229:$K$50000,3,0)," ")</f>
        <v xml:space="preserve"> </v>
      </c>
      <c r="N230" s="53" t="str">
        <f>IFERROR(VLOOKUP(A230&amp;$K$2,ODDS!B229:$K$50000,5,0)," ")</f>
        <v xml:space="preserve"> </v>
      </c>
      <c r="O230" s="53" t="s">
        <v>211</v>
      </c>
      <c r="P230" s="53" t="str">
        <f>IFERROR(VLOOKUP(A230&amp;$K$2,ODDS!B229:$K$50000,6,0)," ")</f>
        <v xml:space="preserve"> </v>
      </c>
      <c r="Q230" s="39" t="str">
        <f>IFERROR(VLOOKUP(A230&amp;$K$2,ODDS!B229:$K$50000,4,0)," ")</f>
        <v xml:space="preserve"> </v>
      </c>
      <c r="R230" s="53" t="str">
        <f t="shared" si="10"/>
        <v xml:space="preserve"> </v>
      </c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 t="s">
        <v>217</v>
      </c>
    </row>
    <row r="231" spans="2:31" x14ac:dyDescent="0.25">
      <c r="B231" s="54" t="str">
        <f>IFERROR(VLOOKUP(A231&amp;$I$2,ODDS!A230:$K$50000,3,0)," ")</f>
        <v xml:space="preserve"> </v>
      </c>
      <c r="C231" s="53" t="str">
        <f>IFERROR(VLOOKUP(A231&amp;$I$2,ODDS!A230:$K$50000,4,0)," ")</f>
        <v xml:space="preserve"> </v>
      </c>
      <c r="D231" s="53" t="str">
        <f>IFERROR(VLOOKUP(A231&amp;$I$2,ODDS!A230:$K$50000,6,0)," ")</f>
        <v xml:space="preserve"> </v>
      </c>
      <c r="E231" s="53" t="s">
        <v>211</v>
      </c>
      <c r="F231" s="53" t="str">
        <f>IFERROR(VLOOKUP(A231&amp;$I$2,ODDS!A230:$K$50000,7,0)," ")</f>
        <v xml:space="preserve"> </v>
      </c>
      <c r="G231" s="53" t="str">
        <f>IFERROR(VLOOKUP(A231&amp;$I$2,ODDS!A230:$K$50000,5,0)," ")</f>
        <v xml:space="preserve"> </v>
      </c>
      <c r="H231" s="53" t="str">
        <f t="shared" si="9"/>
        <v xml:space="preserve"> </v>
      </c>
      <c r="I231" s="22"/>
      <c r="J231" s="22"/>
      <c r="K231" s="22"/>
      <c r="L231" s="60" t="str">
        <f>IFERROR(VLOOKUP(A231&amp;$K$2,ODDS!B230:$K$50000,2,0)," ")</f>
        <v xml:space="preserve"> </v>
      </c>
      <c r="M231" s="39" t="str">
        <f>IFERROR(VLOOKUP(A231&amp;$K$2,ODDS!B230:$K$50000,3,0)," ")</f>
        <v xml:space="preserve"> </v>
      </c>
      <c r="N231" s="53" t="str">
        <f>IFERROR(VLOOKUP(A231&amp;$K$2,ODDS!B230:$K$50000,5,0)," ")</f>
        <v xml:space="preserve"> </v>
      </c>
      <c r="O231" s="53" t="s">
        <v>211</v>
      </c>
      <c r="P231" s="53" t="str">
        <f>IFERROR(VLOOKUP(A231&amp;$K$2,ODDS!B230:$K$50000,6,0)," ")</f>
        <v xml:space="preserve"> </v>
      </c>
      <c r="Q231" s="39" t="str">
        <f>IFERROR(VLOOKUP(A231&amp;$K$2,ODDS!B230:$K$50000,4,0)," ")</f>
        <v xml:space="preserve"> </v>
      </c>
      <c r="R231" s="53" t="str">
        <f t="shared" si="10"/>
        <v xml:space="preserve"> </v>
      </c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</row>
    <row r="232" spans="2:31" x14ac:dyDescent="0.25">
      <c r="B232" s="54" t="str">
        <f>IFERROR(VLOOKUP(A232&amp;$I$2,ODDS!A231:$K$50000,3,0)," ")</f>
        <v xml:space="preserve"> </v>
      </c>
      <c r="C232" s="53" t="str">
        <f>IFERROR(VLOOKUP(A232&amp;$I$2,ODDS!A231:$K$50000,4,0)," ")</f>
        <v xml:space="preserve"> </v>
      </c>
      <c r="D232" s="53" t="str">
        <f>IFERROR(VLOOKUP(A232&amp;$I$2,ODDS!A231:$K$50000,6,0)," ")</f>
        <v xml:space="preserve"> </v>
      </c>
      <c r="E232" s="53" t="s">
        <v>211</v>
      </c>
      <c r="F232" s="53" t="str">
        <f>IFERROR(VLOOKUP(A232&amp;$I$2,ODDS!A231:$K$50000,7,0)," ")</f>
        <v xml:space="preserve"> </v>
      </c>
      <c r="G232" s="53" t="str">
        <f>IFERROR(VLOOKUP(A232&amp;$I$2,ODDS!A231:$K$50000,5,0)," ")</f>
        <v xml:space="preserve"> </v>
      </c>
      <c r="H232" s="53" t="str">
        <f t="shared" si="9"/>
        <v xml:space="preserve"> </v>
      </c>
      <c r="I232" s="22"/>
      <c r="J232" s="22"/>
      <c r="K232" s="22"/>
      <c r="L232" s="60" t="str">
        <f>IFERROR(VLOOKUP(A232&amp;$K$2,ODDS!B231:$K$50000,2,0)," ")</f>
        <v xml:space="preserve"> </v>
      </c>
      <c r="M232" s="39" t="str">
        <f>IFERROR(VLOOKUP(A232&amp;$K$2,ODDS!B231:$K$50000,3,0)," ")</f>
        <v xml:space="preserve"> </v>
      </c>
      <c r="N232" s="53" t="str">
        <f>IFERROR(VLOOKUP(A232&amp;$K$2,ODDS!B231:$K$50000,5,0)," ")</f>
        <v xml:space="preserve"> </v>
      </c>
      <c r="O232" s="53" t="s">
        <v>211</v>
      </c>
      <c r="P232" s="53" t="str">
        <f>IFERROR(VLOOKUP(A232&amp;$K$2,ODDS!B231:$K$50000,6,0)," ")</f>
        <v xml:space="preserve"> </v>
      </c>
      <c r="Q232" s="39" t="str">
        <f>IFERROR(VLOOKUP(A232&amp;$K$2,ODDS!B231:$K$50000,4,0)," ")</f>
        <v xml:space="preserve"> </v>
      </c>
      <c r="R232" s="53" t="str">
        <f t="shared" si="10"/>
        <v xml:space="preserve"> </v>
      </c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3" t="s">
        <v>217</v>
      </c>
    </row>
    <row r="233" spans="2:31" x14ac:dyDescent="0.25">
      <c r="B233" s="54" t="str">
        <f>IFERROR(VLOOKUP(A233&amp;$I$2,ODDS!A232:$K$50000,3,0)," ")</f>
        <v xml:space="preserve"> </v>
      </c>
      <c r="C233" s="53" t="str">
        <f>IFERROR(VLOOKUP(A233&amp;$I$2,ODDS!A232:$K$50000,4,0)," ")</f>
        <v xml:space="preserve"> </v>
      </c>
      <c r="D233" s="53" t="str">
        <f>IFERROR(VLOOKUP(A233&amp;$I$2,ODDS!A232:$K$50000,6,0)," ")</f>
        <v xml:space="preserve"> </v>
      </c>
      <c r="E233" s="53" t="s">
        <v>211</v>
      </c>
      <c r="F233" s="53" t="str">
        <f>IFERROR(VLOOKUP(A233&amp;$I$2,ODDS!A232:$K$50000,7,0)," ")</f>
        <v xml:space="preserve"> </v>
      </c>
      <c r="G233" s="53" t="str">
        <f>IFERROR(VLOOKUP(A233&amp;$I$2,ODDS!A232:$K$50000,5,0)," ")</f>
        <v xml:space="preserve"> </v>
      </c>
      <c r="H233" s="53" t="str">
        <f t="shared" si="9"/>
        <v xml:space="preserve"> </v>
      </c>
      <c r="I233" s="22"/>
      <c r="J233" s="22"/>
      <c r="K233" s="22"/>
      <c r="L233" s="60" t="str">
        <f>IFERROR(VLOOKUP(A233&amp;$K$2,ODDS!B232:$K$50000,2,0)," ")</f>
        <v xml:space="preserve"> </v>
      </c>
      <c r="M233" s="39" t="str">
        <f>IFERROR(VLOOKUP(A233&amp;$K$2,ODDS!B232:$K$50000,3,0)," ")</f>
        <v xml:space="preserve"> </v>
      </c>
      <c r="N233" s="53" t="str">
        <f>IFERROR(VLOOKUP(A233&amp;$K$2,ODDS!B232:$K$50000,5,0)," ")</f>
        <v xml:space="preserve"> </v>
      </c>
      <c r="O233" s="53" t="s">
        <v>211</v>
      </c>
      <c r="P233" s="53" t="str">
        <f>IFERROR(VLOOKUP(A233&amp;$K$2,ODDS!B232:$K$50000,6,0)," ")</f>
        <v xml:space="preserve"> </v>
      </c>
      <c r="Q233" s="39" t="str">
        <f>IFERROR(VLOOKUP(A233&amp;$K$2,ODDS!B232:$K$50000,4,0)," ")</f>
        <v xml:space="preserve"> </v>
      </c>
      <c r="R233" s="53" t="str">
        <f t="shared" si="10"/>
        <v xml:space="preserve"> </v>
      </c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</row>
    <row r="234" spans="2:31" x14ac:dyDescent="0.25">
      <c r="B234" s="54" t="str">
        <f>IFERROR(VLOOKUP(A234&amp;$I$2,ODDS!A233:$K$50000,3,0)," ")</f>
        <v xml:space="preserve"> </v>
      </c>
      <c r="C234" s="53" t="str">
        <f>IFERROR(VLOOKUP(A234&amp;$I$2,ODDS!A233:$K$50000,4,0)," ")</f>
        <v xml:space="preserve"> </v>
      </c>
      <c r="D234" s="53" t="str">
        <f>IFERROR(VLOOKUP(A234&amp;$I$2,ODDS!A233:$K$50000,6,0)," ")</f>
        <v xml:space="preserve"> </v>
      </c>
      <c r="E234" s="53" t="s">
        <v>211</v>
      </c>
      <c r="F234" s="53" t="str">
        <f>IFERROR(VLOOKUP(A234&amp;$I$2,ODDS!A233:$K$50000,7,0)," ")</f>
        <v xml:space="preserve"> </v>
      </c>
      <c r="G234" s="53" t="str">
        <f>IFERROR(VLOOKUP(A234&amp;$I$2,ODDS!A233:$K$50000,5,0)," ")</f>
        <v xml:space="preserve"> </v>
      </c>
      <c r="H234" s="53" t="str">
        <f t="shared" si="9"/>
        <v xml:space="preserve"> </v>
      </c>
      <c r="I234" s="22"/>
      <c r="J234" s="22"/>
      <c r="K234" s="22"/>
      <c r="L234" s="60" t="str">
        <f>IFERROR(VLOOKUP(A234&amp;$K$2,ODDS!B233:$K$50000,2,0)," ")</f>
        <v xml:space="preserve"> </v>
      </c>
      <c r="M234" s="39" t="str">
        <f>IFERROR(VLOOKUP(A234&amp;$K$2,ODDS!B233:$K$50000,3,0)," ")</f>
        <v xml:space="preserve"> </v>
      </c>
      <c r="N234" s="53" t="str">
        <f>IFERROR(VLOOKUP(A234&amp;$K$2,ODDS!B233:$K$50000,5,0)," ")</f>
        <v xml:space="preserve"> </v>
      </c>
      <c r="O234" s="53" t="s">
        <v>211</v>
      </c>
      <c r="P234" s="53" t="str">
        <f>IFERROR(VLOOKUP(A234&amp;$K$2,ODDS!B233:$K$50000,6,0)," ")</f>
        <v xml:space="preserve"> </v>
      </c>
      <c r="Q234" s="39" t="str">
        <f>IFERROR(VLOOKUP(A234&amp;$K$2,ODDS!B233:$K$50000,4,0)," ")</f>
        <v xml:space="preserve"> </v>
      </c>
      <c r="R234" s="53" t="str">
        <f t="shared" si="10"/>
        <v xml:space="preserve"> </v>
      </c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3" t="s">
        <v>217</v>
      </c>
    </row>
    <row r="235" spans="2:31" x14ac:dyDescent="0.25">
      <c r="B235" s="54" t="str">
        <f>IFERROR(VLOOKUP(A235&amp;$I$2,ODDS!A234:$K$50000,3,0)," ")</f>
        <v xml:space="preserve"> </v>
      </c>
      <c r="C235" s="53" t="str">
        <f>IFERROR(VLOOKUP(A235&amp;$I$2,ODDS!A234:$K$50000,4,0)," ")</f>
        <v xml:space="preserve"> </v>
      </c>
      <c r="D235" s="53" t="str">
        <f>IFERROR(VLOOKUP(A235&amp;$I$2,ODDS!A234:$K$50000,6,0)," ")</f>
        <v xml:space="preserve"> </v>
      </c>
      <c r="E235" s="53" t="s">
        <v>211</v>
      </c>
      <c r="F235" s="53" t="str">
        <f>IFERROR(VLOOKUP(A235&amp;$I$2,ODDS!A234:$K$50000,7,0)," ")</f>
        <v xml:space="preserve"> </v>
      </c>
      <c r="G235" s="53" t="str">
        <f>IFERROR(VLOOKUP(A235&amp;$I$2,ODDS!A234:$K$50000,5,0)," ")</f>
        <v xml:space="preserve"> </v>
      </c>
      <c r="H235" s="53" t="str">
        <f t="shared" si="9"/>
        <v xml:space="preserve"> </v>
      </c>
      <c r="I235" s="22"/>
      <c r="J235" s="22"/>
      <c r="K235" s="22"/>
      <c r="L235" s="60" t="str">
        <f>IFERROR(VLOOKUP(A235&amp;$K$2,ODDS!B234:$K$50000,2,0)," ")</f>
        <v xml:space="preserve"> </v>
      </c>
      <c r="M235" s="39" t="str">
        <f>IFERROR(VLOOKUP(A235&amp;$K$2,ODDS!B234:$K$50000,3,0)," ")</f>
        <v xml:space="preserve"> </v>
      </c>
      <c r="N235" s="53" t="str">
        <f>IFERROR(VLOOKUP(A235&amp;$K$2,ODDS!B234:$K$50000,5,0)," ")</f>
        <v xml:space="preserve"> </v>
      </c>
      <c r="O235" s="53" t="s">
        <v>211</v>
      </c>
      <c r="P235" s="53" t="str">
        <f>IFERROR(VLOOKUP(A235&amp;$K$2,ODDS!B234:$K$50000,6,0)," ")</f>
        <v xml:space="preserve"> </v>
      </c>
      <c r="Q235" s="39" t="str">
        <f>IFERROR(VLOOKUP(A235&amp;$K$2,ODDS!B234:$K$50000,4,0)," ")</f>
        <v xml:space="preserve"> </v>
      </c>
      <c r="R235" s="53" t="str">
        <f t="shared" si="10"/>
        <v xml:space="preserve"> </v>
      </c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</row>
    <row r="236" spans="2:31" x14ac:dyDescent="0.25">
      <c r="B236" s="54" t="str">
        <f>IFERROR(VLOOKUP(A236&amp;$I$2,ODDS!A235:$K$50000,3,0)," ")</f>
        <v xml:space="preserve"> </v>
      </c>
      <c r="C236" s="53" t="str">
        <f>IFERROR(VLOOKUP(A236&amp;$I$2,ODDS!A235:$K$50000,4,0)," ")</f>
        <v xml:space="preserve"> </v>
      </c>
      <c r="D236" s="53" t="str">
        <f>IFERROR(VLOOKUP(A236&amp;$I$2,ODDS!A235:$K$50000,6,0)," ")</f>
        <v xml:space="preserve"> </v>
      </c>
      <c r="E236" s="53" t="s">
        <v>211</v>
      </c>
      <c r="F236" s="53" t="str">
        <f>IFERROR(VLOOKUP(A236&amp;$I$2,ODDS!A235:$K$50000,7,0)," ")</f>
        <v xml:space="preserve"> </v>
      </c>
      <c r="G236" s="53" t="str">
        <f>IFERROR(VLOOKUP(A236&amp;$I$2,ODDS!A235:$K$50000,5,0)," ")</f>
        <v xml:space="preserve"> </v>
      </c>
      <c r="H236" s="53" t="str">
        <f t="shared" si="9"/>
        <v xml:space="preserve"> </v>
      </c>
      <c r="I236" s="22"/>
      <c r="J236" s="22"/>
      <c r="K236" s="22"/>
      <c r="L236" s="60" t="str">
        <f>IFERROR(VLOOKUP(A236&amp;$K$2,ODDS!B235:$K$50000,2,0)," ")</f>
        <v xml:space="preserve"> </v>
      </c>
      <c r="M236" s="39" t="str">
        <f>IFERROR(VLOOKUP(A236&amp;$K$2,ODDS!B235:$K$50000,3,0)," ")</f>
        <v xml:space="preserve"> </v>
      </c>
      <c r="N236" s="53" t="str">
        <f>IFERROR(VLOOKUP(A236&amp;$K$2,ODDS!B235:$K$50000,5,0)," ")</f>
        <v xml:space="preserve"> </v>
      </c>
      <c r="O236" s="53" t="s">
        <v>211</v>
      </c>
      <c r="P236" s="53" t="str">
        <f>IFERROR(VLOOKUP(A236&amp;$K$2,ODDS!B235:$K$50000,6,0)," ")</f>
        <v xml:space="preserve"> </v>
      </c>
      <c r="Q236" s="39" t="str">
        <f>IFERROR(VLOOKUP(A236&amp;$K$2,ODDS!B235:$K$50000,4,0)," ")</f>
        <v xml:space="preserve"> </v>
      </c>
      <c r="R236" s="53" t="str">
        <f t="shared" si="10"/>
        <v xml:space="preserve"> </v>
      </c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3" t="s">
        <v>217</v>
      </c>
    </row>
    <row r="237" spans="2:31" x14ac:dyDescent="0.25">
      <c r="B237" s="54" t="str">
        <f>IFERROR(VLOOKUP(A237&amp;$I$2,ODDS!A236:$K$50000,3,0)," ")</f>
        <v xml:space="preserve"> </v>
      </c>
      <c r="C237" s="53" t="str">
        <f>IFERROR(VLOOKUP(A237&amp;$I$2,ODDS!A236:$K$50000,4,0)," ")</f>
        <v xml:space="preserve"> </v>
      </c>
      <c r="D237" s="53" t="str">
        <f>IFERROR(VLOOKUP(A237&amp;$I$2,ODDS!A236:$K$50000,6,0)," ")</f>
        <v xml:space="preserve"> </v>
      </c>
      <c r="E237" s="53" t="s">
        <v>211</v>
      </c>
      <c r="F237" s="53" t="str">
        <f>IFERROR(VLOOKUP(A237&amp;$I$2,ODDS!A236:$K$50000,7,0)," ")</f>
        <v xml:space="preserve"> </v>
      </c>
      <c r="G237" s="53" t="str">
        <f>IFERROR(VLOOKUP(A237&amp;$I$2,ODDS!A236:$K$50000,5,0)," ")</f>
        <v xml:space="preserve"> </v>
      </c>
      <c r="H237" s="53" t="str">
        <f t="shared" si="9"/>
        <v xml:space="preserve"> </v>
      </c>
      <c r="I237" s="22"/>
      <c r="J237" s="22"/>
      <c r="K237" s="22"/>
      <c r="L237" s="60" t="str">
        <f>IFERROR(VLOOKUP(A237&amp;$K$2,ODDS!B236:$K$50000,2,0)," ")</f>
        <v xml:space="preserve"> </v>
      </c>
      <c r="M237" s="39" t="str">
        <f>IFERROR(VLOOKUP(A237&amp;$K$2,ODDS!B236:$K$50000,3,0)," ")</f>
        <v xml:space="preserve"> </v>
      </c>
      <c r="N237" s="53" t="str">
        <f>IFERROR(VLOOKUP(A237&amp;$K$2,ODDS!B236:$K$50000,5,0)," ")</f>
        <v xml:space="preserve"> </v>
      </c>
      <c r="O237" s="53" t="s">
        <v>211</v>
      </c>
      <c r="P237" s="53" t="str">
        <f>IFERROR(VLOOKUP(A237&amp;$K$2,ODDS!B236:$K$50000,6,0)," ")</f>
        <v xml:space="preserve"> </v>
      </c>
      <c r="Q237" s="39" t="str">
        <f>IFERROR(VLOOKUP(A237&amp;$K$2,ODDS!B236:$K$50000,4,0)," ")</f>
        <v xml:space="preserve"> </v>
      </c>
      <c r="R237" s="53" t="str">
        <f t="shared" si="10"/>
        <v xml:space="preserve"> </v>
      </c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</row>
    <row r="238" spans="2:31" x14ac:dyDescent="0.25">
      <c r="B238" s="54" t="str">
        <f>IFERROR(VLOOKUP(A238&amp;$I$2,ODDS!A237:$K$50000,3,0)," ")</f>
        <v xml:space="preserve"> </v>
      </c>
      <c r="C238" s="53" t="str">
        <f>IFERROR(VLOOKUP(A238&amp;$I$2,ODDS!A237:$K$50000,4,0)," ")</f>
        <v xml:space="preserve"> </v>
      </c>
      <c r="D238" s="53" t="str">
        <f>IFERROR(VLOOKUP(A238&amp;$I$2,ODDS!A237:$K$50000,6,0)," ")</f>
        <v xml:space="preserve"> </v>
      </c>
      <c r="E238" s="53" t="s">
        <v>211</v>
      </c>
      <c r="F238" s="53" t="str">
        <f>IFERROR(VLOOKUP(A238&amp;$I$2,ODDS!A237:$K$50000,7,0)," ")</f>
        <v xml:space="preserve"> </v>
      </c>
      <c r="G238" s="53" t="str">
        <f>IFERROR(VLOOKUP(A238&amp;$I$2,ODDS!A237:$K$50000,5,0)," ")</f>
        <v xml:space="preserve"> </v>
      </c>
      <c r="H238" s="53" t="str">
        <f t="shared" si="9"/>
        <v xml:space="preserve"> </v>
      </c>
      <c r="I238" s="22"/>
      <c r="J238" s="22"/>
      <c r="K238" s="22"/>
      <c r="L238" s="60" t="str">
        <f>IFERROR(VLOOKUP(A238&amp;$K$2,ODDS!B237:$K$50000,2,0)," ")</f>
        <v xml:space="preserve"> </v>
      </c>
      <c r="M238" s="39" t="str">
        <f>IFERROR(VLOOKUP(A238&amp;$K$2,ODDS!B237:$K$50000,3,0)," ")</f>
        <v xml:space="preserve"> </v>
      </c>
      <c r="N238" s="53" t="str">
        <f>IFERROR(VLOOKUP(A238&amp;$K$2,ODDS!B237:$K$50000,5,0)," ")</f>
        <v xml:space="preserve"> </v>
      </c>
      <c r="O238" s="53" t="s">
        <v>211</v>
      </c>
      <c r="P238" s="53" t="str">
        <f>IFERROR(VLOOKUP(A238&amp;$K$2,ODDS!B237:$K$50000,6,0)," ")</f>
        <v xml:space="preserve"> </v>
      </c>
      <c r="Q238" s="39" t="str">
        <f>IFERROR(VLOOKUP(A238&amp;$K$2,ODDS!B237:$K$50000,4,0)," ")</f>
        <v xml:space="preserve"> </v>
      </c>
      <c r="R238" s="53" t="str">
        <f t="shared" si="10"/>
        <v xml:space="preserve"> </v>
      </c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 t="s">
        <v>217</v>
      </c>
    </row>
    <row r="239" spans="2:31" x14ac:dyDescent="0.25">
      <c r="B239" s="54" t="str">
        <f>IFERROR(VLOOKUP(A239&amp;$I$2,ODDS!A238:$K$50000,3,0)," ")</f>
        <v xml:space="preserve"> </v>
      </c>
      <c r="C239" s="53" t="str">
        <f>IFERROR(VLOOKUP(A239&amp;$I$2,ODDS!A238:$K$50000,4,0)," ")</f>
        <v xml:space="preserve"> </v>
      </c>
      <c r="D239" s="53" t="str">
        <f>IFERROR(VLOOKUP(A239&amp;$I$2,ODDS!A238:$K$50000,6,0)," ")</f>
        <v xml:space="preserve"> </v>
      </c>
      <c r="E239" s="53" t="s">
        <v>211</v>
      </c>
      <c r="F239" s="53" t="str">
        <f>IFERROR(VLOOKUP(A239&amp;$I$2,ODDS!A238:$K$50000,7,0)," ")</f>
        <v xml:space="preserve"> </v>
      </c>
      <c r="G239" s="53" t="str">
        <f>IFERROR(VLOOKUP(A239&amp;$I$2,ODDS!A238:$K$50000,5,0)," ")</f>
        <v xml:space="preserve"> </v>
      </c>
      <c r="H239" s="53" t="str">
        <f t="shared" si="9"/>
        <v xml:space="preserve"> </v>
      </c>
      <c r="I239" s="22"/>
      <c r="J239" s="22"/>
      <c r="K239" s="22"/>
      <c r="L239" s="60" t="str">
        <f>IFERROR(VLOOKUP(A239&amp;$K$2,ODDS!B238:$K$50000,2,0)," ")</f>
        <v xml:space="preserve"> </v>
      </c>
      <c r="M239" s="39" t="str">
        <f>IFERROR(VLOOKUP(A239&amp;$K$2,ODDS!B238:$K$50000,3,0)," ")</f>
        <v xml:space="preserve"> </v>
      </c>
      <c r="N239" s="53" t="str">
        <f>IFERROR(VLOOKUP(A239&amp;$K$2,ODDS!B238:$K$50000,5,0)," ")</f>
        <v xml:space="preserve"> </v>
      </c>
      <c r="O239" s="53" t="s">
        <v>211</v>
      </c>
      <c r="P239" s="53" t="str">
        <f>IFERROR(VLOOKUP(A239&amp;$K$2,ODDS!B238:$K$50000,6,0)," ")</f>
        <v xml:space="preserve"> </v>
      </c>
      <c r="Q239" s="39" t="str">
        <f>IFERROR(VLOOKUP(A239&amp;$K$2,ODDS!B238:$K$50000,4,0)," ")</f>
        <v xml:space="preserve"> </v>
      </c>
      <c r="R239" s="53" t="str">
        <f t="shared" si="10"/>
        <v xml:space="preserve"> </v>
      </c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3"/>
    </row>
    <row r="240" spans="2:31" x14ac:dyDescent="0.25">
      <c r="B240" s="54" t="str">
        <f>IFERROR(VLOOKUP(A240&amp;$I$2,ODDS!A239:$K$50000,3,0)," ")</f>
        <v xml:space="preserve"> </v>
      </c>
      <c r="C240" s="53" t="str">
        <f>IFERROR(VLOOKUP(A240&amp;$I$2,ODDS!A239:$K$50000,4,0)," ")</f>
        <v xml:space="preserve"> </v>
      </c>
      <c r="D240" s="53" t="str">
        <f>IFERROR(VLOOKUP(A240&amp;$I$2,ODDS!A239:$K$50000,6,0)," ")</f>
        <v xml:space="preserve"> </v>
      </c>
      <c r="E240" s="53" t="s">
        <v>211</v>
      </c>
      <c r="F240" s="53" t="str">
        <f>IFERROR(VLOOKUP(A240&amp;$I$2,ODDS!A239:$K$50000,7,0)," ")</f>
        <v xml:space="preserve"> </v>
      </c>
      <c r="G240" s="53" t="str">
        <f>IFERROR(VLOOKUP(A240&amp;$I$2,ODDS!A239:$K$50000,5,0)," ")</f>
        <v xml:space="preserve"> </v>
      </c>
      <c r="H240" s="53" t="str">
        <f t="shared" si="9"/>
        <v xml:space="preserve"> </v>
      </c>
      <c r="I240" s="22"/>
      <c r="J240" s="22"/>
      <c r="K240" s="22"/>
      <c r="L240" s="60" t="str">
        <f>IFERROR(VLOOKUP(A240&amp;$K$2,ODDS!B239:$K$50000,2,0)," ")</f>
        <v xml:space="preserve"> </v>
      </c>
      <c r="M240" s="39" t="str">
        <f>IFERROR(VLOOKUP(A240&amp;$K$2,ODDS!B239:$K$50000,3,0)," ")</f>
        <v xml:space="preserve"> </v>
      </c>
      <c r="N240" s="53" t="str">
        <f>IFERROR(VLOOKUP(A240&amp;$K$2,ODDS!B239:$K$50000,5,0)," ")</f>
        <v xml:space="preserve"> </v>
      </c>
      <c r="O240" s="53" t="s">
        <v>211</v>
      </c>
      <c r="P240" s="53" t="str">
        <f>IFERROR(VLOOKUP(A240&amp;$K$2,ODDS!B239:$K$50000,6,0)," ")</f>
        <v xml:space="preserve"> </v>
      </c>
      <c r="Q240" s="39" t="str">
        <f>IFERROR(VLOOKUP(A240&amp;$K$2,ODDS!B239:$K$50000,4,0)," ")</f>
        <v xml:space="preserve"> </v>
      </c>
      <c r="R240" s="53" t="str">
        <f t="shared" si="10"/>
        <v xml:space="preserve"> </v>
      </c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 t="s">
        <v>217</v>
      </c>
    </row>
    <row r="241" spans="2:31" x14ac:dyDescent="0.25">
      <c r="B241" s="54" t="str">
        <f>IFERROR(VLOOKUP(A241&amp;$I$2,ODDS!A240:$K$50000,3,0)," ")</f>
        <v xml:space="preserve"> </v>
      </c>
      <c r="C241" s="53" t="str">
        <f>IFERROR(VLOOKUP(A241&amp;$I$2,ODDS!A240:$K$50000,4,0)," ")</f>
        <v xml:space="preserve"> </v>
      </c>
      <c r="D241" s="53" t="str">
        <f>IFERROR(VLOOKUP(A241&amp;$I$2,ODDS!A240:$K$50000,6,0)," ")</f>
        <v xml:space="preserve"> </v>
      </c>
      <c r="E241" s="53" t="s">
        <v>211</v>
      </c>
      <c r="F241" s="53" t="str">
        <f>IFERROR(VLOOKUP(A241&amp;$I$2,ODDS!A240:$K$50000,7,0)," ")</f>
        <v xml:space="preserve"> </v>
      </c>
      <c r="G241" s="53" t="str">
        <f>IFERROR(VLOOKUP(A241&amp;$I$2,ODDS!A240:$K$50000,5,0)," ")</f>
        <v xml:space="preserve"> </v>
      </c>
      <c r="H241" s="53" t="str">
        <f t="shared" si="9"/>
        <v xml:space="preserve"> </v>
      </c>
      <c r="I241" s="22"/>
      <c r="J241" s="22"/>
      <c r="K241" s="22"/>
      <c r="L241" s="60" t="str">
        <f>IFERROR(VLOOKUP(A241&amp;$K$2,ODDS!B240:$K$50000,2,0)," ")</f>
        <v xml:space="preserve"> </v>
      </c>
      <c r="M241" s="39" t="str">
        <f>IFERROR(VLOOKUP(A241&amp;$K$2,ODDS!B240:$K$50000,3,0)," ")</f>
        <v xml:space="preserve"> </v>
      </c>
      <c r="N241" s="53" t="str">
        <f>IFERROR(VLOOKUP(A241&amp;$K$2,ODDS!B240:$K$50000,5,0)," ")</f>
        <v xml:space="preserve"> </v>
      </c>
      <c r="O241" s="53" t="s">
        <v>211</v>
      </c>
      <c r="P241" s="53" t="str">
        <f>IFERROR(VLOOKUP(A241&amp;$K$2,ODDS!B240:$K$50000,6,0)," ")</f>
        <v xml:space="preserve"> </v>
      </c>
      <c r="Q241" s="39" t="str">
        <f>IFERROR(VLOOKUP(A241&amp;$K$2,ODDS!B240:$K$50000,4,0)," ")</f>
        <v xml:space="preserve"> </v>
      </c>
      <c r="R241" s="53" t="str">
        <f t="shared" si="10"/>
        <v xml:space="preserve"> </v>
      </c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3"/>
    </row>
    <row r="242" spans="2:31" x14ac:dyDescent="0.25">
      <c r="B242" s="54" t="str">
        <f>IFERROR(VLOOKUP(A242&amp;$I$2,ODDS!A241:$K$50000,3,0)," ")</f>
        <v xml:space="preserve"> </v>
      </c>
      <c r="C242" s="53" t="str">
        <f>IFERROR(VLOOKUP(A242&amp;$I$2,ODDS!A241:$K$50000,4,0)," ")</f>
        <v xml:space="preserve"> </v>
      </c>
      <c r="D242" s="53" t="str">
        <f>IFERROR(VLOOKUP(A242&amp;$I$2,ODDS!A241:$K$50000,6,0)," ")</f>
        <v xml:space="preserve"> </v>
      </c>
      <c r="E242" s="53" t="s">
        <v>211</v>
      </c>
      <c r="F242" s="53" t="str">
        <f>IFERROR(VLOOKUP(A242&amp;$I$2,ODDS!A241:$K$50000,7,0)," ")</f>
        <v xml:space="preserve"> </v>
      </c>
      <c r="G242" s="53" t="str">
        <f>IFERROR(VLOOKUP(A242&amp;$I$2,ODDS!A241:$K$50000,5,0)," ")</f>
        <v xml:space="preserve"> </v>
      </c>
      <c r="H242" s="53" t="str">
        <f t="shared" si="9"/>
        <v xml:space="preserve"> </v>
      </c>
      <c r="I242" s="22"/>
      <c r="J242" s="22"/>
      <c r="K242" s="22"/>
      <c r="L242" s="60" t="str">
        <f>IFERROR(VLOOKUP(A242&amp;$K$2,ODDS!B241:$K$50000,2,0)," ")</f>
        <v xml:space="preserve"> </v>
      </c>
      <c r="M242" s="39" t="str">
        <f>IFERROR(VLOOKUP(A242&amp;$K$2,ODDS!B241:$K$50000,3,0)," ")</f>
        <v xml:space="preserve"> </v>
      </c>
      <c r="N242" s="53" t="str">
        <f>IFERROR(VLOOKUP(A242&amp;$K$2,ODDS!B241:$K$50000,5,0)," ")</f>
        <v xml:space="preserve"> </v>
      </c>
      <c r="O242" s="53" t="s">
        <v>211</v>
      </c>
      <c r="P242" s="53" t="str">
        <f>IFERROR(VLOOKUP(A242&amp;$K$2,ODDS!B241:$K$50000,6,0)," ")</f>
        <v xml:space="preserve"> </v>
      </c>
      <c r="Q242" s="39" t="str">
        <f>IFERROR(VLOOKUP(A242&amp;$K$2,ODDS!B241:$K$50000,4,0)," ")</f>
        <v xml:space="preserve"> </v>
      </c>
      <c r="R242" s="53" t="str">
        <f t="shared" si="10"/>
        <v xml:space="preserve"> </v>
      </c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 t="s">
        <v>217</v>
      </c>
    </row>
    <row r="243" spans="2:31" x14ac:dyDescent="0.25">
      <c r="B243" s="54" t="str">
        <f>IFERROR(VLOOKUP(A243&amp;$I$2,ODDS!A242:$K$50000,3,0)," ")</f>
        <v xml:space="preserve"> </v>
      </c>
      <c r="C243" s="53" t="str">
        <f>IFERROR(VLOOKUP(A243&amp;$I$2,ODDS!A242:$K$50000,4,0)," ")</f>
        <v xml:space="preserve"> </v>
      </c>
      <c r="D243" s="53" t="str">
        <f>IFERROR(VLOOKUP(A243&amp;$I$2,ODDS!A242:$K$50000,6,0)," ")</f>
        <v xml:space="preserve"> </v>
      </c>
      <c r="E243" s="53" t="s">
        <v>211</v>
      </c>
      <c r="F243" s="53" t="str">
        <f>IFERROR(VLOOKUP(A243&amp;$I$2,ODDS!A242:$K$50000,7,0)," ")</f>
        <v xml:space="preserve"> </v>
      </c>
      <c r="G243" s="53" t="str">
        <f>IFERROR(VLOOKUP(A243&amp;$I$2,ODDS!A242:$K$50000,5,0)," ")</f>
        <v xml:space="preserve"> </v>
      </c>
      <c r="H243" s="53" t="str">
        <f t="shared" si="9"/>
        <v xml:space="preserve"> </v>
      </c>
      <c r="I243" s="22"/>
      <c r="J243" s="22"/>
      <c r="K243" s="22"/>
      <c r="L243" s="60" t="str">
        <f>IFERROR(VLOOKUP(A243&amp;$K$2,ODDS!B242:$K$50000,2,0)," ")</f>
        <v xml:space="preserve"> </v>
      </c>
      <c r="M243" s="39" t="str">
        <f>IFERROR(VLOOKUP(A243&amp;$K$2,ODDS!B242:$K$50000,3,0)," ")</f>
        <v xml:space="preserve"> </v>
      </c>
      <c r="N243" s="53" t="str">
        <f>IFERROR(VLOOKUP(A243&amp;$K$2,ODDS!B242:$K$50000,5,0)," ")</f>
        <v xml:space="preserve"> </v>
      </c>
      <c r="O243" s="53" t="s">
        <v>211</v>
      </c>
      <c r="P243" s="53" t="str">
        <f>IFERROR(VLOOKUP(A243&amp;$K$2,ODDS!B242:$K$50000,6,0)," ")</f>
        <v xml:space="preserve"> </v>
      </c>
      <c r="Q243" s="39" t="str">
        <f>IFERROR(VLOOKUP(A243&amp;$K$2,ODDS!B242:$K$50000,4,0)," ")</f>
        <v xml:space="preserve"> </v>
      </c>
      <c r="R243" s="53" t="str">
        <f t="shared" si="10"/>
        <v xml:space="preserve"> </v>
      </c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</row>
    <row r="244" spans="2:31" x14ac:dyDescent="0.25">
      <c r="B244" s="54" t="str">
        <f>IFERROR(VLOOKUP(A244&amp;$I$2,ODDS!A243:$K$50000,3,0)," ")</f>
        <v xml:space="preserve"> </v>
      </c>
      <c r="C244" s="53" t="str">
        <f>IFERROR(VLOOKUP(A244&amp;$I$2,ODDS!A243:$K$50000,4,0)," ")</f>
        <v xml:space="preserve"> </v>
      </c>
      <c r="D244" s="53" t="str">
        <f>IFERROR(VLOOKUP(A244&amp;$I$2,ODDS!A243:$K$50000,6,0)," ")</f>
        <v xml:space="preserve"> </v>
      </c>
      <c r="E244" s="53" t="s">
        <v>211</v>
      </c>
      <c r="F244" s="53" t="str">
        <f>IFERROR(VLOOKUP(A244&amp;$I$2,ODDS!A243:$K$50000,7,0)," ")</f>
        <v xml:space="preserve"> </v>
      </c>
      <c r="G244" s="53" t="str">
        <f>IFERROR(VLOOKUP(A244&amp;$I$2,ODDS!A243:$K$50000,5,0)," ")</f>
        <v xml:space="preserve"> </v>
      </c>
      <c r="H244" s="53" t="str">
        <f t="shared" si="9"/>
        <v xml:space="preserve"> </v>
      </c>
      <c r="I244" s="22"/>
      <c r="J244" s="22"/>
      <c r="K244" s="22"/>
      <c r="L244" s="60" t="str">
        <f>IFERROR(VLOOKUP(A244&amp;$K$2,ODDS!B243:$K$50000,2,0)," ")</f>
        <v xml:space="preserve"> </v>
      </c>
      <c r="M244" s="39" t="str">
        <f>IFERROR(VLOOKUP(A244&amp;$K$2,ODDS!B243:$K$50000,3,0)," ")</f>
        <v xml:space="preserve"> </v>
      </c>
      <c r="N244" s="53" t="str">
        <f>IFERROR(VLOOKUP(A244&amp;$K$2,ODDS!B243:$K$50000,5,0)," ")</f>
        <v xml:space="preserve"> </v>
      </c>
      <c r="O244" s="53" t="s">
        <v>211</v>
      </c>
      <c r="P244" s="53" t="str">
        <f>IFERROR(VLOOKUP(A244&amp;$K$2,ODDS!B243:$K$50000,6,0)," ")</f>
        <v xml:space="preserve"> </v>
      </c>
      <c r="Q244" s="39" t="str">
        <f>IFERROR(VLOOKUP(A244&amp;$K$2,ODDS!B243:$K$50000,4,0)," ")</f>
        <v xml:space="preserve"> </v>
      </c>
      <c r="R244" s="53" t="str">
        <f t="shared" si="10"/>
        <v xml:space="preserve"> </v>
      </c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E244" s="23" t="s">
        <v>217</v>
      </c>
    </row>
    <row r="245" spans="2:31" x14ac:dyDescent="0.25">
      <c r="B245" s="54" t="str">
        <f>IFERROR(VLOOKUP(A245&amp;$I$2,ODDS!A244:$K$50000,3,0)," ")</f>
        <v xml:space="preserve"> </v>
      </c>
      <c r="C245" s="53" t="str">
        <f>IFERROR(VLOOKUP(A245&amp;$I$2,ODDS!A244:$K$50000,4,0)," ")</f>
        <v xml:space="preserve"> </v>
      </c>
      <c r="D245" s="53" t="str">
        <f>IFERROR(VLOOKUP(A245&amp;$I$2,ODDS!A244:$K$50000,6,0)," ")</f>
        <v xml:space="preserve"> </v>
      </c>
      <c r="E245" s="53" t="s">
        <v>211</v>
      </c>
      <c r="F245" s="53" t="str">
        <f>IFERROR(VLOOKUP(A245&amp;$I$2,ODDS!A244:$K$50000,7,0)," ")</f>
        <v xml:space="preserve"> </v>
      </c>
      <c r="G245" s="53" t="str">
        <f>IFERROR(VLOOKUP(A245&amp;$I$2,ODDS!A244:$K$50000,5,0)," ")</f>
        <v xml:space="preserve"> </v>
      </c>
      <c r="H245" s="53" t="str">
        <f t="shared" si="9"/>
        <v xml:space="preserve"> </v>
      </c>
      <c r="I245" s="22"/>
      <c r="J245" s="22"/>
      <c r="K245" s="22"/>
      <c r="L245" s="60" t="str">
        <f>IFERROR(VLOOKUP(A245&amp;$K$2,ODDS!B244:$K$50000,2,0)," ")</f>
        <v xml:space="preserve"> </v>
      </c>
      <c r="M245" s="39" t="str">
        <f>IFERROR(VLOOKUP(A245&amp;$K$2,ODDS!B244:$K$50000,3,0)," ")</f>
        <v xml:space="preserve"> </v>
      </c>
      <c r="N245" s="53" t="str">
        <f>IFERROR(VLOOKUP(A245&amp;$K$2,ODDS!B244:$K$50000,5,0)," ")</f>
        <v xml:space="preserve"> </v>
      </c>
      <c r="O245" s="53" t="s">
        <v>211</v>
      </c>
      <c r="P245" s="53" t="str">
        <f>IFERROR(VLOOKUP(A245&amp;$K$2,ODDS!B244:$K$50000,6,0)," ")</f>
        <v xml:space="preserve"> </v>
      </c>
      <c r="Q245" s="39" t="str">
        <f>IFERROR(VLOOKUP(A245&amp;$K$2,ODDS!B244:$K$50000,4,0)," ")</f>
        <v xml:space="preserve"> </v>
      </c>
      <c r="R245" s="53" t="str">
        <f t="shared" si="10"/>
        <v xml:space="preserve"> </v>
      </c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E245" s="23"/>
    </row>
    <row r="246" spans="2:31" x14ac:dyDescent="0.25">
      <c r="B246" s="54" t="str">
        <f>IFERROR(VLOOKUP(A246&amp;$I$2,ODDS!A245:$K$50000,3,0)," ")</f>
        <v xml:space="preserve"> </v>
      </c>
      <c r="C246" s="53" t="str">
        <f>IFERROR(VLOOKUP(A246&amp;$I$2,ODDS!A245:$K$50000,4,0)," ")</f>
        <v xml:space="preserve"> </v>
      </c>
      <c r="D246" s="53" t="str">
        <f>IFERROR(VLOOKUP(A246&amp;$I$2,ODDS!A245:$K$50000,6,0)," ")</f>
        <v xml:space="preserve"> </v>
      </c>
      <c r="E246" s="53" t="s">
        <v>211</v>
      </c>
      <c r="F246" s="53" t="str">
        <f>IFERROR(VLOOKUP(A246&amp;$I$2,ODDS!A245:$K$50000,7,0)," ")</f>
        <v xml:space="preserve"> </v>
      </c>
      <c r="G246" s="53" t="str">
        <f>IFERROR(VLOOKUP(A246&amp;$I$2,ODDS!A245:$K$50000,5,0)," ")</f>
        <v xml:space="preserve"> </v>
      </c>
      <c r="H246" s="53" t="str">
        <f t="shared" si="9"/>
        <v xml:space="preserve"> </v>
      </c>
      <c r="I246" s="22"/>
      <c r="J246" s="22"/>
      <c r="K246" s="22"/>
      <c r="L246" s="60" t="str">
        <f>IFERROR(VLOOKUP(A246&amp;$K$2,ODDS!B245:$K$50000,2,0)," ")</f>
        <v xml:space="preserve"> </v>
      </c>
      <c r="M246" s="39" t="str">
        <f>IFERROR(VLOOKUP(A246&amp;$K$2,ODDS!B245:$K$50000,3,0)," ")</f>
        <v xml:space="preserve"> </v>
      </c>
      <c r="N246" s="53" t="str">
        <f>IFERROR(VLOOKUP(A246&amp;$K$2,ODDS!B245:$K$50000,5,0)," ")</f>
        <v xml:space="preserve"> </v>
      </c>
      <c r="O246" s="53" t="s">
        <v>211</v>
      </c>
      <c r="P246" s="53" t="str">
        <f>IFERROR(VLOOKUP(A246&amp;$K$2,ODDS!B245:$K$50000,6,0)," ")</f>
        <v xml:space="preserve"> </v>
      </c>
      <c r="Q246" s="39" t="str">
        <f>IFERROR(VLOOKUP(A246&amp;$K$2,ODDS!B245:$K$50000,4,0)," ")</f>
        <v xml:space="preserve"> </v>
      </c>
      <c r="R246" s="53" t="str">
        <f t="shared" si="10"/>
        <v xml:space="preserve"> </v>
      </c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E246" s="23" t="s">
        <v>217</v>
      </c>
    </row>
    <row r="247" spans="2:31" x14ac:dyDescent="0.25">
      <c r="B247" s="54" t="str">
        <f>IFERROR(VLOOKUP(A247&amp;$I$2,ODDS!A246:$K$50000,3,0)," ")</f>
        <v xml:space="preserve"> </v>
      </c>
      <c r="C247" s="53" t="str">
        <f>IFERROR(VLOOKUP(A247&amp;$I$2,ODDS!A246:$K$50000,4,0)," ")</f>
        <v xml:space="preserve"> </v>
      </c>
      <c r="D247" s="53" t="str">
        <f>IFERROR(VLOOKUP(A247&amp;$I$2,ODDS!A246:$K$50000,6,0)," ")</f>
        <v xml:space="preserve"> </v>
      </c>
      <c r="E247" s="53" t="s">
        <v>211</v>
      </c>
      <c r="F247" s="53" t="str">
        <f>IFERROR(VLOOKUP(A247&amp;$I$2,ODDS!A246:$K$50000,7,0)," ")</f>
        <v xml:space="preserve"> </v>
      </c>
      <c r="G247" s="53" t="str">
        <f>IFERROR(VLOOKUP(A247&amp;$I$2,ODDS!A246:$K$50000,5,0)," ")</f>
        <v xml:space="preserve"> </v>
      </c>
      <c r="H247" s="53" t="str">
        <f t="shared" si="9"/>
        <v xml:space="preserve"> </v>
      </c>
      <c r="I247" s="22"/>
      <c r="J247" s="22"/>
      <c r="K247" s="22"/>
      <c r="L247" s="60" t="str">
        <f>IFERROR(VLOOKUP(A247&amp;$K$2,ODDS!B246:$K$50000,2,0)," ")</f>
        <v xml:space="preserve"> </v>
      </c>
      <c r="M247" s="39" t="str">
        <f>IFERROR(VLOOKUP(A247&amp;$K$2,ODDS!B246:$K$50000,3,0)," ")</f>
        <v xml:space="preserve"> </v>
      </c>
      <c r="N247" s="53" t="str">
        <f>IFERROR(VLOOKUP(A247&amp;$K$2,ODDS!B246:$K$50000,5,0)," ")</f>
        <v xml:space="preserve"> </v>
      </c>
      <c r="O247" s="53" t="s">
        <v>211</v>
      </c>
      <c r="P247" s="53" t="str">
        <f>IFERROR(VLOOKUP(A247&amp;$K$2,ODDS!B246:$K$50000,6,0)," ")</f>
        <v xml:space="preserve"> </v>
      </c>
      <c r="Q247" s="39" t="str">
        <f>IFERROR(VLOOKUP(A247&amp;$K$2,ODDS!B246:$K$50000,4,0)," ")</f>
        <v xml:space="preserve"> </v>
      </c>
      <c r="R247" s="53" t="str">
        <f t="shared" si="10"/>
        <v xml:space="preserve"> </v>
      </c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</row>
    <row r="248" spans="2:31" x14ac:dyDescent="0.25">
      <c r="B248" s="54" t="str">
        <f>IFERROR(VLOOKUP(A248&amp;$I$2,ODDS!A247:$K$50000,3,0)," ")</f>
        <v xml:space="preserve"> </v>
      </c>
      <c r="C248" s="53" t="str">
        <f>IFERROR(VLOOKUP(A248&amp;$I$2,ODDS!A247:$K$50000,4,0)," ")</f>
        <v xml:space="preserve"> </v>
      </c>
      <c r="D248" s="53" t="str">
        <f>IFERROR(VLOOKUP(A248&amp;$I$2,ODDS!A247:$K$50000,6,0)," ")</f>
        <v xml:space="preserve"> </v>
      </c>
      <c r="E248" s="53" t="s">
        <v>211</v>
      </c>
      <c r="F248" s="53" t="str">
        <f>IFERROR(VLOOKUP(A248&amp;$I$2,ODDS!A247:$K$50000,7,0)," ")</f>
        <v xml:space="preserve"> </v>
      </c>
      <c r="G248" s="53" t="str">
        <f>IFERROR(VLOOKUP(A248&amp;$I$2,ODDS!A247:$K$50000,5,0)," ")</f>
        <v xml:space="preserve"> </v>
      </c>
      <c r="H248" s="53" t="str">
        <f t="shared" si="9"/>
        <v xml:space="preserve"> </v>
      </c>
      <c r="I248" s="22"/>
      <c r="J248" s="22"/>
      <c r="K248" s="22"/>
      <c r="L248" s="60" t="str">
        <f>IFERROR(VLOOKUP(A248&amp;$K$2,ODDS!B247:$K$50000,2,0)," ")</f>
        <v xml:space="preserve"> </v>
      </c>
      <c r="M248" s="39" t="str">
        <f>IFERROR(VLOOKUP(A248&amp;$K$2,ODDS!B247:$K$50000,3,0)," ")</f>
        <v xml:space="preserve"> </v>
      </c>
      <c r="N248" s="53" t="str">
        <f>IFERROR(VLOOKUP(A248&amp;$K$2,ODDS!B247:$K$50000,5,0)," ")</f>
        <v xml:space="preserve"> </v>
      </c>
      <c r="O248" s="53" t="s">
        <v>211</v>
      </c>
      <c r="P248" s="53" t="str">
        <f>IFERROR(VLOOKUP(A248&amp;$K$2,ODDS!B247:$K$50000,6,0)," ")</f>
        <v xml:space="preserve"> </v>
      </c>
      <c r="Q248" s="39" t="str">
        <f>IFERROR(VLOOKUP(A248&amp;$K$2,ODDS!B247:$K$50000,4,0)," ")</f>
        <v xml:space="preserve"> </v>
      </c>
      <c r="R248" s="53" t="str">
        <f t="shared" si="10"/>
        <v xml:space="preserve"> </v>
      </c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E248" s="23" t="s">
        <v>217</v>
      </c>
    </row>
    <row r="249" spans="2:31" x14ac:dyDescent="0.25">
      <c r="B249" s="54" t="str">
        <f>IFERROR(VLOOKUP(A249&amp;$I$2,ODDS!A248:$K$50000,3,0)," ")</f>
        <v xml:space="preserve"> </v>
      </c>
      <c r="C249" s="53" t="str">
        <f>IFERROR(VLOOKUP(A249&amp;$I$2,ODDS!A248:$K$50000,4,0)," ")</f>
        <v xml:space="preserve"> </v>
      </c>
      <c r="D249" s="53" t="str">
        <f>IFERROR(VLOOKUP(A249&amp;$I$2,ODDS!A248:$K$50000,6,0)," ")</f>
        <v xml:space="preserve"> </v>
      </c>
      <c r="E249" s="53" t="s">
        <v>211</v>
      </c>
      <c r="F249" s="53" t="str">
        <f>IFERROR(VLOOKUP(A249&amp;$I$2,ODDS!A248:$K$50000,7,0)," ")</f>
        <v xml:space="preserve"> </v>
      </c>
      <c r="G249" s="53" t="str">
        <f>IFERROR(VLOOKUP(A249&amp;$I$2,ODDS!A248:$K$50000,5,0)," ")</f>
        <v xml:space="preserve"> </v>
      </c>
      <c r="H249" s="53" t="str">
        <f t="shared" si="9"/>
        <v xml:space="preserve"> </v>
      </c>
      <c r="I249" s="22"/>
      <c r="J249" s="22"/>
      <c r="K249" s="22"/>
      <c r="L249" s="60" t="str">
        <f>IFERROR(VLOOKUP(A249&amp;$K$2,ODDS!B248:$K$50000,2,0)," ")</f>
        <v xml:space="preserve"> </v>
      </c>
      <c r="M249" s="39" t="str">
        <f>IFERROR(VLOOKUP(A249&amp;$K$2,ODDS!B248:$K$50000,3,0)," ")</f>
        <v xml:space="preserve"> </v>
      </c>
      <c r="N249" s="53" t="str">
        <f>IFERROR(VLOOKUP(A249&amp;$K$2,ODDS!B248:$K$50000,5,0)," ")</f>
        <v xml:space="preserve"> </v>
      </c>
      <c r="O249" s="53" t="s">
        <v>211</v>
      </c>
      <c r="P249" s="53" t="str">
        <f>IFERROR(VLOOKUP(A249&amp;$K$2,ODDS!B248:$K$50000,6,0)," ")</f>
        <v xml:space="preserve"> </v>
      </c>
      <c r="Q249" s="39" t="str">
        <f>IFERROR(VLOOKUP(A249&amp;$K$2,ODDS!B248:$K$50000,4,0)," ")</f>
        <v xml:space="preserve"> </v>
      </c>
      <c r="R249" s="53" t="str">
        <f t="shared" si="10"/>
        <v xml:space="preserve"> </v>
      </c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</row>
    <row r="250" spans="2:31" x14ac:dyDescent="0.25">
      <c r="B250" s="54" t="str">
        <f>IFERROR(VLOOKUP(A250&amp;$I$2,ODDS!A249:$K$50000,3,0)," ")</f>
        <v xml:space="preserve"> </v>
      </c>
      <c r="C250" s="53" t="str">
        <f>IFERROR(VLOOKUP(A250&amp;$I$2,ODDS!A249:$K$50000,4,0)," ")</f>
        <v xml:space="preserve"> </v>
      </c>
      <c r="D250" s="53" t="str">
        <f>IFERROR(VLOOKUP(A250&amp;$I$2,ODDS!A249:$K$50000,6,0)," ")</f>
        <v xml:space="preserve"> </v>
      </c>
      <c r="E250" s="53" t="s">
        <v>211</v>
      </c>
      <c r="F250" s="53" t="str">
        <f>IFERROR(VLOOKUP(A250&amp;$I$2,ODDS!A249:$K$50000,7,0)," ")</f>
        <v xml:space="preserve"> </v>
      </c>
      <c r="G250" s="53" t="str">
        <f>IFERROR(VLOOKUP(A250&amp;$I$2,ODDS!A249:$K$50000,5,0)," ")</f>
        <v xml:space="preserve"> </v>
      </c>
      <c r="H250" s="53" t="str">
        <f t="shared" si="9"/>
        <v xml:space="preserve"> </v>
      </c>
      <c r="I250" s="22"/>
      <c r="J250" s="22"/>
      <c r="K250" s="22"/>
      <c r="L250" s="60" t="str">
        <f>IFERROR(VLOOKUP(A250&amp;$K$2,ODDS!B249:$K$50000,2,0)," ")</f>
        <v xml:space="preserve"> </v>
      </c>
      <c r="M250" s="39" t="str">
        <f>IFERROR(VLOOKUP(A250&amp;$K$2,ODDS!B249:$K$50000,3,0)," ")</f>
        <v xml:space="preserve"> </v>
      </c>
      <c r="N250" s="53" t="str">
        <f>IFERROR(VLOOKUP(A250&amp;$K$2,ODDS!B249:$K$50000,5,0)," ")</f>
        <v xml:space="preserve"> </v>
      </c>
      <c r="O250" s="53" t="s">
        <v>211</v>
      </c>
      <c r="P250" s="53" t="str">
        <f>IFERROR(VLOOKUP(A250&amp;$K$2,ODDS!B249:$K$50000,6,0)," ")</f>
        <v xml:space="preserve"> </v>
      </c>
      <c r="Q250" s="39" t="str">
        <f>IFERROR(VLOOKUP(A250&amp;$K$2,ODDS!B249:$K$50000,4,0)," ")</f>
        <v xml:space="preserve"> </v>
      </c>
      <c r="R250" s="53" t="str">
        <f t="shared" si="10"/>
        <v xml:space="preserve"> </v>
      </c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E250" s="23" t="s">
        <v>217</v>
      </c>
    </row>
    <row r="251" spans="2:31" x14ac:dyDescent="0.25">
      <c r="B251" s="54" t="str">
        <f>IFERROR(VLOOKUP(A251&amp;$I$2,ODDS!A250:$K$50000,3,0)," ")</f>
        <v xml:space="preserve"> </v>
      </c>
      <c r="C251" s="53" t="str">
        <f>IFERROR(VLOOKUP(A251&amp;$I$2,ODDS!A250:$K$50000,4,0)," ")</f>
        <v xml:space="preserve"> </v>
      </c>
      <c r="D251" s="53" t="str">
        <f>IFERROR(VLOOKUP(A251&amp;$I$2,ODDS!A250:$K$50000,6,0)," ")</f>
        <v xml:space="preserve"> </v>
      </c>
      <c r="E251" s="53" t="s">
        <v>211</v>
      </c>
      <c r="F251" s="53" t="str">
        <f>IFERROR(VLOOKUP(A251&amp;$I$2,ODDS!A250:$K$50000,7,0)," ")</f>
        <v xml:space="preserve"> </v>
      </c>
      <c r="G251" s="53" t="str">
        <f>IFERROR(VLOOKUP(A251&amp;$I$2,ODDS!A250:$K$50000,5,0)," ")</f>
        <v xml:space="preserve"> </v>
      </c>
      <c r="H251" s="53" t="str">
        <f t="shared" si="9"/>
        <v xml:space="preserve"> </v>
      </c>
      <c r="I251" s="22"/>
      <c r="J251" s="22"/>
      <c r="K251" s="22"/>
      <c r="L251" s="60" t="str">
        <f>IFERROR(VLOOKUP(A251&amp;$K$2,ODDS!B250:$K$50000,2,0)," ")</f>
        <v xml:space="preserve"> </v>
      </c>
      <c r="M251" s="39" t="str">
        <f>IFERROR(VLOOKUP(A251&amp;$K$2,ODDS!B250:$K$50000,3,0)," ")</f>
        <v xml:space="preserve"> </v>
      </c>
      <c r="N251" s="53" t="str">
        <f>IFERROR(VLOOKUP(A251&amp;$K$2,ODDS!B250:$K$50000,5,0)," ")</f>
        <v xml:space="preserve"> </v>
      </c>
      <c r="O251" s="53" t="s">
        <v>211</v>
      </c>
      <c r="P251" s="53" t="str">
        <f>IFERROR(VLOOKUP(A251&amp;$K$2,ODDS!B250:$K$50000,6,0)," ")</f>
        <v xml:space="preserve"> </v>
      </c>
      <c r="Q251" s="39" t="str">
        <f>IFERROR(VLOOKUP(A251&amp;$K$2,ODDS!B250:$K$50000,4,0)," ")</f>
        <v xml:space="preserve"> </v>
      </c>
      <c r="R251" s="53" t="str">
        <f t="shared" si="10"/>
        <v xml:space="preserve"> </v>
      </c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E251" s="23"/>
    </row>
    <row r="252" spans="2:31" x14ac:dyDescent="0.25">
      <c r="B252" s="54" t="str">
        <f>IFERROR(VLOOKUP(A252&amp;$I$2,ODDS!A251:$K$50000,3,0)," ")</f>
        <v xml:space="preserve"> </v>
      </c>
      <c r="C252" s="53" t="str">
        <f>IFERROR(VLOOKUP(A252&amp;$I$2,ODDS!A251:$K$50000,4,0)," ")</f>
        <v xml:space="preserve"> </v>
      </c>
      <c r="D252" s="53" t="str">
        <f>IFERROR(VLOOKUP(A252&amp;$I$2,ODDS!A251:$K$50000,6,0)," ")</f>
        <v xml:space="preserve"> </v>
      </c>
      <c r="E252" s="53" t="s">
        <v>211</v>
      </c>
      <c r="F252" s="53" t="str">
        <f>IFERROR(VLOOKUP(A252&amp;$I$2,ODDS!A251:$K$50000,7,0)," ")</f>
        <v xml:space="preserve"> </v>
      </c>
      <c r="G252" s="53" t="str">
        <f>IFERROR(VLOOKUP(A252&amp;$I$2,ODDS!A251:$K$50000,5,0)," ")</f>
        <v xml:space="preserve"> </v>
      </c>
      <c r="H252" s="53" t="str">
        <f t="shared" si="9"/>
        <v xml:space="preserve"> </v>
      </c>
      <c r="I252" s="22"/>
      <c r="J252" s="22"/>
      <c r="K252" s="22"/>
      <c r="L252" s="60" t="str">
        <f>IFERROR(VLOOKUP(A252&amp;$K$2,ODDS!B251:$K$50000,2,0)," ")</f>
        <v xml:space="preserve"> </v>
      </c>
      <c r="M252" s="39" t="str">
        <f>IFERROR(VLOOKUP(A252&amp;$K$2,ODDS!B251:$K$50000,3,0)," ")</f>
        <v xml:space="preserve"> </v>
      </c>
      <c r="N252" s="53" t="str">
        <f>IFERROR(VLOOKUP(A252&amp;$K$2,ODDS!B251:$K$50000,5,0)," ")</f>
        <v xml:space="preserve"> </v>
      </c>
      <c r="O252" s="53" t="s">
        <v>211</v>
      </c>
      <c r="P252" s="53" t="str">
        <f>IFERROR(VLOOKUP(A252&amp;$K$2,ODDS!B251:$K$50000,6,0)," ")</f>
        <v xml:space="preserve"> </v>
      </c>
      <c r="Q252" s="39" t="str">
        <f>IFERROR(VLOOKUP(A252&amp;$K$2,ODDS!B251:$K$50000,4,0)," ")</f>
        <v xml:space="preserve"> </v>
      </c>
      <c r="R252" s="53" t="str">
        <f t="shared" si="10"/>
        <v xml:space="preserve"> </v>
      </c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 t="s">
        <v>217</v>
      </c>
    </row>
    <row r="253" spans="2:31" x14ac:dyDescent="0.25">
      <c r="B253" s="54" t="str">
        <f>IFERROR(VLOOKUP(A253&amp;$I$2,ODDS!A252:$K$50000,3,0)," ")</f>
        <v xml:space="preserve"> </v>
      </c>
      <c r="C253" s="53" t="str">
        <f>IFERROR(VLOOKUP(A253&amp;$I$2,ODDS!A252:$K$50000,4,0)," ")</f>
        <v xml:space="preserve"> </v>
      </c>
      <c r="D253" s="53" t="str">
        <f>IFERROR(VLOOKUP(A253&amp;$I$2,ODDS!A252:$K$50000,6,0)," ")</f>
        <v xml:space="preserve"> </v>
      </c>
      <c r="E253" s="53" t="s">
        <v>211</v>
      </c>
      <c r="F253" s="53" t="str">
        <f>IFERROR(VLOOKUP(A253&amp;$I$2,ODDS!A252:$K$50000,7,0)," ")</f>
        <v xml:space="preserve"> </v>
      </c>
      <c r="G253" s="53" t="str">
        <f>IFERROR(VLOOKUP(A253&amp;$I$2,ODDS!A252:$K$50000,5,0)," ")</f>
        <v xml:space="preserve"> </v>
      </c>
      <c r="H253" s="53" t="str">
        <f t="shared" si="9"/>
        <v xml:space="preserve"> </v>
      </c>
      <c r="I253" s="22"/>
      <c r="J253" s="22"/>
      <c r="K253" s="22"/>
      <c r="L253" s="60" t="str">
        <f>IFERROR(VLOOKUP(A253&amp;$K$2,ODDS!B252:$K$50000,2,0)," ")</f>
        <v xml:space="preserve"> </v>
      </c>
      <c r="M253" s="39" t="str">
        <f>IFERROR(VLOOKUP(A253&amp;$K$2,ODDS!B252:$K$50000,3,0)," ")</f>
        <v xml:space="preserve"> </v>
      </c>
      <c r="N253" s="53" t="str">
        <f>IFERROR(VLOOKUP(A253&amp;$K$2,ODDS!B252:$K$50000,5,0)," ")</f>
        <v xml:space="preserve"> </v>
      </c>
      <c r="O253" s="53" t="s">
        <v>211</v>
      </c>
      <c r="P253" s="53" t="str">
        <f>IFERROR(VLOOKUP(A253&amp;$K$2,ODDS!B252:$K$50000,6,0)," ")</f>
        <v xml:space="preserve"> </v>
      </c>
      <c r="Q253" s="39" t="str">
        <f>IFERROR(VLOOKUP(A253&amp;$K$2,ODDS!B252:$K$50000,4,0)," ")</f>
        <v xml:space="preserve"> </v>
      </c>
      <c r="R253" s="53" t="str">
        <f t="shared" si="10"/>
        <v xml:space="preserve"> </v>
      </c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23"/>
    </row>
    <row r="254" spans="2:31" x14ac:dyDescent="0.25">
      <c r="B254" s="54" t="str">
        <f>IFERROR(VLOOKUP(A254&amp;$I$2,ODDS!A253:$K$50000,3,0)," ")</f>
        <v xml:space="preserve"> </v>
      </c>
      <c r="C254" s="53" t="str">
        <f>IFERROR(VLOOKUP(A254&amp;$I$2,ODDS!A253:$K$50000,4,0)," ")</f>
        <v xml:space="preserve"> </v>
      </c>
      <c r="D254" s="53" t="str">
        <f>IFERROR(VLOOKUP(A254&amp;$I$2,ODDS!A253:$K$50000,6,0)," ")</f>
        <v xml:space="preserve"> </v>
      </c>
      <c r="E254" s="53" t="s">
        <v>211</v>
      </c>
      <c r="F254" s="53" t="str">
        <f>IFERROR(VLOOKUP(A254&amp;$I$2,ODDS!A253:$K$50000,7,0)," ")</f>
        <v xml:space="preserve"> </v>
      </c>
      <c r="G254" s="53" t="str">
        <f>IFERROR(VLOOKUP(A254&amp;$I$2,ODDS!A253:$K$50000,5,0)," ")</f>
        <v xml:space="preserve"> </v>
      </c>
      <c r="H254" s="53" t="str">
        <f t="shared" si="9"/>
        <v xml:space="preserve"> </v>
      </c>
      <c r="I254" s="22"/>
      <c r="J254" s="22"/>
      <c r="K254" s="22"/>
      <c r="L254" s="60" t="str">
        <f>IFERROR(VLOOKUP(A254&amp;$K$2,ODDS!B253:$K$50000,2,0)," ")</f>
        <v xml:space="preserve"> </v>
      </c>
      <c r="M254" s="39" t="str">
        <f>IFERROR(VLOOKUP(A254&amp;$K$2,ODDS!B253:$K$50000,3,0)," ")</f>
        <v xml:space="preserve"> </v>
      </c>
      <c r="N254" s="53" t="str">
        <f>IFERROR(VLOOKUP(A254&amp;$K$2,ODDS!B253:$K$50000,5,0)," ")</f>
        <v xml:space="preserve"> </v>
      </c>
      <c r="O254" s="53" t="s">
        <v>211</v>
      </c>
      <c r="P254" s="53" t="str">
        <f>IFERROR(VLOOKUP(A254&amp;$K$2,ODDS!B253:$K$50000,6,0)," ")</f>
        <v xml:space="preserve"> </v>
      </c>
      <c r="Q254" s="39" t="str">
        <f>IFERROR(VLOOKUP(A254&amp;$K$2,ODDS!B253:$K$50000,4,0)," ")</f>
        <v xml:space="preserve"> </v>
      </c>
      <c r="R254" s="53" t="str">
        <f t="shared" si="10"/>
        <v xml:space="preserve"> </v>
      </c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 t="s">
        <v>217</v>
      </c>
    </row>
    <row r="255" spans="2:31" x14ac:dyDescent="0.25">
      <c r="B255" s="54" t="str">
        <f>IFERROR(VLOOKUP(A255&amp;$I$2,ODDS!A254:$K$50000,3,0)," ")</f>
        <v xml:space="preserve"> </v>
      </c>
      <c r="C255" s="53" t="str">
        <f>IFERROR(VLOOKUP(A255&amp;$I$2,ODDS!A254:$K$50000,4,0)," ")</f>
        <v xml:space="preserve"> </v>
      </c>
      <c r="D255" s="53" t="str">
        <f>IFERROR(VLOOKUP(A255&amp;$I$2,ODDS!A254:$K$50000,6,0)," ")</f>
        <v xml:space="preserve"> </v>
      </c>
      <c r="E255" s="53" t="s">
        <v>211</v>
      </c>
      <c r="F255" s="53" t="str">
        <f>IFERROR(VLOOKUP(A255&amp;$I$2,ODDS!A254:$K$50000,7,0)," ")</f>
        <v xml:space="preserve"> </v>
      </c>
      <c r="G255" s="53" t="str">
        <f>IFERROR(VLOOKUP(A255&amp;$I$2,ODDS!A254:$K$50000,5,0)," ")</f>
        <v xml:space="preserve"> </v>
      </c>
      <c r="H255" s="53" t="str">
        <f t="shared" si="9"/>
        <v xml:space="preserve"> </v>
      </c>
      <c r="I255" s="22"/>
      <c r="J255" s="22"/>
      <c r="K255" s="22"/>
      <c r="L255" s="60" t="str">
        <f>IFERROR(VLOOKUP(A255&amp;$K$2,ODDS!B254:$K$50000,2,0)," ")</f>
        <v xml:space="preserve"> </v>
      </c>
      <c r="M255" s="39" t="str">
        <f>IFERROR(VLOOKUP(A255&amp;$K$2,ODDS!B254:$K$50000,3,0)," ")</f>
        <v xml:space="preserve"> </v>
      </c>
      <c r="N255" s="53" t="str">
        <f>IFERROR(VLOOKUP(A255&amp;$K$2,ODDS!B254:$K$50000,5,0)," ")</f>
        <v xml:space="preserve"> </v>
      </c>
      <c r="O255" s="53" t="s">
        <v>211</v>
      </c>
      <c r="P255" s="53" t="str">
        <f>IFERROR(VLOOKUP(A255&amp;$K$2,ODDS!B254:$K$50000,6,0)," ")</f>
        <v xml:space="preserve"> </v>
      </c>
      <c r="Q255" s="39" t="str">
        <f>IFERROR(VLOOKUP(A255&amp;$K$2,ODDS!B254:$K$50000,4,0)," ")</f>
        <v xml:space="preserve"> </v>
      </c>
      <c r="R255" s="53" t="str">
        <f t="shared" si="10"/>
        <v xml:space="preserve"> </v>
      </c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</row>
    <row r="256" spans="2:31" x14ac:dyDescent="0.25">
      <c r="B256" s="54" t="str">
        <f>IFERROR(VLOOKUP(A256&amp;$I$2,ODDS!A255:$K$50000,3,0)," ")</f>
        <v xml:space="preserve"> </v>
      </c>
      <c r="C256" s="53" t="str">
        <f>IFERROR(VLOOKUP(A256&amp;$I$2,ODDS!A255:$K$50000,4,0)," ")</f>
        <v xml:space="preserve"> </v>
      </c>
      <c r="D256" s="53" t="str">
        <f>IFERROR(VLOOKUP(A256&amp;$I$2,ODDS!A255:$K$50000,6,0)," ")</f>
        <v xml:space="preserve"> </v>
      </c>
      <c r="E256" s="53" t="s">
        <v>211</v>
      </c>
      <c r="F256" s="53" t="str">
        <f>IFERROR(VLOOKUP(A256&amp;$I$2,ODDS!A255:$K$50000,7,0)," ")</f>
        <v xml:space="preserve"> </v>
      </c>
      <c r="G256" s="53" t="str">
        <f>IFERROR(VLOOKUP(A256&amp;$I$2,ODDS!A255:$K$50000,5,0)," ")</f>
        <v xml:space="preserve"> </v>
      </c>
      <c r="H256" s="53" t="str">
        <f t="shared" si="9"/>
        <v xml:space="preserve"> </v>
      </c>
      <c r="I256" s="22"/>
      <c r="J256" s="22"/>
      <c r="K256" s="22"/>
      <c r="L256" s="60" t="str">
        <f>IFERROR(VLOOKUP(A256&amp;$K$2,ODDS!B255:$K$50000,2,0)," ")</f>
        <v xml:space="preserve"> </v>
      </c>
      <c r="M256" s="39" t="str">
        <f>IFERROR(VLOOKUP(A256&amp;$K$2,ODDS!B255:$K$50000,3,0)," ")</f>
        <v xml:space="preserve"> </v>
      </c>
      <c r="N256" s="53" t="str">
        <f>IFERROR(VLOOKUP(A256&amp;$K$2,ODDS!B255:$K$50000,5,0)," ")</f>
        <v xml:space="preserve"> </v>
      </c>
      <c r="O256" s="53" t="s">
        <v>211</v>
      </c>
      <c r="P256" s="53" t="str">
        <f>IFERROR(VLOOKUP(A256&amp;$K$2,ODDS!B255:$K$50000,6,0)," ")</f>
        <v xml:space="preserve"> </v>
      </c>
      <c r="Q256" s="39" t="str">
        <f>IFERROR(VLOOKUP(A256&amp;$K$2,ODDS!B255:$K$50000,4,0)," ")</f>
        <v xml:space="preserve"> </v>
      </c>
      <c r="R256" s="53" t="str">
        <f t="shared" si="10"/>
        <v xml:space="preserve"> </v>
      </c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 t="s">
        <v>217</v>
      </c>
    </row>
    <row r="257" spans="2:31" x14ac:dyDescent="0.25">
      <c r="B257" s="54" t="str">
        <f>IFERROR(VLOOKUP(A257&amp;$I$2,ODDS!A256:$K$50000,3,0)," ")</f>
        <v xml:space="preserve"> </v>
      </c>
      <c r="C257" s="53" t="str">
        <f>IFERROR(VLOOKUP(A257&amp;$I$2,ODDS!A256:$K$50000,4,0)," ")</f>
        <v xml:space="preserve"> </v>
      </c>
      <c r="D257" s="53" t="str">
        <f>IFERROR(VLOOKUP(A257&amp;$I$2,ODDS!A256:$K$50000,6,0)," ")</f>
        <v xml:space="preserve"> </v>
      </c>
      <c r="E257" s="53" t="s">
        <v>211</v>
      </c>
      <c r="F257" s="53" t="str">
        <f>IFERROR(VLOOKUP(A257&amp;$I$2,ODDS!A256:$K$50000,7,0)," ")</f>
        <v xml:space="preserve"> </v>
      </c>
      <c r="G257" s="53" t="str">
        <f>IFERROR(VLOOKUP(A257&amp;$I$2,ODDS!A256:$K$50000,5,0)," ")</f>
        <v xml:space="preserve"> </v>
      </c>
      <c r="H257" s="53" t="str">
        <f t="shared" si="9"/>
        <v xml:space="preserve"> </v>
      </c>
      <c r="I257" s="22"/>
      <c r="J257" s="22"/>
      <c r="K257" s="22"/>
      <c r="L257" s="60" t="str">
        <f>IFERROR(VLOOKUP(A257&amp;$K$2,ODDS!B256:$K$50000,2,0)," ")</f>
        <v xml:space="preserve"> </v>
      </c>
      <c r="M257" s="39" t="str">
        <f>IFERROR(VLOOKUP(A257&amp;$K$2,ODDS!B256:$K$50000,3,0)," ")</f>
        <v xml:space="preserve"> </v>
      </c>
      <c r="N257" s="53" t="str">
        <f>IFERROR(VLOOKUP(A257&amp;$K$2,ODDS!B256:$K$50000,5,0)," ")</f>
        <v xml:space="preserve"> </v>
      </c>
      <c r="O257" s="53" t="s">
        <v>211</v>
      </c>
      <c r="P257" s="53" t="str">
        <f>IFERROR(VLOOKUP(A257&amp;$K$2,ODDS!B256:$K$50000,6,0)," ")</f>
        <v xml:space="preserve"> </v>
      </c>
      <c r="Q257" s="39" t="str">
        <f>IFERROR(VLOOKUP(A257&amp;$K$2,ODDS!B256:$K$50000,4,0)," ")</f>
        <v xml:space="preserve"> </v>
      </c>
      <c r="R257" s="53" t="str">
        <f t="shared" si="10"/>
        <v xml:space="preserve"> </v>
      </c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</row>
    <row r="258" spans="2:31" x14ac:dyDescent="0.25">
      <c r="B258" s="54" t="str">
        <f>IFERROR(VLOOKUP(A258&amp;$I$2,ODDS!A257:$K$50000,3,0)," ")</f>
        <v xml:space="preserve"> </v>
      </c>
      <c r="C258" s="53" t="str">
        <f>IFERROR(VLOOKUP(A258&amp;$I$2,ODDS!A257:$K$50000,4,0)," ")</f>
        <v xml:space="preserve"> </v>
      </c>
      <c r="D258" s="53" t="str">
        <f>IFERROR(VLOOKUP(A258&amp;$I$2,ODDS!A257:$K$50000,6,0)," ")</f>
        <v xml:space="preserve"> </v>
      </c>
      <c r="E258" s="53" t="s">
        <v>211</v>
      </c>
      <c r="F258" s="53" t="str">
        <f>IFERROR(VLOOKUP(A258&amp;$I$2,ODDS!A257:$K$50000,7,0)," ")</f>
        <v xml:space="preserve"> </v>
      </c>
      <c r="G258" s="53" t="str">
        <f>IFERROR(VLOOKUP(A258&amp;$I$2,ODDS!A257:$K$50000,5,0)," ")</f>
        <v xml:space="preserve"> </v>
      </c>
      <c r="H258" s="53" t="str">
        <f t="shared" si="9"/>
        <v xml:space="preserve"> </v>
      </c>
      <c r="I258" s="22"/>
      <c r="J258" s="22"/>
      <c r="K258" s="22"/>
      <c r="L258" s="60" t="str">
        <f>IFERROR(VLOOKUP(A258&amp;$K$2,ODDS!B257:$K$50000,2,0)," ")</f>
        <v xml:space="preserve"> </v>
      </c>
      <c r="M258" s="39" t="str">
        <f>IFERROR(VLOOKUP(A258&amp;$K$2,ODDS!B257:$K$50000,3,0)," ")</f>
        <v xml:space="preserve"> </v>
      </c>
      <c r="N258" s="53" t="str">
        <f>IFERROR(VLOOKUP(A258&amp;$K$2,ODDS!B257:$K$50000,5,0)," ")</f>
        <v xml:space="preserve"> </v>
      </c>
      <c r="O258" s="53" t="s">
        <v>211</v>
      </c>
      <c r="P258" s="53" t="str">
        <f>IFERROR(VLOOKUP(A258&amp;$K$2,ODDS!B257:$K$50000,6,0)," ")</f>
        <v xml:space="preserve"> </v>
      </c>
      <c r="Q258" s="39" t="str">
        <f>IFERROR(VLOOKUP(A258&amp;$K$2,ODDS!B257:$K$50000,4,0)," ")</f>
        <v xml:space="preserve"> </v>
      </c>
      <c r="R258" s="53" t="str">
        <f t="shared" si="10"/>
        <v xml:space="preserve"> </v>
      </c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E258" s="23" t="s">
        <v>217</v>
      </c>
    </row>
    <row r="259" spans="2:31" x14ac:dyDescent="0.25">
      <c r="B259" s="54" t="str">
        <f>IFERROR(VLOOKUP(A259&amp;$I$2,ODDS!A258:$K$50000,3,0)," ")</f>
        <v xml:space="preserve"> </v>
      </c>
      <c r="C259" s="53" t="str">
        <f>IFERROR(VLOOKUP(A259&amp;$I$2,ODDS!A258:$K$50000,4,0)," ")</f>
        <v xml:space="preserve"> </v>
      </c>
      <c r="D259" s="53" t="str">
        <f>IFERROR(VLOOKUP(A259&amp;$I$2,ODDS!A258:$K$50000,6,0)," ")</f>
        <v xml:space="preserve"> </v>
      </c>
      <c r="E259" s="53" t="s">
        <v>211</v>
      </c>
      <c r="F259" s="53" t="str">
        <f>IFERROR(VLOOKUP(A259&amp;$I$2,ODDS!A258:$K$50000,7,0)," ")</f>
        <v xml:space="preserve"> </v>
      </c>
      <c r="G259" s="53" t="str">
        <f>IFERROR(VLOOKUP(A259&amp;$I$2,ODDS!A258:$K$50000,5,0)," ")</f>
        <v xml:space="preserve"> </v>
      </c>
      <c r="H259" s="53" t="str">
        <f t="shared" si="9"/>
        <v xml:space="preserve"> </v>
      </c>
      <c r="I259" s="22"/>
      <c r="J259" s="22"/>
      <c r="K259" s="22"/>
      <c r="L259" s="60" t="str">
        <f>IFERROR(VLOOKUP(A259&amp;$K$2,ODDS!B258:$K$50000,2,0)," ")</f>
        <v xml:space="preserve"> </v>
      </c>
      <c r="M259" s="39" t="str">
        <f>IFERROR(VLOOKUP(A259&amp;$K$2,ODDS!B258:$K$50000,3,0)," ")</f>
        <v xml:space="preserve"> </v>
      </c>
      <c r="N259" s="53" t="str">
        <f>IFERROR(VLOOKUP(A259&amp;$K$2,ODDS!B258:$K$50000,5,0)," ")</f>
        <v xml:space="preserve"> </v>
      </c>
      <c r="O259" s="53" t="s">
        <v>211</v>
      </c>
      <c r="P259" s="53" t="str">
        <f>IFERROR(VLOOKUP(A259&amp;$K$2,ODDS!B258:$K$50000,6,0)," ")</f>
        <v xml:space="preserve"> </v>
      </c>
      <c r="Q259" s="39" t="str">
        <f>IFERROR(VLOOKUP(A259&amp;$K$2,ODDS!B258:$K$50000,4,0)," ")</f>
        <v xml:space="preserve"> </v>
      </c>
      <c r="R259" s="53" t="str">
        <f t="shared" si="10"/>
        <v xml:space="preserve"> </v>
      </c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E259" s="23"/>
    </row>
    <row r="260" spans="2:31" x14ac:dyDescent="0.25">
      <c r="B260" s="54" t="str">
        <f>IFERROR(VLOOKUP(A260&amp;$I$2,ODDS!A259:$K$50000,3,0)," ")</f>
        <v xml:space="preserve"> </v>
      </c>
      <c r="C260" s="53" t="str">
        <f>IFERROR(VLOOKUP(A260&amp;$I$2,ODDS!A259:$K$50000,4,0)," ")</f>
        <v xml:space="preserve"> </v>
      </c>
      <c r="D260" s="53" t="str">
        <f>IFERROR(VLOOKUP(A260&amp;$I$2,ODDS!A259:$K$50000,6,0)," ")</f>
        <v xml:space="preserve"> </v>
      </c>
      <c r="E260" s="53" t="s">
        <v>211</v>
      </c>
      <c r="F260" s="53" t="str">
        <f>IFERROR(VLOOKUP(A260&amp;$I$2,ODDS!A259:$K$50000,7,0)," ")</f>
        <v xml:space="preserve"> </v>
      </c>
      <c r="G260" s="53" t="str">
        <f>IFERROR(VLOOKUP(A260&amp;$I$2,ODDS!A259:$K$50000,5,0)," ")</f>
        <v xml:space="preserve"> </v>
      </c>
      <c r="H260" s="53" t="str">
        <f t="shared" si="9"/>
        <v xml:space="preserve"> </v>
      </c>
      <c r="I260" s="22"/>
      <c r="J260" s="22"/>
      <c r="K260" s="22"/>
      <c r="L260" s="60" t="str">
        <f>IFERROR(VLOOKUP(A260&amp;$K$2,ODDS!B259:$K$50000,2,0)," ")</f>
        <v xml:space="preserve"> </v>
      </c>
      <c r="M260" s="39" t="str">
        <f>IFERROR(VLOOKUP(A260&amp;$K$2,ODDS!B259:$K$50000,3,0)," ")</f>
        <v xml:space="preserve"> </v>
      </c>
      <c r="N260" s="53" t="str">
        <f>IFERROR(VLOOKUP(A260&amp;$K$2,ODDS!B259:$K$50000,5,0)," ")</f>
        <v xml:space="preserve"> </v>
      </c>
      <c r="O260" s="53" t="s">
        <v>211</v>
      </c>
      <c r="P260" s="53" t="str">
        <f>IFERROR(VLOOKUP(A260&amp;$K$2,ODDS!B259:$K$50000,6,0)," ")</f>
        <v xml:space="preserve"> </v>
      </c>
      <c r="Q260" s="39" t="str">
        <f>IFERROR(VLOOKUP(A260&amp;$K$2,ODDS!B259:$K$50000,4,0)," ")</f>
        <v xml:space="preserve"> </v>
      </c>
      <c r="R260" s="53" t="str">
        <f t="shared" si="10"/>
        <v xml:space="preserve"> </v>
      </c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 t="s">
        <v>217</v>
      </c>
    </row>
    <row r="261" spans="2:31" x14ac:dyDescent="0.25">
      <c r="B261" s="54" t="str">
        <f>IFERROR(VLOOKUP(A261&amp;$I$2,ODDS!A260:$K$50000,3,0)," ")</f>
        <v xml:space="preserve"> </v>
      </c>
      <c r="C261" s="53" t="str">
        <f>IFERROR(VLOOKUP(A261&amp;$I$2,ODDS!A260:$K$50000,4,0)," ")</f>
        <v xml:space="preserve"> </v>
      </c>
      <c r="D261" s="53" t="str">
        <f>IFERROR(VLOOKUP(A261&amp;$I$2,ODDS!A260:$K$50000,6,0)," ")</f>
        <v xml:space="preserve"> </v>
      </c>
      <c r="E261" s="53" t="s">
        <v>211</v>
      </c>
      <c r="F261" s="53" t="str">
        <f>IFERROR(VLOOKUP(A261&amp;$I$2,ODDS!A260:$K$50000,7,0)," ")</f>
        <v xml:space="preserve"> </v>
      </c>
      <c r="G261" s="53" t="str">
        <f>IFERROR(VLOOKUP(A261&amp;$I$2,ODDS!A260:$K$50000,5,0)," ")</f>
        <v xml:space="preserve"> </v>
      </c>
      <c r="H261" s="53" t="str">
        <f t="shared" si="9"/>
        <v xml:space="preserve"> </v>
      </c>
      <c r="I261" s="22"/>
      <c r="J261" s="22"/>
      <c r="K261" s="22"/>
      <c r="L261" s="60" t="str">
        <f>IFERROR(VLOOKUP(A261&amp;$K$2,ODDS!B260:$K$50000,2,0)," ")</f>
        <v xml:space="preserve"> </v>
      </c>
      <c r="M261" s="39" t="str">
        <f>IFERROR(VLOOKUP(A261&amp;$K$2,ODDS!B260:$K$50000,3,0)," ")</f>
        <v xml:space="preserve"> </v>
      </c>
      <c r="N261" s="53" t="str">
        <f>IFERROR(VLOOKUP(A261&amp;$K$2,ODDS!B260:$K$50000,5,0)," ")</f>
        <v xml:space="preserve"> </v>
      </c>
      <c r="O261" s="53" t="s">
        <v>211</v>
      </c>
      <c r="P261" s="53" t="str">
        <f>IFERROR(VLOOKUP(A261&amp;$K$2,ODDS!B260:$K$50000,6,0)," ")</f>
        <v xml:space="preserve"> </v>
      </c>
      <c r="Q261" s="39" t="str">
        <f>IFERROR(VLOOKUP(A261&amp;$K$2,ODDS!B260:$K$50000,4,0)," ")</f>
        <v xml:space="preserve"> </v>
      </c>
      <c r="R261" s="53" t="str">
        <f t="shared" si="10"/>
        <v xml:space="preserve"> </v>
      </c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E261" s="23"/>
    </row>
    <row r="262" spans="2:31" x14ac:dyDescent="0.25">
      <c r="B262" s="54" t="str">
        <f>IFERROR(VLOOKUP(A262&amp;$I$2,ODDS!A261:$K$50000,3,0)," ")</f>
        <v xml:space="preserve"> </v>
      </c>
      <c r="C262" s="53" t="str">
        <f>IFERROR(VLOOKUP(A262&amp;$I$2,ODDS!A261:$K$50000,4,0)," ")</f>
        <v xml:space="preserve"> </v>
      </c>
      <c r="D262" s="53" t="str">
        <f>IFERROR(VLOOKUP(A262&amp;$I$2,ODDS!A261:$K$50000,6,0)," ")</f>
        <v xml:space="preserve"> </v>
      </c>
      <c r="E262" s="53" t="s">
        <v>211</v>
      </c>
      <c r="F262" s="53" t="str">
        <f>IFERROR(VLOOKUP(A262&amp;$I$2,ODDS!A261:$K$50000,7,0)," ")</f>
        <v xml:space="preserve"> </v>
      </c>
      <c r="G262" s="53" t="str">
        <f>IFERROR(VLOOKUP(A262&amp;$I$2,ODDS!A261:$K$50000,5,0)," ")</f>
        <v xml:space="preserve"> </v>
      </c>
      <c r="H262" s="53" t="str">
        <f t="shared" si="9"/>
        <v xml:space="preserve"> </v>
      </c>
      <c r="I262" s="22"/>
      <c r="J262" s="22"/>
      <c r="K262" s="22"/>
      <c r="L262" s="60" t="str">
        <f>IFERROR(VLOOKUP(A262&amp;$K$2,ODDS!B261:$K$50000,2,0)," ")</f>
        <v xml:space="preserve"> </v>
      </c>
      <c r="M262" s="39" t="str">
        <f>IFERROR(VLOOKUP(A262&amp;$K$2,ODDS!B261:$K$50000,3,0)," ")</f>
        <v xml:space="preserve"> </v>
      </c>
      <c r="N262" s="53" t="str">
        <f>IFERROR(VLOOKUP(A262&amp;$K$2,ODDS!B261:$K$50000,5,0)," ")</f>
        <v xml:space="preserve"> </v>
      </c>
      <c r="O262" s="53" t="s">
        <v>211</v>
      </c>
      <c r="P262" s="53" t="str">
        <f>IFERROR(VLOOKUP(A262&amp;$K$2,ODDS!B261:$K$50000,6,0)," ")</f>
        <v xml:space="preserve"> </v>
      </c>
      <c r="Q262" s="39" t="str">
        <f>IFERROR(VLOOKUP(A262&amp;$K$2,ODDS!B261:$K$50000,4,0)," ")</f>
        <v xml:space="preserve"> </v>
      </c>
      <c r="R262" s="53" t="str">
        <f t="shared" si="10"/>
        <v xml:space="preserve"> </v>
      </c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E262" s="23" t="s">
        <v>217</v>
      </c>
    </row>
    <row r="263" spans="2:31" x14ac:dyDescent="0.25">
      <c r="B263" s="54" t="str">
        <f>IFERROR(VLOOKUP(A263&amp;$I$2,ODDS!A262:$K$50000,3,0)," ")</f>
        <v xml:space="preserve"> </v>
      </c>
      <c r="C263" s="53" t="str">
        <f>IFERROR(VLOOKUP(A263&amp;$I$2,ODDS!A262:$K$50000,4,0)," ")</f>
        <v xml:space="preserve"> </v>
      </c>
      <c r="D263" s="53" t="str">
        <f>IFERROR(VLOOKUP(A263&amp;$I$2,ODDS!A262:$K$50000,6,0)," ")</f>
        <v xml:space="preserve"> </v>
      </c>
      <c r="E263" s="53" t="s">
        <v>211</v>
      </c>
      <c r="F263" s="53" t="str">
        <f>IFERROR(VLOOKUP(A263&amp;$I$2,ODDS!A262:$K$50000,7,0)," ")</f>
        <v xml:space="preserve"> </v>
      </c>
      <c r="G263" s="53" t="str">
        <f>IFERROR(VLOOKUP(A263&amp;$I$2,ODDS!A262:$K$50000,5,0)," ")</f>
        <v xml:space="preserve"> </v>
      </c>
      <c r="H263" s="53" t="str">
        <f t="shared" si="9"/>
        <v xml:space="preserve"> </v>
      </c>
      <c r="I263" s="22"/>
      <c r="J263" s="22"/>
      <c r="K263" s="22"/>
      <c r="L263" s="60" t="str">
        <f>IFERROR(VLOOKUP(A263&amp;$K$2,ODDS!B262:$K$50000,2,0)," ")</f>
        <v xml:space="preserve"> </v>
      </c>
      <c r="M263" s="39" t="str">
        <f>IFERROR(VLOOKUP(A263&amp;$K$2,ODDS!B262:$K$50000,3,0)," ")</f>
        <v xml:space="preserve"> </v>
      </c>
      <c r="N263" s="53" t="str">
        <f>IFERROR(VLOOKUP(A263&amp;$K$2,ODDS!B262:$K$50000,5,0)," ")</f>
        <v xml:space="preserve"> </v>
      </c>
      <c r="O263" s="53" t="s">
        <v>211</v>
      </c>
      <c r="P263" s="53" t="str">
        <f>IFERROR(VLOOKUP(A263&amp;$K$2,ODDS!B262:$K$50000,6,0)," ")</f>
        <v xml:space="preserve"> </v>
      </c>
      <c r="Q263" s="39" t="str">
        <f>IFERROR(VLOOKUP(A263&amp;$K$2,ODDS!B262:$K$50000,4,0)," ")</f>
        <v xml:space="preserve"> </v>
      </c>
      <c r="R263" s="53" t="str">
        <f t="shared" si="10"/>
        <v xml:space="preserve"> </v>
      </c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E263" s="23"/>
    </row>
    <row r="264" spans="2:31" x14ac:dyDescent="0.25">
      <c r="B264" s="54" t="str">
        <f>IFERROR(VLOOKUP(A264&amp;$I$2,ODDS!A263:$K$50000,3,0)," ")</f>
        <v xml:space="preserve"> </v>
      </c>
      <c r="C264" s="53" t="str">
        <f>IFERROR(VLOOKUP(A264&amp;$I$2,ODDS!A263:$K$50000,4,0)," ")</f>
        <v xml:space="preserve"> </v>
      </c>
      <c r="D264" s="53" t="str">
        <f>IFERROR(VLOOKUP(A264&amp;$I$2,ODDS!A263:$K$50000,6,0)," ")</f>
        <v xml:space="preserve"> </v>
      </c>
      <c r="E264" s="53" t="s">
        <v>211</v>
      </c>
      <c r="F264" s="53" t="str">
        <f>IFERROR(VLOOKUP(A264&amp;$I$2,ODDS!A263:$K$50000,7,0)," ")</f>
        <v xml:space="preserve"> </v>
      </c>
      <c r="G264" s="53" t="str">
        <f>IFERROR(VLOOKUP(A264&amp;$I$2,ODDS!A263:$K$50000,5,0)," ")</f>
        <v xml:space="preserve"> </v>
      </c>
      <c r="H264" s="53" t="str">
        <f t="shared" si="9"/>
        <v xml:space="preserve"> </v>
      </c>
      <c r="I264" s="22"/>
      <c r="J264" s="22"/>
      <c r="K264" s="22"/>
      <c r="L264" s="60" t="str">
        <f>IFERROR(VLOOKUP(A264&amp;$K$2,ODDS!B263:$K$50000,2,0)," ")</f>
        <v xml:space="preserve"> </v>
      </c>
      <c r="M264" s="39" t="str">
        <f>IFERROR(VLOOKUP(A264&amp;$K$2,ODDS!B263:$K$50000,3,0)," ")</f>
        <v xml:space="preserve"> </v>
      </c>
      <c r="N264" s="53" t="str">
        <f>IFERROR(VLOOKUP(A264&amp;$K$2,ODDS!B263:$K$50000,5,0)," ")</f>
        <v xml:space="preserve"> </v>
      </c>
      <c r="O264" s="53" t="s">
        <v>211</v>
      </c>
      <c r="P264" s="53" t="str">
        <f>IFERROR(VLOOKUP(A264&amp;$K$2,ODDS!B263:$K$50000,6,0)," ")</f>
        <v xml:space="preserve"> </v>
      </c>
      <c r="Q264" s="39" t="str">
        <f>IFERROR(VLOOKUP(A264&amp;$K$2,ODDS!B263:$K$50000,4,0)," ")</f>
        <v xml:space="preserve"> </v>
      </c>
      <c r="R264" s="53" t="str">
        <f t="shared" si="10"/>
        <v xml:space="preserve"> </v>
      </c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E264" s="23" t="s">
        <v>217</v>
      </c>
    </row>
    <row r="265" spans="2:31" x14ac:dyDescent="0.25">
      <c r="B265" s="54" t="str">
        <f>IFERROR(VLOOKUP(A265&amp;$I$2,ODDS!A264:$K$50000,3,0)," ")</f>
        <v xml:space="preserve"> </v>
      </c>
      <c r="C265" s="53" t="str">
        <f>IFERROR(VLOOKUP(A265&amp;$I$2,ODDS!A264:$K$50000,4,0)," ")</f>
        <v xml:space="preserve"> </v>
      </c>
      <c r="D265" s="53" t="str">
        <f>IFERROR(VLOOKUP(A265&amp;$I$2,ODDS!A264:$K$50000,6,0)," ")</f>
        <v xml:space="preserve"> </v>
      </c>
      <c r="E265" s="53" t="s">
        <v>211</v>
      </c>
      <c r="F265" s="53" t="str">
        <f>IFERROR(VLOOKUP(A265&amp;$I$2,ODDS!A264:$K$50000,7,0)," ")</f>
        <v xml:space="preserve"> </v>
      </c>
      <c r="G265" s="53" t="str">
        <f>IFERROR(VLOOKUP(A265&amp;$I$2,ODDS!A264:$K$50000,5,0)," ")</f>
        <v xml:space="preserve"> </v>
      </c>
      <c r="H265" s="53" t="str">
        <f t="shared" si="9"/>
        <v xml:space="preserve"> </v>
      </c>
      <c r="I265" s="22"/>
      <c r="J265" s="22"/>
      <c r="K265" s="22"/>
      <c r="L265" s="60" t="str">
        <f>IFERROR(VLOOKUP(A265&amp;$K$2,ODDS!B264:$K$50000,2,0)," ")</f>
        <v xml:space="preserve"> </v>
      </c>
      <c r="M265" s="39" t="str">
        <f>IFERROR(VLOOKUP(A265&amp;$K$2,ODDS!B264:$K$50000,3,0)," ")</f>
        <v xml:space="preserve"> </v>
      </c>
      <c r="N265" s="53" t="str">
        <f>IFERROR(VLOOKUP(A265&amp;$K$2,ODDS!B264:$K$50000,5,0)," ")</f>
        <v xml:space="preserve"> </v>
      </c>
      <c r="O265" s="53" t="s">
        <v>211</v>
      </c>
      <c r="P265" s="53" t="str">
        <f>IFERROR(VLOOKUP(A265&amp;$K$2,ODDS!B264:$K$50000,6,0)," ")</f>
        <v xml:space="preserve"> </v>
      </c>
      <c r="Q265" s="39" t="str">
        <f>IFERROR(VLOOKUP(A265&amp;$K$2,ODDS!B264:$K$50000,4,0)," ")</f>
        <v xml:space="preserve"> </v>
      </c>
      <c r="R265" s="53" t="str">
        <f t="shared" si="10"/>
        <v xml:space="preserve"> </v>
      </c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E265" s="23"/>
    </row>
    <row r="266" spans="2:31" x14ac:dyDescent="0.25">
      <c r="B266" s="54" t="str">
        <f>IFERROR(VLOOKUP(A266&amp;$I$2,ODDS!A265:$K$50000,3,0)," ")</f>
        <v xml:space="preserve"> </v>
      </c>
      <c r="C266" s="53" t="str">
        <f>IFERROR(VLOOKUP(A266&amp;$I$2,ODDS!A265:$K$50000,4,0)," ")</f>
        <v xml:space="preserve"> </v>
      </c>
      <c r="D266" s="53" t="str">
        <f>IFERROR(VLOOKUP(A266&amp;$I$2,ODDS!A265:$K$50000,6,0)," ")</f>
        <v xml:space="preserve"> </v>
      </c>
      <c r="E266" s="53" t="s">
        <v>211</v>
      </c>
      <c r="F266" s="53" t="str">
        <f>IFERROR(VLOOKUP(A266&amp;$I$2,ODDS!A265:$K$50000,7,0)," ")</f>
        <v xml:space="preserve"> </v>
      </c>
      <c r="G266" s="53" t="str">
        <f>IFERROR(VLOOKUP(A266&amp;$I$2,ODDS!A265:$K$50000,5,0)," ")</f>
        <v xml:space="preserve"> </v>
      </c>
      <c r="H266" s="53" t="str">
        <f t="shared" si="9"/>
        <v xml:space="preserve"> </v>
      </c>
      <c r="I266" s="22"/>
      <c r="J266" s="22"/>
      <c r="K266" s="22"/>
      <c r="L266" s="60" t="str">
        <f>IFERROR(VLOOKUP(A266&amp;$K$2,ODDS!B265:$K$50000,2,0)," ")</f>
        <v xml:space="preserve"> </v>
      </c>
      <c r="M266" s="39" t="str">
        <f>IFERROR(VLOOKUP(A266&amp;$K$2,ODDS!B265:$K$50000,3,0)," ")</f>
        <v xml:space="preserve"> </v>
      </c>
      <c r="N266" s="53" t="str">
        <f>IFERROR(VLOOKUP(A266&amp;$K$2,ODDS!B265:$K$50000,5,0)," ")</f>
        <v xml:space="preserve"> </v>
      </c>
      <c r="O266" s="53" t="s">
        <v>211</v>
      </c>
      <c r="P266" s="53" t="str">
        <f>IFERROR(VLOOKUP(A266&amp;$K$2,ODDS!B265:$K$50000,6,0)," ")</f>
        <v xml:space="preserve"> </v>
      </c>
      <c r="Q266" s="39" t="str">
        <f>IFERROR(VLOOKUP(A266&amp;$K$2,ODDS!B265:$K$50000,4,0)," ")</f>
        <v xml:space="preserve"> </v>
      </c>
      <c r="R266" s="53" t="str">
        <f t="shared" si="10"/>
        <v xml:space="preserve"> </v>
      </c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E266" s="23" t="s">
        <v>217</v>
      </c>
    </row>
    <row r="267" spans="2:31" x14ac:dyDescent="0.25">
      <c r="B267" s="54" t="str">
        <f>IFERROR(VLOOKUP(A267&amp;$I$2,ODDS!A266:$K$50000,3,0)," ")</f>
        <v xml:space="preserve"> </v>
      </c>
      <c r="C267" s="53" t="str">
        <f>IFERROR(VLOOKUP(A267&amp;$I$2,ODDS!A266:$K$50000,4,0)," ")</f>
        <v xml:space="preserve"> </v>
      </c>
      <c r="D267" s="53" t="str">
        <f>IFERROR(VLOOKUP(A267&amp;$I$2,ODDS!A266:$K$50000,6,0)," ")</f>
        <v xml:space="preserve"> </v>
      </c>
      <c r="E267" s="53" t="s">
        <v>211</v>
      </c>
      <c r="F267" s="53" t="str">
        <f>IFERROR(VLOOKUP(A267&amp;$I$2,ODDS!A266:$K$50000,7,0)," ")</f>
        <v xml:space="preserve"> </v>
      </c>
      <c r="G267" s="53" t="str">
        <f>IFERROR(VLOOKUP(A267&amp;$I$2,ODDS!A266:$K$50000,5,0)," ")</f>
        <v xml:space="preserve"> </v>
      </c>
      <c r="H267" s="53" t="str">
        <f t="shared" si="9"/>
        <v xml:space="preserve"> </v>
      </c>
      <c r="I267" s="22"/>
      <c r="J267" s="22"/>
      <c r="K267" s="22"/>
      <c r="L267" s="60" t="str">
        <f>IFERROR(VLOOKUP(A267&amp;$K$2,ODDS!B266:$K$50000,2,0)," ")</f>
        <v xml:space="preserve"> </v>
      </c>
      <c r="M267" s="39" t="str">
        <f>IFERROR(VLOOKUP(A267&amp;$K$2,ODDS!B266:$K$50000,3,0)," ")</f>
        <v xml:space="preserve"> </v>
      </c>
      <c r="N267" s="53" t="str">
        <f>IFERROR(VLOOKUP(A267&amp;$K$2,ODDS!B266:$K$50000,5,0)," ")</f>
        <v xml:space="preserve"> </v>
      </c>
      <c r="O267" s="53" t="s">
        <v>211</v>
      </c>
      <c r="P267" s="53" t="str">
        <f>IFERROR(VLOOKUP(A267&amp;$K$2,ODDS!B266:$K$50000,6,0)," ")</f>
        <v xml:space="preserve"> </v>
      </c>
      <c r="Q267" s="39" t="str">
        <f>IFERROR(VLOOKUP(A267&amp;$K$2,ODDS!B266:$K$50000,4,0)," ")</f>
        <v xml:space="preserve"> </v>
      </c>
      <c r="R267" s="53" t="str">
        <f t="shared" si="10"/>
        <v xml:space="preserve"> </v>
      </c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E267" s="23"/>
    </row>
    <row r="268" spans="2:31" x14ac:dyDescent="0.25">
      <c r="B268" s="54" t="str">
        <f>IFERROR(VLOOKUP(A268&amp;$I$2,ODDS!A267:$K$50000,3,0)," ")</f>
        <v xml:space="preserve"> </v>
      </c>
      <c r="C268" s="53" t="str">
        <f>IFERROR(VLOOKUP(A268&amp;$I$2,ODDS!A267:$K$50000,4,0)," ")</f>
        <v xml:space="preserve"> </v>
      </c>
      <c r="D268" s="53" t="str">
        <f>IFERROR(VLOOKUP(A268&amp;$I$2,ODDS!A267:$K$50000,6,0)," ")</f>
        <v xml:space="preserve"> </v>
      </c>
      <c r="E268" s="53" t="s">
        <v>211</v>
      </c>
      <c r="F268" s="53" t="str">
        <f>IFERROR(VLOOKUP(A268&amp;$I$2,ODDS!A267:$K$50000,7,0)," ")</f>
        <v xml:space="preserve"> </v>
      </c>
      <c r="G268" s="53" t="str">
        <f>IFERROR(VLOOKUP(A268&amp;$I$2,ODDS!A267:$K$50000,5,0)," ")</f>
        <v xml:space="preserve"> </v>
      </c>
      <c r="H268" s="53" t="str">
        <f t="shared" si="9"/>
        <v xml:space="preserve"> </v>
      </c>
      <c r="I268" s="22"/>
      <c r="J268" s="22"/>
      <c r="K268" s="22"/>
      <c r="L268" s="60" t="str">
        <f>IFERROR(VLOOKUP(A268&amp;$K$2,ODDS!B267:$K$50000,2,0)," ")</f>
        <v xml:space="preserve"> </v>
      </c>
      <c r="M268" s="39" t="str">
        <f>IFERROR(VLOOKUP(A268&amp;$K$2,ODDS!B267:$K$50000,3,0)," ")</f>
        <v xml:space="preserve"> </v>
      </c>
      <c r="N268" s="53" t="str">
        <f>IFERROR(VLOOKUP(A268&amp;$K$2,ODDS!B267:$K$50000,5,0)," ")</f>
        <v xml:space="preserve"> </v>
      </c>
      <c r="O268" s="53" t="s">
        <v>211</v>
      </c>
      <c r="P268" s="53" t="str">
        <f>IFERROR(VLOOKUP(A268&amp;$K$2,ODDS!B267:$K$50000,6,0)," ")</f>
        <v xml:space="preserve"> </v>
      </c>
      <c r="Q268" s="39" t="str">
        <f>IFERROR(VLOOKUP(A268&amp;$K$2,ODDS!B267:$K$50000,4,0)," ")</f>
        <v xml:space="preserve"> </v>
      </c>
      <c r="R268" s="53" t="str">
        <f t="shared" si="10"/>
        <v xml:space="preserve"> </v>
      </c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 t="s">
        <v>217</v>
      </c>
    </row>
    <row r="269" spans="2:31" x14ac:dyDescent="0.25">
      <c r="B269" s="54" t="str">
        <f>IFERROR(VLOOKUP(A269&amp;$I$2,ODDS!A268:$K$50000,3,0)," ")</f>
        <v xml:space="preserve"> </v>
      </c>
      <c r="C269" s="53" t="str">
        <f>IFERROR(VLOOKUP(A269&amp;$I$2,ODDS!A268:$K$50000,4,0)," ")</f>
        <v xml:space="preserve"> </v>
      </c>
      <c r="D269" s="53" t="str">
        <f>IFERROR(VLOOKUP(A269&amp;$I$2,ODDS!A268:$K$50000,6,0)," ")</f>
        <v xml:space="preserve"> </v>
      </c>
      <c r="E269" s="53" t="s">
        <v>211</v>
      </c>
      <c r="F269" s="53" t="str">
        <f>IFERROR(VLOOKUP(A269&amp;$I$2,ODDS!A268:$K$50000,7,0)," ")</f>
        <v xml:space="preserve"> </v>
      </c>
      <c r="G269" s="53" t="str">
        <f>IFERROR(VLOOKUP(A269&amp;$I$2,ODDS!A268:$K$50000,5,0)," ")</f>
        <v xml:space="preserve"> </v>
      </c>
      <c r="H269" s="53" t="str">
        <f t="shared" ref="H269:H304" si="11">IF(C269=$I$2,IF(D269&gt;F269,"VENCEU",IF(D269=F269,"EMPATOU",IF(F269&gt;D269,"PERDEU")))," ")</f>
        <v xml:space="preserve"> </v>
      </c>
      <c r="I269" s="22"/>
      <c r="J269" s="22"/>
      <c r="K269" s="22"/>
      <c r="L269" s="60" t="str">
        <f>IFERROR(VLOOKUP(A269&amp;$K$2,ODDS!B268:$K$50000,2,0)," ")</f>
        <v xml:space="preserve"> </v>
      </c>
      <c r="M269" s="39" t="str">
        <f>IFERROR(VLOOKUP(A269&amp;$K$2,ODDS!B268:$K$50000,3,0)," ")</f>
        <v xml:space="preserve"> </v>
      </c>
      <c r="N269" s="53" t="str">
        <f>IFERROR(VLOOKUP(A269&amp;$K$2,ODDS!B268:$K$50000,5,0)," ")</f>
        <v xml:space="preserve"> </v>
      </c>
      <c r="O269" s="53" t="s">
        <v>211</v>
      </c>
      <c r="P269" s="53" t="str">
        <f>IFERROR(VLOOKUP(A269&amp;$K$2,ODDS!B268:$K$50000,6,0)," ")</f>
        <v xml:space="preserve"> </v>
      </c>
      <c r="Q269" s="39" t="str">
        <f>IFERROR(VLOOKUP(A269&amp;$K$2,ODDS!B268:$K$50000,4,0)," ")</f>
        <v xml:space="preserve"> </v>
      </c>
      <c r="R269" s="53" t="str">
        <f t="shared" ref="R269:R304" si="12">IF(Q269=$K$2,IF(P269&gt;N269,"VENCEU",IF(P269=N269,"EMPATOU",IF(N269&gt;P269,"PERDEU")))," ")</f>
        <v xml:space="preserve"> </v>
      </c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E269" s="23"/>
    </row>
    <row r="270" spans="2:31" x14ac:dyDescent="0.25">
      <c r="B270" s="54" t="str">
        <f>IFERROR(VLOOKUP(A270&amp;$I$2,ODDS!A269:$K$50000,3,0)," ")</f>
        <v xml:space="preserve"> </v>
      </c>
      <c r="C270" s="53" t="str">
        <f>IFERROR(VLOOKUP(A270&amp;$I$2,ODDS!A269:$K$50000,4,0)," ")</f>
        <v xml:space="preserve"> </v>
      </c>
      <c r="D270" s="53" t="str">
        <f>IFERROR(VLOOKUP(A270&amp;$I$2,ODDS!A269:$K$50000,6,0)," ")</f>
        <v xml:space="preserve"> </v>
      </c>
      <c r="E270" s="53" t="s">
        <v>211</v>
      </c>
      <c r="F270" s="53" t="str">
        <f>IFERROR(VLOOKUP(A270&amp;$I$2,ODDS!A269:$K$50000,7,0)," ")</f>
        <v xml:space="preserve"> </v>
      </c>
      <c r="G270" s="53" t="str">
        <f>IFERROR(VLOOKUP(A270&amp;$I$2,ODDS!A269:$K$50000,5,0)," ")</f>
        <v xml:space="preserve"> </v>
      </c>
      <c r="H270" s="53" t="str">
        <f t="shared" si="11"/>
        <v xml:space="preserve"> </v>
      </c>
      <c r="I270" s="22"/>
      <c r="J270" s="22"/>
      <c r="K270" s="22"/>
      <c r="L270" s="60" t="str">
        <f>IFERROR(VLOOKUP(A270&amp;$K$2,ODDS!B269:$K$50000,2,0)," ")</f>
        <v xml:space="preserve"> </v>
      </c>
      <c r="M270" s="39" t="str">
        <f>IFERROR(VLOOKUP(A270&amp;$K$2,ODDS!B269:$K$50000,3,0)," ")</f>
        <v xml:space="preserve"> </v>
      </c>
      <c r="N270" s="53" t="str">
        <f>IFERROR(VLOOKUP(A270&amp;$K$2,ODDS!B269:$K$50000,5,0)," ")</f>
        <v xml:space="preserve"> </v>
      </c>
      <c r="O270" s="53" t="s">
        <v>211</v>
      </c>
      <c r="P270" s="53" t="str">
        <f>IFERROR(VLOOKUP(A270&amp;$K$2,ODDS!B269:$K$50000,6,0)," ")</f>
        <v xml:space="preserve"> </v>
      </c>
      <c r="Q270" s="39" t="str">
        <f>IFERROR(VLOOKUP(A270&amp;$K$2,ODDS!B269:$K$50000,4,0)," ")</f>
        <v xml:space="preserve"> </v>
      </c>
      <c r="R270" s="53" t="str">
        <f t="shared" si="12"/>
        <v xml:space="preserve"> </v>
      </c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 t="s">
        <v>217</v>
      </c>
    </row>
    <row r="271" spans="2:31" x14ac:dyDescent="0.25">
      <c r="B271" s="54" t="str">
        <f>IFERROR(VLOOKUP(A271&amp;$I$2,ODDS!A270:$K$50000,3,0)," ")</f>
        <v xml:space="preserve"> </v>
      </c>
      <c r="C271" s="53" t="str">
        <f>IFERROR(VLOOKUP(A271&amp;$I$2,ODDS!A270:$K$50000,4,0)," ")</f>
        <v xml:space="preserve"> </v>
      </c>
      <c r="D271" s="53" t="str">
        <f>IFERROR(VLOOKUP(A271&amp;$I$2,ODDS!A270:$K$50000,6,0)," ")</f>
        <v xml:space="preserve"> </v>
      </c>
      <c r="E271" s="53" t="s">
        <v>211</v>
      </c>
      <c r="F271" s="53" t="str">
        <f>IFERROR(VLOOKUP(A271&amp;$I$2,ODDS!A270:$K$50000,7,0)," ")</f>
        <v xml:space="preserve"> </v>
      </c>
      <c r="G271" s="53" t="str">
        <f>IFERROR(VLOOKUP(A271&amp;$I$2,ODDS!A270:$K$50000,5,0)," ")</f>
        <v xml:space="preserve"> </v>
      </c>
      <c r="H271" s="53" t="str">
        <f t="shared" si="11"/>
        <v xml:space="preserve"> </v>
      </c>
      <c r="I271" s="22"/>
      <c r="J271" s="22"/>
      <c r="K271" s="22"/>
      <c r="L271" s="60" t="str">
        <f>IFERROR(VLOOKUP(A271&amp;$K$2,ODDS!B270:$K$50000,2,0)," ")</f>
        <v xml:space="preserve"> </v>
      </c>
      <c r="M271" s="39" t="str">
        <f>IFERROR(VLOOKUP(A271&amp;$K$2,ODDS!B270:$K$50000,3,0)," ")</f>
        <v xml:space="preserve"> </v>
      </c>
      <c r="N271" s="53" t="str">
        <f>IFERROR(VLOOKUP(A271&amp;$K$2,ODDS!B270:$K$50000,5,0)," ")</f>
        <v xml:space="preserve"> </v>
      </c>
      <c r="O271" s="53" t="s">
        <v>211</v>
      </c>
      <c r="P271" s="53" t="str">
        <f>IFERROR(VLOOKUP(A271&amp;$K$2,ODDS!B270:$K$50000,6,0)," ")</f>
        <v xml:space="preserve"> </v>
      </c>
      <c r="Q271" s="39" t="str">
        <f>IFERROR(VLOOKUP(A271&amp;$K$2,ODDS!B270:$K$50000,4,0)," ")</f>
        <v xml:space="preserve"> </v>
      </c>
      <c r="R271" s="53" t="str">
        <f t="shared" si="12"/>
        <v xml:space="preserve"> </v>
      </c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E271" s="23"/>
    </row>
    <row r="272" spans="2:31" x14ac:dyDescent="0.25">
      <c r="B272" s="54" t="str">
        <f>IFERROR(VLOOKUP(A272&amp;$I$2,ODDS!A271:$K$50000,3,0)," ")</f>
        <v xml:space="preserve"> </v>
      </c>
      <c r="C272" s="53" t="str">
        <f>IFERROR(VLOOKUP(A272&amp;$I$2,ODDS!A271:$K$50000,4,0)," ")</f>
        <v xml:space="preserve"> </v>
      </c>
      <c r="D272" s="53" t="str">
        <f>IFERROR(VLOOKUP(A272&amp;$I$2,ODDS!A271:$K$50000,6,0)," ")</f>
        <v xml:space="preserve"> </v>
      </c>
      <c r="E272" s="53" t="s">
        <v>211</v>
      </c>
      <c r="F272" s="53" t="str">
        <f>IFERROR(VLOOKUP(A272&amp;$I$2,ODDS!A271:$K$50000,7,0)," ")</f>
        <v xml:space="preserve"> </v>
      </c>
      <c r="G272" s="53" t="str">
        <f>IFERROR(VLOOKUP(A272&amp;$I$2,ODDS!A271:$K$50000,5,0)," ")</f>
        <v xml:space="preserve"> </v>
      </c>
      <c r="H272" s="53" t="str">
        <f t="shared" si="11"/>
        <v xml:space="preserve"> </v>
      </c>
      <c r="I272" s="22"/>
      <c r="J272" s="22"/>
      <c r="K272" s="22"/>
      <c r="L272" s="60" t="str">
        <f>IFERROR(VLOOKUP(A272&amp;$K$2,ODDS!B271:$K$50000,2,0)," ")</f>
        <v xml:space="preserve"> </v>
      </c>
      <c r="M272" s="39" t="str">
        <f>IFERROR(VLOOKUP(A272&amp;$K$2,ODDS!B271:$K$50000,3,0)," ")</f>
        <v xml:space="preserve"> </v>
      </c>
      <c r="N272" s="53" t="str">
        <f>IFERROR(VLOOKUP(A272&amp;$K$2,ODDS!B271:$K$50000,5,0)," ")</f>
        <v xml:space="preserve"> </v>
      </c>
      <c r="O272" s="53" t="s">
        <v>211</v>
      </c>
      <c r="P272" s="53" t="str">
        <f>IFERROR(VLOOKUP(A272&amp;$K$2,ODDS!B271:$K$50000,6,0)," ")</f>
        <v xml:space="preserve"> </v>
      </c>
      <c r="Q272" s="39" t="str">
        <f>IFERROR(VLOOKUP(A272&amp;$K$2,ODDS!B271:$K$50000,4,0)," ")</f>
        <v xml:space="preserve"> </v>
      </c>
      <c r="R272" s="53" t="str">
        <f t="shared" si="12"/>
        <v xml:space="preserve"> </v>
      </c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23" t="s">
        <v>217</v>
      </c>
    </row>
    <row r="273" spans="2:31" x14ac:dyDescent="0.25">
      <c r="B273" s="54" t="str">
        <f>IFERROR(VLOOKUP(A273&amp;$I$2,ODDS!A272:$K$50000,3,0)," ")</f>
        <v xml:space="preserve"> </v>
      </c>
      <c r="C273" s="53" t="str">
        <f>IFERROR(VLOOKUP(A273&amp;$I$2,ODDS!A272:$K$50000,4,0)," ")</f>
        <v xml:space="preserve"> </v>
      </c>
      <c r="D273" s="53" t="str">
        <f>IFERROR(VLOOKUP(A273&amp;$I$2,ODDS!A272:$K$50000,6,0)," ")</f>
        <v xml:space="preserve"> </v>
      </c>
      <c r="E273" s="53" t="s">
        <v>211</v>
      </c>
      <c r="F273" s="53" t="str">
        <f>IFERROR(VLOOKUP(A273&amp;$I$2,ODDS!A272:$K$50000,7,0)," ")</f>
        <v xml:space="preserve"> </v>
      </c>
      <c r="G273" s="53" t="str">
        <f>IFERROR(VLOOKUP(A273&amp;$I$2,ODDS!A272:$K$50000,5,0)," ")</f>
        <v xml:space="preserve"> </v>
      </c>
      <c r="H273" s="53" t="str">
        <f t="shared" si="11"/>
        <v xml:space="preserve"> </v>
      </c>
      <c r="I273" s="22"/>
      <c r="J273" s="22"/>
      <c r="K273" s="22"/>
      <c r="L273" s="60" t="str">
        <f>IFERROR(VLOOKUP(A273&amp;$K$2,ODDS!B272:$K$50000,2,0)," ")</f>
        <v xml:space="preserve"> </v>
      </c>
      <c r="M273" s="39" t="str">
        <f>IFERROR(VLOOKUP(A273&amp;$K$2,ODDS!B272:$K$50000,3,0)," ")</f>
        <v xml:space="preserve"> </v>
      </c>
      <c r="N273" s="53" t="str">
        <f>IFERROR(VLOOKUP(A273&amp;$K$2,ODDS!B272:$K$50000,5,0)," ")</f>
        <v xml:space="preserve"> </v>
      </c>
      <c r="O273" s="53" t="s">
        <v>211</v>
      </c>
      <c r="P273" s="53" t="str">
        <f>IFERROR(VLOOKUP(A273&amp;$K$2,ODDS!B272:$K$50000,6,0)," ")</f>
        <v xml:space="preserve"> </v>
      </c>
      <c r="Q273" s="39" t="str">
        <f>IFERROR(VLOOKUP(A273&amp;$K$2,ODDS!B272:$K$50000,4,0)," ")</f>
        <v xml:space="preserve"> </v>
      </c>
      <c r="R273" s="53" t="str">
        <f t="shared" si="12"/>
        <v xml:space="preserve"> </v>
      </c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23"/>
    </row>
    <row r="274" spans="2:31" x14ac:dyDescent="0.25">
      <c r="B274" s="54" t="str">
        <f>IFERROR(VLOOKUP(A274&amp;$I$2,ODDS!A273:$K$50000,3,0)," ")</f>
        <v xml:space="preserve"> </v>
      </c>
      <c r="C274" s="53" t="str">
        <f>IFERROR(VLOOKUP(A274&amp;$I$2,ODDS!A273:$K$50000,4,0)," ")</f>
        <v xml:space="preserve"> </v>
      </c>
      <c r="D274" s="53" t="str">
        <f>IFERROR(VLOOKUP(A274&amp;$I$2,ODDS!A273:$K$50000,6,0)," ")</f>
        <v xml:space="preserve"> </v>
      </c>
      <c r="E274" s="53" t="s">
        <v>211</v>
      </c>
      <c r="F274" s="53" t="str">
        <f>IFERROR(VLOOKUP(A274&amp;$I$2,ODDS!A273:$K$50000,7,0)," ")</f>
        <v xml:space="preserve"> </v>
      </c>
      <c r="G274" s="53" t="str">
        <f>IFERROR(VLOOKUP(A274&amp;$I$2,ODDS!A273:$K$50000,5,0)," ")</f>
        <v xml:space="preserve"> </v>
      </c>
      <c r="H274" s="53" t="str">
        <f t="shared" si="11"/>
        <v xml:space="preserve"> </v>
      </c>
      <c r="I274" s="22"/>
      <c r="J274" s="22"/>
      <c r="K274" s="22"/>
      <c r="L274" s="60" t="str">
        <f>IFERROR(VLOOKUP(A274&amp;$K$2,ODDS!B273:$K$50000,2,0)," ")</f>
        <v xml:space="preserve"> </v>
      </c>
      <c r="M274" s="39" t="str">
        <f>IFERROR(VLOOKUP(A274&amp;$K$2,ODDS!B273:$K$50000,3,0)," ")</f>
        <v xml:space="preserve"> </v>
      </c>
      <c r="N274" s="53" t="str">
        <f>IFERROR(VLOOKUP(A274&amp;$K$2,ODDS!B273:$K$50000,5,0)," ")</f>
        <v xml:space="preserve"> </v>
      </c>
      <c r="O274" s="53" t="s">
        <v>211</v>
      </c>
      <c r="P274" s="53" t="str">
        <f>IFERROR(VLOOKUP(A274&amp;$K$2,ODDS!B273:$K$50000,6,0)," ")</f>
        <v xml:space="preserve"> </v>
      </c>
      <c r="Q274" s="39" t="str">
        <f>IFERROR(VLOOKUP(A274&amp;$K$2,ODDS!B273:$K$50000,4,0)," ")</f>
        <v xml:space="preserve"> </v>
      </c>
      <c r="R274" s="53" t="str">
        <f t="shared" si="12"/>
        <v xml:space="preserve"> </v>
      </c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E274" s="23" t="s">
        <v>217</v>
      </c>
    </row>
    <row r="275" spans="2:31" x14ac:dyDescent="0.25">
      <c r="B275" s="54" t="str">
        <f>IFERROR(VLOOKUP(A275&amp;$I$2,ODDS!A274:$K$50000,3,0)," ")</f>
        <v xml:space="preserve"> </v>
      </c>
      <c r="C275" s="53" t="str">
        <f>IFERROR(VLOOKUP(A275&amp;$I$2,ODDS!A274:$K$50000,4,0)," ")</f>
        <v xml:space="preserve"> </v>
      </c>
      <c r="D275" s="53" t="str">
        <f>IFERROR(VLOOKUP(A275&amp;$I$2,ODDS!A274:$K$50000,6,0)," ")</f>
        <v xml:space="preserve"> </v>
      </c>
      <c r="E275" s="53" t="s">
        <v>211</v>
      </c>
      <c r="F275" s="53" t="str">
        <f>IFERROR(VLOOKUP(A275&amp;$I$2,ODDS!A274:$K$50000,7,0)," ")</f>
        <v xml:space="preserve"> </v>
      </c>
      <c r="G275" s="53" t="str">
        <f>IFERROR(VLOOKUP(A275&amp;$I$2,ODDS!A274:$K$50000,5,0)," ")</f>
        <v xml:space="preserve"> </v>
      </c>
      <c r="H275" s="53" t="str">
        <f t="shared" si="11"/>
        <v xml:space="preserve"> </v>
      </c>
      <c r="I275" s="22"/>
      <c r="J275" s="22"/>
      <c r="K275" s="22"/>
      <c r="L275" s="60" t="str">
        <f>IFERROR(VLOOKUP(A275&amp;$K$2,ODDS!B274:$K$50000,2,0)," ")</f>
        <v xml:space="preserve"> </v>
      </c>
      <c r="M275" s="39" t="str">
        <f>IFERROR(VLOOKUP(A275&amp;$K$2,ODDS!B274:$K$50000,3,0)," ")</f>
        <v xml:space="preserve"> </v>
      </c>
      <c r="N275" s="53" t="str">
        <f>IFERROR(VLOOKUP(A275&amp;$K$2,ODDS!B274:$K$50000,5,0)," ")</f>
        <v xml:space="preserve"> </v>
      </c>
      <c r="O275" s="53" t="s">
        <v>211</v>
      </c>
      <c r="P275" s="53" t="str">
        <f>IFERROR(VLOOKUP(A275&amp;$K$2,ODDS!B274:$K$50000,6,0)," ")</f>
        <v xml:space="preserve"> </v>
      </c>
      <c r="Q275" s="39" t="str">
        <f>IFERROR(VLOOKUP(A275&amp;$K$2,ODDS!B274:$K$50000,4,0)," ")</f>
        <v xml:space="preserve"> </v>
      </c>
      <c r="R275" s="53" t="str">
        <f t="shared" si="12"/>
        <v xml:space="preserve"> </v>
      </c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E275" s="23"/>
    </row>
    <row r="276" spans="2:31" x14ac:dyDescent="0.25">
      <c r="B276" s="54" t="str">
        <f>IFERROR(VLOOKUP(A276&amp;$I$2,ODDS!A275:$K$50000,3,0)," ")</f>
        <v xml:space="preserve"> </v>
      </c>
      <c r="C276" s="53" t="str">
        <f>IFERROR(VLOOKUP(A276&amp;$I$2,ODDS!A275:$K$50000,4,0)," ")</f>
        <v xml:space="preserve"> </v>
      </c>
      <c r="D276" s="53" t="str">
        <f>IFERROR(VLOOKUP(A276&amp;$I$2,ODDS!A275:$K$50000,6,0)," ")</f>
        <v xml:space="preserve"> </v>
      </c>
      <c r="E276" s="53" t="s">
        <v>211</v>
      </c>
      <c r="F276" s="53" t="str">
        <f>IFERROR(VLOOKUP(A276&amp;$I$2,ODDS!A275:$K$50000,7,0)," ")</f>
        <v xml:space="preserve"> </v>
      </c>
      <c r="G276" s="53" t="str">
        <f>IFERROR(VLOOKUP(A276&amp;$I$2,ODDS!A275:$K$50000,5,0)," ")</f>
        <v xml:space="preserve"> </v>
      </c>
      <c r="H276" s="53" t="str">
        <f t="shared" si="11"/>
        <v xml:space="preserve"> </v>
      </c>
      <c r="I276" s="22"/>
      <c r="J276" s="22"/>
      <c r="K276" s="22"/>
      <c r="L276" s="60" t="str">
        <f>IFERROR(VLOOKUP(A276&amp;$K$2,ODDS!B275:$K$50000,2,0)," ")</f>
        <v xml:space="preserve"> </v>
      </c>
      <c r="M276" s="39" t="str">
        <f>IFERROR(VLOOKUP(A276&amp;$K$2,ODDS!B275:$K$50000,3,0)," ")</f>
        <v xml:space="preserve"> </v>
      </c>
      <c r="N276" s="53" t="str">
        <f>IFERROR(VLOOKUP(A276&amp;$K$2,ODDS!B275:$K$50000,5,0)," ")</f>
        <v xml:space="preserve"> </v>
      </c>
      <c r="O276" s="53" t="s">
        <v>211</v>
      </c>
      <c r="P276" s="53" t="str">
        <f>IFERROR(VLOOKUP(A276&amp;$K$2,ODDS!B275:$K$50000,6,0)," ")</f>
        <v xml:space="preserve"> </v>
      </c>
      <c r="Q276" s="39" t="str">
        <f>IFERROR(VLOOKUP(A276&amp;$K$2,ODDS!B275:$K$50000,4,0)," ")</f>
        <v xml:space="preserve"> </v>
      </c>
      <c r="R276" s="53" t="str">
        <f t="shared" si="12"/>
        <v xml:space="preserve"> </v>
      </c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23" t="s">
        <v>217</v>
      </c>
    </row>
    <row r="277" spans="2:31" x14ac:dyDescent="0.25">
      <c r="B277" s="54" t="str">
        <f>IFERROR(VLOOKUP(A277&amp;$I$2,ODDS!A276:$K$50000,3,0)," ")</f>
        <v xml:space="preserve"> </v>
      </c>
      <c r="C277" s="53" t="str">
        <f>IFERROR(VLOOKUP(A277&amp;$I$2,ODDS!A276:$K$50000,4,0)," ")</f>
        <v xml:space="preserve"> </v>
      </c>
      <c r="D277" s="53" t="str">
        <f>IFERROR(VLOOKUP(A277&amp;$I$2,ODDS!A276:$K$50000,6,0)," ")</f>
        <v xml:space="preserve"> </v>
      </c>
      <c r="E277" s="53" t="s">
        <v>211</v>
      </c>
      <c r="F277" s="53" t="str">
        <f>IFERROR(VLOOKUP(A277&amp;$I$2,ODDS!A276:$K$50000,7,0)," ")</f>
        <v xml:space="preserve"> </v>
      </c>
      <c r="G277" s="53" t="str">
        <f>IFERROR(VLOOKUP(A277&amp;$I$2,ODDS!A276:$K$50000,5,0)," ")</f>
        <v xml:space="preserve"> </v>
      </c>
      <c r="H277" s="53" t="str">
        <f t="shared" si="11"/>
        <v xml:space="preserve"> </v>
      </c>
      <c r="I277" s="22"/>
      <c r="J277" s="22"/>
      <c r="K277" s="22"/>
      <c r="L277" s="60" t="str">
        <f>IFERROR(VLOOKUP(A277&amp;$K$2,ODDS!B276:$K$50000,2,0)," ")</f>
        <v xml:space="preserve"> </v>
      </c>
      <c r="M277" s="39" t="str">
        <f>IFERROR(VLOOKUP(A277&amp;$K$2,ODDS!B276:$K$50000,3,0)," ")</f>
        <v xml:space="preserve"> </v>
      </c>
      <c r="N277" s="53" t="str">
        <f>IFERROR(VLOOKUP(A277&amp;$K$2,ODDS!B276:$K$50000,5,0)," ")</f>
        <v xml:space="preserve"> </v>
      </c>
      <c r="O277" s="53" t="s">
        <v>211</v>
      </c>
      <c r="P277" s="53" t="str">
        <f>IFERROR(VLOOKUP(A277&amp;$K$2,ODDS!B276:$K$50000,6,0)," ")</f>
        <v xml:space="preserve"> </v>
      </c>
      <c r="Q277" s="39" t="str">
        <f>IFERROR(VLOOKUP(A277&amp;$K$2,ODDS!B276:$K$50000,4,0)," ")</f>
        <v xml:space="preserve"> </v>
      </c>
      <c r="R277" s="53" t="str">
        <f t="shared" si="12"/>
        <v xml:space="preserve"> </v>
      </c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</row>
    <row r="278" spans="2:31" x14ac:dyDescent="0.25">
      <c r="B278" s="54" t="str">
        <f>IFERROR(VLOOKUP(A278&amp;$I$2,ODDS!A277:$K$50000,3,0)," ")</f>
        <v xml:space="preserve"> </v>
      </c>
      <c r="C278" s="53" t="str">
        <f>IFERROR(VLOOKUP(A278&amp;$I$2,ODDS!A277:$K$50000,4,0)," ")</f>
        <v xml:space="preserve"> </v>
      </c>
      <c r="D278" s="53" t="str">
        <f>IFERROR(VLOOKUP(A278&amp;$I$2,ODDS!A277:$K$50000,6,0)," ")</f>
        <v xml:space="preserve"> </v>
      </c>
      <c r="E278" s="53" t="s">
        <v>211</v>
      </c>
      <c r="F278" s="53" t="str">
        <f>IFERROR(VLOOKUP(A278&amp;$I$2,ODDS!A277:$K$50000,7,0)," ")</f>
        <v xml:space="preserve"> </v>
      </c>
      <c r="G278" s="53" t="str">
        <f>IFERROR(VLOOKUP(A278&amp;$I$2,ODDS!A277:$K$50000,5,0)," ")</f>
        <v xml:space="preserve"> </v>
      </c>
      <c r="H278" s="53" t="str">
        <f t="shared" si="11"/>
        <v xml:space="preserve"> </v>
      </c>
      <c r="I278" s="22"/>
      <c r="J278" s="22"/>
      <c r="K278" s="22"/>
      <c r="L278" s="60" t="str">
        <f>IFERROR(VLOOKUP(A278&amp;$K$2,ODDS!B277:$K$50000,2,0)," ")</f>
        <v xml:space="preserve"> </v>
      </c>
      <c r="M278" s="39" t="str">
        <f>IFERROR(VLOOKUP(A278&amp;$K$2,ODDS!B277:$K$50000,3,0)," ")</f>
        <v xml:space="preserve"> </v>
      </c>
      <c r="N278" s="53" t="str">
        <f>IFERROR(VLOOKUP(A278&amp;$K$2,ODDS!B277:$K$50000,5,0)," ")</f>
        <v xml:space="preserve"> </v>
      </c>
      <c r="O278" s="53" t="s">
        <v>211</v>
      </c>
      <c r="P278" s="53" t="str">
        <f>IFERROR(VLOOKUP(A278&amp;$K$2,ODDS!B277:$K$50000,6,0)," ")</f>
        <v xml:space="preserve"> </v>
      </c>
      <c r="Q278" s="39" t="str">
        <f>IFERROR(VLOOKUP(A278&amp;$K$2,ODDS!B277:$K$50000,4,0)," ")</f>
        <v xml:space="preserve"> </v>
      </c>
      <c r="R278" s="53" t="str">
        <f t="shared" si="12"/>
        <v xml:space="preserve"> </v>
      </c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23" t="s">
        <v>217</v>
      </c>
    </row>
    <row r="279" spans="2:31" x14ac:dyDescent="0.25">
      <c r="B279" s="54" t="str">
        <f>IFERROR(VLOOKUP(A279&amp;$I$2,ODDS!A278:$K$50000,3,0)," ")</f>
        <v xml:space="preserve"> </v>
      </c>
      <c r="C279" s="53" t="str">
        <f>IFERROR(VLOOKUP(A279&amp;$I$2,ODDS!A278:$K$50000,4,0)," ")</f>
        <v xml:space="preserve"> </v>
      </c>
      <c r="D279" s="53" t="str">
        <f>IFERROR(VLOOKUP(A279&amp;$I$2,ODDS!A278:$K$50000,6,0)," ")</f>
        <v xml:space="preserve"> </v>
      </c>
      <c r="E279" s="53" t="s">
        <v>211</v>
      </c>
      <c r="F279" s="53" t="str">
        <f>IFERROR(VLOOKUP(A279&amp;$I$2,ODDS!A278:$K$50000,7,0)," ")</f>
        <v xml:space="preserve"> </v>
      </c>
      <c r="G279" s="53" t="str">
        <f>IFERROR(VLOOKUP(A279&amp;$I$2,ODDS!A278:$K$50000,5,0)," ")</f>
        <v xml:space="preserve"> </v>
      </c>
      <c r="H279" s="53" t="str">
        <f t="shared" si="11"/>
        <v xml:space="preserve"> </v>
      </c>
      <c r="I279" s="22"/>
      <c r="J279" s="22"/>
      <c r="K279" s="22"/>
      <c r="L279" s="60" t="str">
        <f>IFERROR(VLOOKUP(A279&amp;$K$2,ODDS!B278:$K$50000,2,0)," ")</f>
        <v xml:space="preserve"> </v>
      </c>
      <c r="M279" s="39" t="str">
        <f>IFERROR(VLOOKUP(A279&amp;$K$2,ODDS!B278:$K$50000,3,0)," ")</f>
        <v xml:space="preserve"> </v>
      </c>
      <c r="N279" s="53" t="str">
        <f>IFERROR(VLOOKUP(A279&amp;$K$2,ODDS!B278:$K$50000,5,0)," ")</f>
        <v xml:space="preserve"> </v>
      </c>
      <c r="O279" s="53" t="s">
        <v>211</v>
      </c>
      <c r="P279" s="53" t="str">
        <f>IFERROR(VLOOKUP(A279&amp;$K$2,ODDS!B278:$K$50000,6,0)," ")</f>
        <v xml:space="preserve"> </v>
      </c>
      <c r="Q279" s="39" t="str">
        <f>IFERROR(VLOOKUP(A279&amp;$K$2,ODDS!B278:$K$50000,4,0)," ")</f>
        <v xml:space="preserve"> </v>
      </c>
      <c r="R279" s="53" t="str">
        <f t="shared" si="12"/>
        <v xml:space="preserve"> </v>
      </c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23"/>
    </row>
    <row r="280" spans="2:31" x14ac:dyDescent="0.25">
      <c r="B280" s="54" t="str">
        <f>IFERROR(VLOOKUP(A280&amp;$I$2,ODDS!A279:$K$50000,3,0)," ")</f>
        <v xml:space="preserve"> </v>
      </c>
      <c r="C280" s="53" t="str">
        <f>IFERROR(VLOOKUP(A280&amp;$I$2,ODDS!A279:$K$50000,4,0)," ")</f>
        <v xml:space="preserve"> </v>
      </c>
      <c r="D280" s="53" t="str">
        <f>IFERROR(VLOOKUP(A280&amp;$I$2,ODDS!A279:$K$50000,6,0)," ")</f>
        <v xml:space="preserve"> </v>
      </c>
      <c r="E280" s="53" t="s">
        <v>211</v>
      </c>
      <c r="F280" s="53" t="str">
        <f>IFERROR(VLOOKUP(A280&amp;$I$2,ODDS!A279:$K$50000,7,0)," ")</f>
        <v xml:space="preserve"> </v>
      </c>
      <c r="G280" s="53" t="str">
        <f>IFERROR(VLOOKUP(A280&amp;$I$2,ODDS!A279:$K$50000,5,0)," ")</f>
        <v xml:space="preserve"> </v>
      </c>
      <c r="H280" s="53" t="str">
        <f t="shared" si="11"/>
        <v xml:space="preserve"> </v>
      </c>
      <c r="I280" s="22"/>
      <c r="J280" s="22"/>
      <c r="K280" s="22"/>
      <c r="L280" s="60" t="str">
        <f>IFERROR(VLOOKUP(A280&amp;$K$2,ODDS!B279:$K$50000,2,0)," ")</f>
        <v xml:space="preserve"> </v>
      </c>
      <c r="M280" s="39" t="str">
        <f>IFERROR(VLOOKUP(A280&amp;$K$2,ODDS!B279:$K$50000,3,0)," ")</f>
        <v xml:space="preserve"> </v>
      </c>
      <c r="N280" s="53" t="str">
        <f>IFERROR(VLOOKUP(A280&amp;$K$2,ODDS!B279:$K$50000,5,0)," ")</f>
        <v xml:space="preserve"> </v>
      </c>
      <c r="O280" s="53" t="s">
        <v>211</v>
      </c>
      <c r="P280" s="53" t="str">
        <f>IFERROR(VLOOKUP(A280&amp;$K$2,ODDS!B279:$K$50000,6,0)," ")</f>
        <v xml:space="preserve"> </v>
      </c>
      <c r="Q280" s="39" t="str">
        <f>IFERROR(VLOOKUP(A280&amp;$K$2,ODDS!B279:$K$50000,4,0)," ")</f>
        <v xml:space="preserve"> </v>
      </c>
      <c r="R280" s="53" t="str">
        <f t="shared" si="12"/>
        <v xml:space="preserve"> </v>
      </c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 t="s">
        <v>217</v>
      </c>
    </row>
    <row r="281" spans="2:31" x14ac:dyDescent="0.25">
      <c r="B281" s="54" t="str">
        <f>IFERROR(VLOOKUP(A281&amp;$I$2,ODDS!A280:$K$50000,3,0)," ")</f>
        <v xml:space="preserve"> </v>
      </c>
      <c r="C281" s="53" t="str">
        <f>IFERROR(VLOOKUP(A281&amp;$I$2,ODDS!A280:$K$50000,4,0)," ")</f>
        <v xml:space="preserve"> </v>
      </c>
      <c r="D281" s="53" t="str">
        <f>IFERROR(VLOOKUP(A281&amp;$I$2,ODDS!A280:$K$50000,6,0)," ")</f>
        <v xml:space="preserve"> </v>
      </c>
      <c r="E281" s="53" t="s">
        <v>211</v>
      </c>
      <c r="F281" s="53" t="str">
        <f>IFERROR(VLOOKUP(A281&amp;$I$2,ODDS!A280:$K$50000,7,0)," ")</f>
        <v xml:space="preserve"> </v>
      </c>
      <c r="G281" s="53" t="str">
        <f>IFERROR(VLOOKUP(A281&amp;$I$2,ODDS!A280:$K$50000,5,0)," ")</f>
        <v xml:space="preserve"> </v>
      </c>
      <c r="H281" s="53" t="str">
        <f t="shared" si="11"/>
        <v xml:space="preserve"> </v>
      </c>
      <c r="I281" s="22"/>
      <c r="J281" s="22"/>
      <c r="K281" s="22"/>
      <c r="L281" s="60" t="str">
        <f>IFERROR(VLOOKUP(A281&amp;$K$2,ODDS!B280:$K$50000,2,0)," ")</f>
        <v xml:space="preserve"> </v>
      </c>
      <c r="M281" s="39" t="str">
        <f>IFERROR(VLOOKUP(A281&amp;$K$2,ODDS!B280:$K$50000,3,0)," ")</f>
        <v xml:space="preserve"> </v>
      </c>
      <c r="N281" s="53" t="str">
        <f>IFERROR(VLOOKUP(A281&amp;$K$2,ODDS!B280:$K$50000,5,0)," ")</f>
        <v xml:space="preserve"> </v>
      </c>
      <c r="O281" s="53" t="s">
        <v>211</v>
      </c>
      <c r="P281" s="53" t="str">
        <f>IFERROR(VLOOKUP(A281&amp;$K$2,ODDS!B280:$K$50000,6,0)," ")</f>
        <v xml:space="preserve"> </v>
      </c>
      <c r="Q281" s="39" t="str">
        <f>IFERROR(VLOOKUP(A281&amp;$K$2,ODDS!B280:$K$50000,4,0)," ")</f>
        <v xml:space="preserve"> </v>
      </c>
      <c r="R281" s="53" t="str">
        <f t="shared" si="12"/>
        <v xml:space="preserve"> </v>
      </c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23"/>
    </row>
    <row r="282" spans="2:31" x14ac:dyDescent="0.25">
      <c r="B282" s="54" t="str">
        <f>IFERROR(VLOOKUP(A282&amp;$I$2,ODDS!A281:$K$50000,3,0)," ")</f>
        <v xml:space="preserve"> </v>
      </c>
      <c r="C282" s="53" t="str">
        <f>IFERROR(VLOOKUP(A282&amp;$I$2,ODDS!A281:$K$50000,4,0)," ")</f>
        <v xml:space="preserve"> </v>
      </c>
      <c r="D282" s="53" t="str">
        <f>IFERROR(VLOOKUP(A282&amp;$I$2,ODDS!A281:$K$50000,6,0)," ")</f>
        <v xml:space="preserve"> </v>
      </c>
      <c r="E282" s="53" t="s">
        <v>211</v>
      </c>
      <c r="F282" s="53" t="str">
        <f>IFERROR(VLOOKUP(A282&amp;$I$2,ODDS!A281:$K$50000,7,0)," ")</f>
        <v xml:space="preserve"> </v>
      </c>
      <c r="G282" s="53" t="str">
        <f>IFERROR(VLOOKUP(A282&amp;$I$2,ODDS!A281:$K$50000,5,0)," ")</f>
        <v xml:space="preserve"> </v>
      </c>
      <c r="H282" s="53" t="str">
        <f t="shared" si="11"/>
        <v xml:space="preserve"> </v>
      </c>
      <c r="I282" s="22"/>
      <c r="J282" s="22"/>
      <c r="K282" s="22"/>
      <c r="L282" s="60" t="str">
        <f>IFERROR(VLOOKUP(A282&amp;$K$2,ODDS!B281:$K$50000,2,0)," ")</f>
        <v xml:space="preserve"> </v>
      </c>
      <c r="M282" s="39" t="str">
        <f>IFERROR(VLOOKUP(A282&amp;$K$2,ODDS!B281:$K$50000,3,0)," ")</f>
        <v xml:space="preserve"> </v>
      </c>
      <c r="N282" s="53" t="str">
        <f>IFERROR(VLOOKUP(A282&amp;$K$2,ODDS!B281:$K$50000,5,0)," ")</f>
        <v xml:space="preserve"> </v>
      </c>
      <c r="O282" s="53" t="s">
        <v>211</v>
      </c>
      <c r="P282" s="53" t="str">
        <f>IFERROR(VLOOKUP(A282&amp;$K$2,ODDS!B281:$K$50000,6,0)," ")</f>
        <v xml:space="preserve"> </v>
      </c>
      <c r="Q282" s="39" t="str">
        <f>IFERROR(VLOOKUP(A282&amp;$K$2,ODDS!B281:$K$50000,4,0)," ")</f>
        <v xml:space="preserve"> </v>
      </c>
      <c r="R282" s="53" t="str">
        <f t="shared" si="12"/>
        <v xml:space="preserve"> </v>
      </c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E282" s="23" t="s">
        <v>217</v>
      </c>
    </row>
    <row r="283" spans="2:31" x14ac:dyDescent="0.25">
      <c r="B283" s="54" t="str">
        <f>IFERROR(VLOOKUP(A283&amp;$I$2,ODDS!A282:$K$50000,3,0)," ")</f>
        <v xml:space="preserve"> </v>
      </c>
      <c r="C283" s="53" t="str">
        <f>IFERROR(VLOOKUP(A283&amp;$I$2,ODDS!A282:$K$50000,4,0)," ")</f>
        <v xml:space="preserve"> </v>
      </c>
      <c r="D283" s="53" t="str">
        <f>IFERROR(VLOOKUP(A283&amp;$I$2,ODDS!A282:$K$50000,6,0)," ")</f>
        <v xml:space="preserve"> </v>
      </c>
      <c r="E283" s="53" t="s">
        <v>211</v>
      </c>
      <c r="F283" s="53" t="str">
        <f>IFERROR(VLOOKUP(A283&amp;$I$2,ODDS!A282:$K$50000,7,0)," ")</f>
        <v xml:space="preserve"> </v>
      </c>
      <c r="G283" s="53" t="str">
        <f>IFERROR(VLOOKUP(A283&amp;$I$2,ODDS!A282:$K$50000,5,0)," ")</f>
        <v xml:space="preserve"> </v>
      </c>
      <c r="H283" s="53" t="str">
        <f t="shared" si="11"/>
        <v xml:space="preserve"> </v>
      </c>
      <c r="I283" s="22"/>
      <c r="J283" s="22"/>
      <c r="K283" s="22"/>
      <c r="L283" s="60" t="str">
        <f>IFERROR(VLOOKUP(A283&amp;$K$2,ODDS!B282:$K$50000,2,0)," ")</f>
        <v xml:space="preserve"> </v>
      </c>
      <c r="M283" s="39" t="str">
        <f>IFERROR(VLOOKUP(A283&amp;$K$2,ODDS!B282:$K$50000,3,0)," ")</f>
        <v xml:space="preserve"> </v>
      </c>
      <c r="N283" s="53" t="str">
        <f>IFERROR(VLOOKUP(A283&amp;$K$2,ODDS!B282:$K$50000,5,0)," ")</f>
        <v xml:space="preserve"> </v>
      </c>
      <c r="O283" s="53" t="s">
        <v>211</v>
      </c>
      <c r="P283" s="53" t="str">
        <f>IFERROR(VLOOKUP(A283&amp;$K$2,ODDS!B282:$K$50000,6,0)," ")</f>
        <v xml:space="preserve"> </v>
      </c>
      <c r="Q283" s="39" t="str">
        <f>IFERROR(VLOOKUP(A283&amp;$K$2,ODDS!B282:$K$50000,4,0)," ")</f>
        <v xml:space="preserve"> </v>
      </c>
      <c r="R283" s="53" t="str">
        <f t="shared" si="12"/>
        <v xml:space="preserve"> </v>
      </c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E283" s="23"/>
    </row>
    <row r="284" spans="2:31" x14ac:dyDescent="0.25">
      <c r="B284" s="54" t="str">
        <f>IFERROR(VLOOKUP(A284&amp;$I$2,ODDS!A283:$K$50000,3,0)," ")</f>
        <v xml:space="preserve"> </v>
      </c>
      <c r="C284" s="53" t="str">
        <f>IFERROR(VLOOKUP(A284&amp;$I$2,ODDS!A283:$K$50000,4,0)," ")</f>
        <v xml:space="preserve"> </v>
      </c>
      <c r="D284" s="53" t="str">
        <f>IFERROR(VLOOKUP(A284&amp;$I$2,ODDS!A283:$K$50000,6,0)," ")</f>
        <v xml:space="preserve"> </v>
      </c>
      <c r="E284" s="53" t="s">
        <v>211</v>
      </c>
      <c r="F284" s="53" t="str">
        <f>IFERROR(VLOOKUP(A284&amp;$I$2,ODDS!A283:$K$50000,7,0)," ")</f>
        <v xml:space="preserve"> </v>
      </c>
      <c r="G284" s="53" t="str">
        <f>IFERROR(VLOOKUP(A284&amp;$I$2,ODDS!A283:$K$50000,5,0)," ")</f>
        <v xml:space="preserve"> </v>
      </c>
      <c r="H284" s="53" t="str">
        <f t="shared" si="11"/>
        <v xml:space="preserve"> </v>
      </c>
      <c r="I284" s="22"/>
      <c r="J284" s="22"/>
      <c r="K284" s="22"/>
      <c r="L284" s="60" t="str">
        <f>IFERROR(VLOOKUP(A284&amp;$K$2,ODDS!B283:$K$50000,2,0)," ")</f>
        <v xml:space="preserve"> </v>
      </c>
      <c r="M284" s="39" t="str">
        <f>IFERROR(VLOOKUP(A284&amp;$K$2,ODDS!B283:$K$50000,3,0)," ")</f>
        <v xml:space="preserve"> </v>
      </c>
      <c r="N284" s="53" t="str">
        <f>IFERROR(VLOOKUP(A284&amp;$K$2,ODDS!B283:$K$50000,5,0)," ")</f>
        <v xml:space="preserve"> </v>
      </c>
      <c r="O284" s="53" t="s">
        <v>211</v>
      </c>
      <c r="P284" s="53" t="str">
        <f>IFERROR(VLOOKUP(A284&amp;$K$2,ODDS!B283:$K$50000,6,0)," ")</f>
        <v xml:space="preserve"> </v>
      </c>
      <c r="Q284" s="39" t="str">
        <f>IFERROR(VLOOKUP(A284&amp;$K$2,ODDS!B283:$K$50000,4,0)," ")</f>
        <v xml:space="preserve"> </v>
      </c>
      <c r="R284" s="53" t="str">
        <f t="shared" si="12"/>
        <v xml:space="preserve"> </v>
      </c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3" t="s">
        <v>217</v>
      </c>
    </row>
    <row r="285" spans="2:31" x14ac:dyDescent="0.25">
      <c r="B285" s="54" t="str">
        <f>IFERROR(VLOOKUP(A285&amp;$I$2,ODDS!A284:$K$50000,3,0)," ")</f>
        <v xml:space="preserve"> </v>
      </c>
      <c r="C285" s="53" t="str">
        <f>IFERROR(VLOOKUP(A285&amp;$I$2,ODDS!A284:$K$50000,4,0)," ")</f>
        <v xml:space="preserve"> </v>
      </c>
      <c r="D285" s="53" t="str">
        <f>IFERROR(VLOOKUP(A285&amp;$I$2,ODDS!A284:$K$50000,6,0)," ")</f>
        <v xml:space="preserve"> </v>
      </c>
      <c r="E285" s="53" t="s">
        <v>211</v>
      </c>
      <c r="F285" s="53" t="str">
        <f>IFERROR(VLOOKUP(A285&amp;$I$2,ODDS!A284:$K$50000,7,0)," ")</f>
        <v xml:space="preserve"> </v>
      </c>
      <c r="G285" s="53" t="str">
        <f>IFERROR(VLOOKUP(A285&amp;$I$2,ODDS!A284:$K$50000,5,0)," ")</f>
        <v xml:space="preserve"> </v>
      </c>
      <c r="H285" s="53" t="str">
        <f t="shared" si="11"/>
        <v xml:space="preserve"> </v>
      </c>
      <c r="I285" s="22"/>
      <c r="J285" s="22"/>
      <c r="K285" s="22"/>
      <c r="L285" s="60" t="str">
        <f>IFERROR(VLOOKUP(A285&amp;$K$2,ODDS!B284:$K$50000,2,0)," ")</f>
        <v xml:space="preserve"> </v>
      </c>
      <c r="M285" s="39" t="str">
        <f>IFERROR(VLOOKUP(A285&amp;$K$2,ODDS!B284:$K$50000,3,0)," ")</f>
        <v xml:space="preserve"> </v>
      </c>
      <c r="N285" s="53" t="str">
        <f>IFERROR(VLOOKUP(A285&amp;$K$2,ODDS!B284:$K$50000,5,0)," ")</f>
        <v xml:space="preserve"> </v>
      </c>
      <c r="O285" s="53" t="s">
        <v>211</v>
      </c>
      <c r="P285" s="53" t="str">
        <f>IFERROR(VLOOKUP(A285&amp;$K$2,ODDS!B284:$K$50000,6,0)," ")</f>
        <v xml:space="preserve"> </v>
      </c>
      <c r="Q285" s="39" t="str">
        <f>IFERROR(VLOOKUP(A285&amp;$K$2,ODDS!B284:$K$50000,4,0)," ")</f>
        <v xml:space="preserve"> </v>
      </c>
      <c r="R285" s="53" t="str">
        <f t="shared" si="12"/>
        <v xml:space="preserve"> </v>
      </c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E285" s="23"/>
    </row>
    <row r="286" spans="2:31" x14ac:dyDescent="0.25">
      <c r="B286" s="54" t="str">
        <f>IFERROR(VLOOKUP(A286&amp;$I$2,ODDS!A285:$K$50000,3,0)," ")</f>
        <v xml:space="preserve"> </v>
      </c>
      <c r="C286" s="53" t="str">
        <f>IFERROR(VLOOKUP(A286&amp;$I$2,ODDS!A285:$K$50000,4,0)," ")</f>
        <v xml:space="preserve"> </v>
      </c>
      <c r="D286" s="53" t="str">
        <f>IFERROR(VLOOKUP(A286&amp;$I$2,ODDS!A285:$K$50000,6,0)," ")</f>
        <v xml:space="preserve"> </v>
      </c>
      <c r="E286" s="53" t="s">
        <v>211</v>
      </c>
      <c r="F286" s="53" t="str">
        <f>IFERROR(VLOOKUP(A286&amp;$I$2,ODDS!A285:$K$50000,7,0)," ")</f>
        <v xml:space="preserve"> </v>
      </c>
      <c r="G286" s="53" t="str">
        <f>IFERROR(VLOOKUP(A286&amp;$I$2,ODDS!A285:$K$50000,5,0)," ")</f>
        <v xml:space="preserve"> </v>
      </c>
      <c r="H286" s="53" t="str">
        <f t="shared" si="11"/>
        <v xml:space="preserve"> </v>
      </c>
      <c r="I286" s="22"/>
      <c r="J286" s="22"/>
      <c r="K286" s="22"/>
      <c r="L286" s="60" t="str">
        <f>IFERROR(VLOOKUP(A286&amp;$K$2,ODDS!B285:$K$50000,2,0)," ")</f>
        <v xml:space="preserve"> </v>
      </c>
      <c r="M286" s="39" t="str">
        <f>IFERROR(VLOOKUP(A286&amp;$K$2,ODDS!B285:$K$50000,3,0)," ")</f>
        <v xml:space="preserve"> </v>
      </c>
      <c r="N286" s="53" t="str">
        <f>IFERROR(VLOOKUP(A286&amp;$K$2,ODDS!B285:$K$50000,5,0)," ")</f>
        <v xml:space="preserve"> </v>
      </c>
      <c r="O286" s="53" t="s">
        <v>211</v>
      </c>
      <c r="P286" s="53" t="str">
        <f>IFERROR(VLOOKUP(A286&amp;$K$2,ODDS!B285:$K$50000,6,0)," ")</f>
        <v xml:space="preserve"> </v>
      </c>
      <c r="Q286" s="39" t="str">
        <f>IFERROR(VLOOKUP(A286&amp;$K$2,ODDS!B285:$K$50000,4,0)," ")</f>
        <v xml:space="preserve"> </v>
      </c>
      <c r="R286" s="53" t="str">
        <f t="shared" si="12"/>
        <v xml:space="preserve"> </v>
      </c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E286" s="23" t="s">
        <v>217</v>
      </c>
    </row>
    <row r="287" spans="2:31" x14ac:dyDescent="0.25">
      <c r="B287" s="54" t="str">
        <f>IFERROR(VLOOKUP(A287&amp;$I$2,ODDS!A286:$K$50000,3,0)," ")</f>
        <v xml:space="preserve"> </v>
      </c>
      <c r="C287" s="53" t="str">
        <f>IFERROR(VLOOKUP(A287&amp;$I$2,ODDS!A286:$K$50000,4,0)," ")</f>
        <v xml:space="preserve"> </v>
      </c>
      <c r="D287" s="53" t="str">
        <f>IFERROR(VLOOKUP(A287&amp;$I$2,ODDS!A286:$K$50000,6,0)," ")</f>
        <v xml:space="preserve"> </v>
      </c>
      <c r="E287" s="53" t="s">
        <v>211</v>
      </c>
      <c r="F287" s="53" t="str">
        <f>IFERROR(VLOOKUP(A287&amp;$I$2,ODDS!A286:$K$50000,7,0)," ")</f>
        <v xml:space="preserve"> </v>
      </c>
      <c r="G287" s="53" t="str">
        <f>IFERROR(VLOOKUP(A287&amp;$I$2,ODDS!A286:$K$50000,5,0)," ")</f>
        <v xml:space="preserve"> </v>
      </c>
      <c r="H287" s="53" t="str">
        <f t="shared" si="11"/>
        <v xml:space="preserve"> </v>
      </c>
      <c r="I287" s="22"/>
      <c r="J287" s="22"/>
      <c r="K287" s="22"/>
      <c r="L287" s="60" t="str">
        <f>IFERROR(VLOOKUP(A287&amp;$K$2,ODDS!B286:$K$50000,2,0)," ")</f>
        <v xml:space="preserve"> </v>
      </c>
      <c r="M287" s="39" t="str">
        <f>IFERROR(VLOOKUP(A287&amp;$K$2,ODDS!B286:$K$50000,3,0)," ")</f>
        <v xml:space="preserve"> </v>
      </c>
      <c r="N287" s="53" t="str">
        <f>IFERROR(VLOOKUP(A287&amp;$K$2,ODDS!B286:$K$50000,5,0)," ")</f>
        <v xml:space="preserve"> </v>
      </c>
      <c r="O287" s="53" t="s">
        <v>211</v>
      </c>
      <c r="P287" s="53" t="str">
        <f>IFERROR(VLOOKUP(A287&amp;$K$2,ODDS!B286:$K$50000,6,0)," ")</f>
        <v xml:space="preserve"> </v>
      </c>
      <c r="Q287" s="39" t="str">
        <f>IFERROR(VLOOKUP(A287&amp;$K$2,ODDS!B286:$K$50000,4,0)," ")</f>
        <v xml:space="preserve"> </v>
      </c>
      <c r="R287" s="53" t="str">
        <f t="shared" si="12"/>
        <v xml:space="preserve"> </v>
      </c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E287" s="23"/>
    </row>
    <row r="288" spans="2:31" x14ac:dyDescent="0.25">
      <c r="B288" s="54" t="str">
        <f>IFERROR(VLOOKUP(A288&amp;$I$2,ODDS!A287:$K$50000,3,0)," ")</f>
        <v xml:space="preserve"> </v>
      </c>
      <c r="C288" s="53" t="str">
        <f>IFERROR(VLOOKUP(A288&amp;$I$2,ODDS!A287:$K$50000,4,0)," ")</f>
        <v xml:space="preserve"> </v>
      </c>
      <c r="D288" s="53" t="str">
        <f>IFERROR(VLOOKUP(A288&amp;$I$2,ODDS!A287:$K$50000,6,0)," ")</f>
        <v xml:space="preserve"> </v>
      </c>
      <c r="E288" s="53" t="s">
        <v>211</v>
      </c>
      <c r="F288" s="53" t="str">
        <f>IFERROR(VLOOKUP(A288&amp;$I$2,ODDS!A287:$K$50000,7,0)," ")</f>
        <v xml:space="preserve"> </v>
      </c>
      <c r="G288" s="53" t="str">
        <f>IFERROR(VLOOKUP(A288&amp;$I$2,ODDS!A287:$K$50000,5,0)," ")</f>
        <v xml:space="preserve"> </v>
      </c>
      <c r="H288" s="53" t="str">
        <f t="shared" si="11"/>
        <v xml:space="preserve"> </v>
      </c>
      <c r="I288" s="22"/>
      <c r="J288" s="22"/>
      <c r="K288" s="22"/>
      <c r="L288" s="60" t="str">
        <f>IFERROR(VLOOKUP(A288&amp;$K$2,ODDS!B287:$K$50000,2,0)," ")</f>
        <v xml:space="preserve"> </v>
      </c>
      <c r="M288" s="39" t="str">
        <f>IFERROR(VLOOKUP(A288&amp;$K$2,ODDS!B287:$K$50000,3,0)," ")</f>
        <v xml:space="preserve"> </v>
      </c>
      <c r="N288" s="53" t="str">
        <f>IFERROR(VLOOKUP(A288&amp;$K$2,ODDS!B287:$K$50000,5,0)," ")</f>
        <v xml:space="preserve"> </v>
      </c>
      <c r="O288" s="53" t="s">
        <v>211</v>
      </c>
      <c r="P288" s="53" t="str">
        <f>IFERROR(VLOOKUP(A288&amp;$K$2,ODDS!B287:$K$50000,6,0)," ")</f>
        <v xml:space="preserve"> </v>
      </c>
      <c r="Q288" s="39" t="str">
        <f>IFERROR(VLOOKUP(A288&amp;$K$2,ODDS!B287:$K$50000,4,0)," ")</f>
        <v xml:space="preserve"> </v>
      </c>
      <c r="R288" s="53" t="str">
        <f t="shared" si="12"/>
        <v xml:space="preserve"> </v>
      </c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 t="s">
        <v>217</v>
      </c>
    </row>
    <row r="289" spans="2:31" x14ac:dyDescent="0.25">
      <c r="B289" s="54" t="str">
        <f>IFERROR(VLOOKUP(A289&amp;$I$2,ODDS!A288:$K$50000,3,0)," ")</f>
        <v xml:space="preserve"> </v>
      </c>
      <c r="C289" s="53" t="str">
        <f>IFERROR(VLOOKUP(A289&amp;$I$2,ODDS!A288:$K$50000,4,0)," ")</f>
        <v xml:space="preserve"> </v>
      </c>
      <c r="D289" s="53" t="str">
        <f>IFERROR(VLOOKUP(A289&amp;$I$2,ODDS!A288:$K$50000,6,0)," ")</f>
        <v xml:space="preserve"> </v>
      </c>
      <c r="E289" s="53" t="s">
        <v>211</v>
      </c>
      <c r="F289" s="53" t="str">
        <f>IFERROR(VLOOKUP(A289&amp;$I$2,ODDS!A288:$K$50000,7,0)," ")</f>
        <v xml:space="preserve"> </v>
      </c>
      <c r="G289" s="53" t="str">
        <f>IFERROR(VLOOKUP(A289&amp;$I$2,ODDS!A288:$K$50000,5,0)," ")</f>
        <v xml:space="preserve"> </v>
      </c>
      <c r="H289" s="53" t="str">
        <f t="shared" si="11"/>
        <v xml:space="preserve"> </v>
      </c>
      <c r="I289" s="22"/>
      <c r="J289" s="22"/>
      <c r="K289" s="22"/>
      <c r="L289" s="60" t="str">
        <f>IFERROR(VLOOKUP(A289&amp;$K$2,ODDS!B288:$K$50000,2,0)," ")</f>
        <v xml:space="preserve"> </v>
      </c>
      <c r="M289" s="39" t="str">
        <f>IFERROR(VLOOKUP(A289&amp;$K$2,ODDS!B288:$K$50000,3,0)," ")</f>
        <v xml:space="preserve"> </v>
      </c>
      <c r="N289" s="53" t="str">
        <f>IFERROR(VLOOKUP(A289&amp;$K$2,ODDS!B288:$K$50000,5,0)," ")</f>
        <v xml:space="preserve"> </v>
      </c>
      <c r="O289" s="53" t="s">
        <v>211</v>
      </c>
      <c r="P289" s="53" t="str">
        <f>IFERROR(VLOOKUP(A289&amp;$K$2,ODDS!B288:$K$50000,6,0)," ")</f>
        <v xml:space="preserve"> </v>
      </c>
      <c r="Q289" s="39" t="str">
        <f>IFERROR(VLOOKUP(A289&amp;$K$2,ODDS!B288:$K$50000,4,0)," ")</f>
        <v xml:space="preserve"> </v>
      </c>
      <c r="R289" s="53" t="str">
        <f t="shared" si="12"/>
        <v xml:space="preserve"> </v>
      </c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E289" s="23"/>
    </row>
    <row r="290" spans="2:31" x14ac:dyDescent="0.25">
      <c r="B290" s="54" t="str">
        <f>IFERROR(VLOOKUP(A290&amp;$I$2,ODDS!A289:$K$50000,3,0)," ")</f>
        <v xml:space="preserve"> </v>
      </c>
      <c r="C290" s="53" t="str">
        <f>IFERROR(VLOOKUP(A290&amp;$I$2,ODDS!A289:$K$50000,4,0)," ")</f>
        <v xml:space="preserve"> </v>
      </c>
      <c r="D290" s="53" t="str">
        <f>IFERROR(VLOOKUP(A290&amp;$I$2,ODDS!A289:$K$50000,6,0)," ")</f>
        <v xml:space="preserve"> </v>
      </c>
      <c r="E290" s="53" t="s">
        <v>211</v>
      </c>
      <c r="F290" s="53" t="str">
        <f>IFERROR(VLOOKUP(A290&amp;$I$2,ODDS!A289:$K$50000,7,0)," ")</f>
        <v xml:space="preserve"> </v>
      </c>
      <c r="G290" s="53" t="str">
        <f>IFERROR(VLOOKUP(A290&amp;$I$2,ODDS!A289:$K$50000,5,0)," ")</f>
        <v xml:space="preserve"> </v>
      </c>
      <c r="H290" s="53" t="str">
        <f t="shared" si="11"/>
        <v xml:space="preserve"> </v>
      </c>
      <c r="I290" s="22"/>
      <c r="J290" s="22"/>
      <c r="K290" s="22"/>
      <c r="L290" s="60" t="str">
        <f>IFERROR(VLOOKUP(A290&amp;$K$2,ODDS!B289:$K$50000,2,0)," ")</f>
        <v xml:space="preserve"> </v>
      </c>
      <c r="M290" s="39" t="str">
        <f>IFERROR(VLOOKUP(A290&amp;$K$2,ODDS!B289:$K$50000,3,0)," ")</f>
        <v xml:space="preserve"> </v>
      </c>
      <c r="N290" s="53" t="str">
        <f>IFERROR(VLOOKUP(A290&amp;$K$2,ODDS!B289:$K$50000,5,0)," ")</f>
        <v xml:space="preserve"> </v>
      </c>
      <c r="O290" s="53" t="s">
        <v>211</v>
      </c>
      <c r="P290" s="53" t="str">
        <f>IFERROR(VLOOKUP(A290&amp;$K$2,ODDS!B289:$K$50000,6,0)," ")</f>
        <v xml:space="preserve"> </v>
      </c>
      <c r="Q290" s="39" t="str">
        <f>IFERROR(VLOOKUP(A290&amp;$K$2,ODDS!B289:$K$50000,4,0)," ")</f>
        <v xml:space="preserve"> </v>
      </c>
      <c r="R290" s="53" t="str">
        <f t="shared" si="12"/>
        <v xml:space="preserve"> </v>
      </c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E290" s="23" t="s">
        <v>217</v>
      </c>
    </row>
    <row r="291" spans="2:31" x14ac:dyDescent="0.25">
      <c r="B291" s="54" t="str">
        <f>IFERROR(VLOOKUP(A291&amp;$I$2,ODDS!A290:$K$50000,3,0)," ")</f>
        <v xml:space="preserve"> </v>
      </c>
      <c r="C291" s="53" t="str">
        <f>IFERROR(VLOOKUP(A291&amp;$I$2,ODDS!A290:$K$50000,4,0)," ")</f>
        <v xml:space="preserve"> </v>
      </c>
      <c r="D291" s="53" t="str">
        <f>IFERROR(VLOOKUP(A291&amp;$I$2,ODDS!A290:$K$50000,6,0)," ")</f>
        <v xml:space="preserve"> </v>
      </c>
      <c r="E291" s="53" t="s">
        <v>211</v>
      </c>
      <c r="F291" s="53" t="str">
        <f>IFERROR(VLOOKUP(A291&amp;$I$2,ODDS!A290:$K$50000,7,0)," ")</f>
        <v xml:space="preserve"> </v>
      </c>
      <c r="G291" s="53" t="str">
        <f>IFERROR(VLOOKUP(A291&amp;$I$2,ODDS!A290:$K$50000,5,0)," ")</f>
        <v xml:space="preserve"> </v>
      </c>
      <c r="H291" s="53" t="str">
        <f t="shared" si="11"/>
        <v xml:space="preserve"> </v>
      </c>
      <c r="I291" s="22"/>
      <c r="J291" s="22"/>
      <c r="K291" s="22"/>
      <c r="L291" s="60" t="str">
        <f>IFERROR(VLOOKUP(A291&amp;$K$2,ODDS!B290:$K$50000,2,0)," ")</f>
        <v xml:space="preserve"> </v>
      </c>
      <c r="M291" s="39" t="str">
        <f>IFERROR(VLOOKUP(A291&amp;$K$2,ODDS!B290:$K$50000,3,0)," ")</f>
        <v xml:space="preserve"> </v>
      </c>
      <c r="N291" s="53" t="str">
        <f>IFERROR(VLOOKUP(A291&amp;$K$2,ODDS!B290:$K$50000,5,0)," ")</f>
        <v xml:space="preserve"> </v>
      </c>
      <c r="O291" s="53" t="s">
        <v>211</v>
      </c>
      <c r="P291" s="53" t="str">
        <f>IFERROR(VLOOKUP(A291&amp;$K$2,ODDS!B290:$K$50000,6,0)," ")</f>
        <v xml:space="preserve"> </v>
      </c>
      <c r="Q291" s="39" t="str">
        <f>IFERROR(VLOOKUP(A291&amp;$K$2,ODDS!B290:$K$50000,4,0)," ")</f>
        <v xml:space="preserve"> </v>
      </c>
      <c r="R291" s="53" t="str">
        <f t="shared" si="12"/>
        <v xml:space="preserve"> </v>
      </c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</row>
    <row r="292" spans="2:31" x14ac:dyDescent="0.25">
      <c r="B292" s="54" t="str">
        <f>IFERROR(VLOOKUP(A292&amp;$I$2,ODDS!A291:$K$50000,3,0)," ")</f>
        <v xml:space="preserve"> </v>
      </c>
      <c r="C292" s="53" t="str">
        <f>IFERROR(VLOOKUP(A292&amp;$I$2,ODDS!A291:$K$50000,4,0)," ")</f>
        <v xml:space="preserve"> </v>
      </c>
      <c r="D292" s="53" t="str">
        <f>IFERROR(VLOOKUP(A292&amp;$I$2,ODDS!A291:$K$50000,6,0)," ")</f>
        <v xml:space="preserve"> </v>
      </c>
      <c r="E292" s="53" t="s">
        <v>211</v>
      </c>
      <c r="F292" s="53" t="str">
        <f>IFERROR(VLOOKUP(A292&amp;$I$2,ODDS!A291:$K$50000,7,0)," ")</f>
        <v xml:space="preserve"> </v>
      </c>
      <c r="G292" s="53" t="str">
        <f>IFERROR(VLOOKUP(A292&amp;$I$2,ODDS!A291:$K$50000,5,0)," ")</f>
        <v xml:space="preserve"> </v>
      </c>
      <c r="H292" s="53" t="str">
        <f t="shared" si="11"/>
        <v xml:space="preserve"> </v>
      </c>
      <c r="I292" s="22"/>
      <c r="J292" s="22"/>
      <c r="K292" s="22"/>
      <c r="L292" s="60" t="str">
        <f>IFERROR(VLOOKUP(A292&amp;$K$2,ODDS!B291:$K$50000,2,0)," ")</f>
        <v xml:space="preserve"> </v>
      </c>
      <c r="M292" s="39" t="str">
        <f>IFERROR(VLOOKUP(A292&amp;$K$2,ODDS!B291:$K$50000,3,0)," ")</f>
        <v xml:space="preserve"> </v>
      </c>
      <c r="N292" s="53" t="str">
        <f>IFERROR(VLOOKUP(A292&amp;$K$2,ODDS!B291:$K$50000,5,0)," ")</f>
        <v xml:space="preserve"> </v>
      </c>
      <c r="O292" s="53" t="s">
        <v>211</v>
      </c>
      <c r="P292" s="53" t="str">
        <f>IFERROR(VLOOKUP(A292&amp;$K$2,ODDS!B291:$K$50000,6,0)," ")</f>
        <v xml:space="preserve"> </v>
      </c>
      <c r="Q292" s="39" t="str">
        <f>IFERROR(VLOOKUP(A292&amp;$K$2,ODDS!B291:$K$50000,4,0)," ")</f>
        <v xml:space="preserve"> </v>
      </c>
      <c r="R292" s="53" t="str">
        <f t="shared" si="12"/>
        <v xml:space="preserve"> </v>
      </c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E292" s="23" t="s">
        <v>217</v>
      </c>
    </row>
    <row r="293" spans="2:31" x14ac:dyDescent="0.25">
      <c r="B293" s="54" t="str">
        <f>IFERROR(VLOOKUP(A293&amp;$I$2,ODDS!A292:$K$50000,3,0)," ")</f>
        <v xml:space="preserve"> </v>
      </c>
      <c r="C293" s="53" t="str">
        <f>IFERROR(VLOOKUP(A293&amp;$I$2,ODDS!A292:$K$50000,4,0)," ")</f>
        <v xml:space="preserve"> </v>
      </c>
      <c r="D293" s="53" t="str">
        <f>IFERROR(VLOOKUP(A293&amp;$I$2,ODDS!A292:$K$50000,6,0)," ")</f>
        <v xml:space="preserve"> </v>
      </c>
      <c r="E293" s="53" t="s">
        <v>211</v>
      </c>
      <c r="F293" s="53" t="str">
        <f>IFERROR(VLOOKUP(A293&amp;$I$2,ODDS!A292:$K$50000,7,0)," ")</f>
        <v xml:space="preserve"> </v>
      </c>
      <c r="G293" s="53" t="str">
        <f>IFERROR(VLOOKUP(A293&amp;$I$2,ODDS!A292:$K$50000,5,0)," ")</f>
        <v xml:space="preserve"> </v>
      </c>
      <c r="H293" s="53" t="str">
        <f t="shared" si="11"/>
        <v xml:space="preserve"> </v>
      </c>
      <c r="I293" s="22"/>
      <c r="J293" s="22"/>
      <c r="K293" s="22"/>
      <c r="L293" s="60" t="str">
        <f>IFERROR(VLOOKUP(A293&amp;$K$2,ODDS!B292:$K$50000,2,0)," ")</f>
        <v xml:space="preserve"> </v>
      </c>
      <c r="M293" s="39" t="str">
        <f>IFERROR(VLOOKUP(A293&amp;$K$2,ODDS!B292:$K$50000,3,0)," ")</f>
        <v xml:space="preserve"> </v>
      </c>
      <c r="N293" s="53" t="str">
        <f>IFERROR(VLOOKUP(A293&amp;$K$2,ODDS!B292:$K$50000,5,0)," ")</f>
        <v xml:space="preserve"> </v>
      </c>
      <c r="O293" s="53" t="s">
        <v>211</v>
      </c>
      <c r="P293" s="53" t="str">
        <f>IFERROR(VLOOKUP(A293&amp;$K$2,ODDS!B292:$K$50000,6,0)," ")</f>
        <v xml:space="preserve"> </v>
      </c>
      <c r="Q293" s="39" t="str">
        <f>IFERROR(VLOOKUP(A293&amp;$K$2,ODDS!B292:$K$50000,4,0)," ")</f>
        <v xml:space="preserve"> </v>
      </c>
      <c r="R293" s="53" t="str">
        <f t="shared" si="12"/>
        <v xml:space="preserve"> </v>
      </c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E293" s="23"/>
    </row>
    <row r="294" spans="2:31" x14ac:dyDescent="0.25">
      <c r="B294" s="54" t="str">
        <f>IFERROR(VLOOKUP(A294&amp;$I$2,ODDS!A293:$K$50000,3,0)," ")</f>
        <v xml:space="preserve"> </v>
      </c>
      <c r="C294" s="53" t="str">
        <f>IFERROR(VLOOKUP(A294&amp;$I$2,ODDS!A293:$K$50000,4,0)," ")</f>
        <v xml:space="preserve"> </v>
      </c>
      <c r="D294" s="53" t="str">
        <f>IFERROR(VLOOKUP(A294&amp;$I$2,ODDS!A293:$K$50000,6,0)," ")</f>
        <v xml:space="preserve"> </v>
      </c>
      <c r="E294" s="53" t="s">
        <v>211</v>
      </c>
      <c r="F294" s="53" t="str">
        <f>IFERROR(VLOOKUP(A294&amp;$I$2,ODDS!A293:$K$50000,7,0)," ")</f>
        <v xml:space="preserve"> </v>
      </c>
      <c r="G294" s="53" t="str">
        <f>IFERROR(VLOOKUP(A294&amp;$I$2,ODDS!A293:$K$50000,5,0)," ")</f>
        <v xml:space="preserve"> </v>
      </c>
      <c r="H294" s="53" t="str">
        <f t="shared" si="11"/>
        <v xml:space="preserve"> </v>
      </c>
      <c r="I294" s="22"/>
      <c r="J294" s="22"/>
      <c r="K294" s="22"/>
      <c r="L294" s="60" t="str">
        <f>IFERROR(VLOOKUP(A294&amp;$K$2,ODDS!B293:$K$50000,2,0)," ")</f>
        <v xml:space="preserve"> </v>
      </c>
      <c r="M294" s="39" t="str">
        <f>IFERROR(VLOOKUP(A294&amp;$K$2,ODDS!B293:$K$50000,3,0)," ")</f>
        <v xml:space="preserve"> </v>
      </c>
      <c r="N294" s="53" t="str">
        <f>IFERROR(VLOOKUP(A294&amp;$K$2,ODDS!B293:$K$50000,5,0)," ")</f>
        <v xml:space="preserve"> </v>
      </c>
      <c r="O294" s="53" t="s">
        <v>211</v>
      </c>
      <c r="P294" s="53" t="str">
        <f>IFERROR(VLOOKUP(A294&amp;$K$2,ODDS!B293:$K$50000,6,0)," ")</f>
        <v xml:space="preserve"> </v>
      </c>
      <c r="Q294" s="39" t="str">
        <f>IFERROR(VLOOKUP(A294&amp;$K$2,ODDS!B293:$K$50000,4,0)," ")</f>
        <v xml:space="preserve"> </v>
      </c>
      <c r="R294" s="53" t="str">
        <f t="shared" si="12"/>
        <v xml:space="preserve"> </v>
      </c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E294" s="23" t="s">
        <v>217</v>
      </c>
    </row>
    <row r="295" spans="2:31" x14ac:dyDescent="0.25">
      <c r="B295" s="54" t="str">
        <f>IFERROR(VLOOKUP(A295&amp;$I$2,ODDS!A294:$K$50000,3,0)," ")</f>
        <v xml:space="preserve"> </v>
      </c>
      <c r="C295" s="53" t="str">
        <f>IFERROR(VLOOKUP(A295&amp;$I$2,ODDS!A294:$K$50000,4,0)," ")</f>
        <v xml:space="preserve"> </v>
      </c>
      <c r="D295" s="53" t="str">
        <f>IFERROR(VLOOKUP(A295&amp;$I$2,ODDS!A294:$K$50000,6,0)," ")</f>
        <v xml:space="preserve"> </v>
      </c>
      <c r="E295" s="53" t="s">
        <v>211</v>
      </c>
      <c r="F295" s="53" t="str">
        <f>IFERROR(VLOOKUP(A295&amp;$I$2,ODDS!A294:$K$50000,7,0)," ")</f>
        <v xml:space="preserve"> </v>
      </c>
      <c r="G295" s="53" t="str">
        <f>IFERROR(VLOOKUP(A295&amp;$I$2,ODDS!A294:$K$50000,5,0)," ")</f>
        <v xml:space="preserve"> </v>
      </c>
      <c r="H295" s="53" t="str">
        <f t="shared" si="11"/>
        <v xml:space="preserve"> </v>
      </c>
      <c r="I295" s="22"/>
      <c r="J295" s="22"/>
      <c r="K295" s="22"/>
      <c r="L295" s="60" t="str">
        <f>IFERROR(VLOOKUP(A295&amp;$K$2,ODDS!B294:$K$50000,2,0)," ")</f>
        <v xml:space="preserve"> </v>
      </c>
      <c r="M295" s="39" t="str">
        <f>IFERROR(VLOOKUP(A295&amp;$K$2,ODDS!B294:$K$50000,3,0)," ")</f>
        <v xml:space="preserve"> </v>
      </c>
      <c r="N295" s="53" t="str">
        <f>IFERROR(VLOOKUP(A295&amp;$K$2,ODDS!B294:$K$50000,5,0)," ")</f>
        <v xml:space="preserve"> </v>
      </c>
      <c r="O295" s="53" t="s">
        <v>211</v>
      </c>
      <c r="P295" s="53" t="str">
        <f>IFERROR(VLOOKUP(A295&amp;$K$2,ODDS!B294:$K$50000,6,0)," ")</f>
        <v xml:space="preserve"> </v>
      </c>
      <c r="Q295" s="39" t="str">
        <f>IFERROR(VLOOKUP(A295&amp;$K$2,ODDS!B294:$K$50000,4,0)," ")</f>
        <v xml:space="preserve"> </v>
      </c>
      <c r="R295" s="53" t="str">
        <f t="shared" si="12"/>
        <v xml:space="preserve"> </v>
      </c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E295" s="23"/>
    </row>
    <row r="296" spans="2:31" x14ac:dyDescent="0.25">
      <c r="B296" s="54" t="str">
        <f>IFERROR(VLOOKUP(A296&amp;$I$2,ODDS!A295:$K$50000,3,0)," ")</f>
        <v xml:space="preserve"> </v>
      </c>
      <c r="C296" s="53" t="str">
        <f>IFERROR(VLOOKUP(A296&amp;$I$2,ODDS!A295:$K$50000,4,0)," ")</f>
        <v xml:space="preserve"> </v>
      </c>
      <c r="D296" s="53" t="str">
        <f>IFERROR(VLOOKUP(A296&amp;$I$2,ODDS!A295:$K$50000,6,0)," ")</f>
        <v xml:space="preserve"> </v>
      </c>
      <c r="E296" s="53" t="s">
        <v>211</v>
      </c>
      <c r="F296" s="53" t="str">
        <f>IFERROR(VLOOKUP(A296&amp;$I$2,ODDS!A295:$K$50000,7,0)," ")</f>
        <v xml:space="preserve"> </v>
      </c>
      <c r="G296" s="53" t="str">
        <f>IFERROR(VLOOKUP(A296&amp;$I$2,ODDS!A295:$K$50000,5,0)," ")</f>
        <v xml:space="preserve"> </v>
      </c>
      <c r="H296" s="53" t="str">
        <f t="shared" si="11"/>
        <v xml:space="preserve"> </v>
      </c>
      <c r="I296" s="22"/>
      <c r="J296" s="22"/>
      <c r="K296" s="22"/>
      <c r="L296" s="60" t="str">
        <f>IFERROR(VLOOKUP(A296&amp;$K$2,ODDS!B295:$K$50000,2,0)," ")</f>
        <v xml:space="preserve"> </v>
      </c>
      <c r="M296" s="39" t="str">
        <f>IFERROR(VLOOKUP(A296&amp;$K$2,ODDS!B295:$K$50000,3,0)," ")</f>
        <v xml:space="preserve"> </v>
      </c>
      <c r="N296" s="53" t="str">
        <f>IFERROR(VLOOKUP(A296&amp;$K$2,ODDS!B295:$K$50000,5,0)," ")</f>
        <v xml:space="preserve"> </v>
      </c>
      <c r="O296" s="53" t="s">
        <v>211</v>
      </c>
      <c r="P296" s="53" t="str">
        <f>IFERROR(VLOOKUP(A296&amp;$K$2,ODDS!B295:$K$50000,6,0)," ")</f>
        <v xml:space="preserve"> </v>
      </c>
      <c r="Q296" s="39" t="str">
        <f>IFERROR(VLOOKUP(A296&amp;$K$2,ODDS!B295:$K$50000,4,0)," ")</f>
        <v xml:space="preserve"> </v>
      </c>
      <c r="R296" s="53" t="str">
        <f t="shared" si="12"/>
        <v xml:space="preserve"> </v>
      </c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E296" s="23" t="s">
        <v>217</v>
      </c>
    </row>
    <row r="297" spans="2:31" x14ac:dyDescent="0.25">
      <c r="B297" s="54" t="str">
        <f>IFERROR(VLOOKUP(A297&amp;$I$2,ODDS!A296:$K$50000,3,0)," ")</f>
        <v xml:space="preserve"> </v>
      </c>
      <c r="C297" s="53" t="str">
        <f>IFERROR(VLOOKUP(A297&amp;$I$2,ODDS!A296:$K$50000,4,0)," ")</f>
        <v xml:space="preserve"> </v>
      </c>
      <c r="D297" s="53" t="str">
        <f>IFERROR(VLOOKUP(A297&amp;$I$2,ODDS!A296:$K$50000,6,0)," ")</f>
        <v xml:space="preserve"> </v>
      </c>
      <c r="E297" s="53" t="s">
        <v>211</v>
      </c>
      <c r="F297" s="53" t="str">
        <f>IFERROR(VLOOKUP(A297&amp;$I$2,ODDS!A296:$K$50000,7,0)," ")</f>
        <v xml:space="preserve"> </v>
      </c>
      <c r="G297" s="53" t="str">
        <f>IFERROR(VLOOKUP(A297&amp;$I$2,ODDS!A296:$K$50000,5,0)," ")</f>
        <v xml:space="preserve"> </v>
      </c>
      <c r="H297" s="53" t="str">
        <f t="shared" si="11"/>
        <v xml:space="preserve"> </v>
      </c>
      <c r="I297" s="22"/>
      <c r="J297" s="22"/>
      <c r="K297" s="22"/>
      <c r="L297" s="60" t="str">
        <f>IFERROR(VLOOKUP(A297&amp;$K$2,ODDS!B296:$K$50000,2,0)," ")</f>
        <v xml:space="preserve"> </v>
      </c>
      <c r="M297" s="39" t="str">
        <f>IFERROR(VLOOKUP(A297&amp;$K$2,ODDS!B296:$K$50000,3,0)," ")</f>
        <v xml:space="preserve"> </v>
      </c>
      <c r="N297" s="53" t="str">
        <f>IFERROR(VLOOKUP(A297&amp;$K$2,ODDS!B296:$K$50000,5,0)," ")</f>
        <v xml:space="preserve"> </v>
      </c>
      <c r="O297" s="53" t="s">
        <v>211</v>
      </c>
      <c r="P297" s="53" t="str">
        <f>IFERROR(VLOOKUP(A297&amp;$K$2,ODDS!B296:$K$50000,6,0)," ")</f>
        <v xml:space="preserve"> </v>
      </c>
      <c r="Q297" s="39" t="str">
        <f>IFERROR(VLOOKUP(A297&amp;$K$2,ODDS!B296:$K$50000,4,0)," ")</f>
        <v xml:space="preserve"> </v>
      </c>
      <c r="R297" s="53" t="str">
        <f t="shared" si="12"/>
        <v xml:space="preserve"> </v>
      </c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E297" s="23"/>
    </row>
    <row r="298" spans="2:31" x14ac:dyDescent="0.25">
      <c r="B298" s="54" t="str">
        <f>IFERROR(VLOOKUP(A298&amp;$I$2,ODDS!A297:$K$50000,3,0)," ")</f>
        <v xml:space="preserve"> </v>
      </c>
      <c r="C298" s="53" t="str">
        <f>IFERROR(VLOOKUP(A298&amp;$I$2,ODDS!A297:$K$50000,4,0)," ")</f>
        <v xml:space="preserve"> </v>
      </c>
      <c r="D298" s="53" t="str">
        <f>IFERROR(VLOOKUP(A298&amp;$I$2,ODDS!A297:$K$50000,6,0)," ")</f>
        <v xml:space="preserve"> </v>
      </c>
      <c r="E298" s="53" t="s">
        <v>211</v>
      </c>
      <c r="F298" s="53" t="str">
        <f>IFERROR(VLOOKUP(A298&amp;$I$2,ODDS!A297:$K$50000,7,0)," ")</f>
        <v xml:space="preserve"> </v>
      </c>
      <c r="G298" s="53" t="str">
        <f>IFERROR(VLOOKUP(A298&amp;$I$2,ODDS!A297:$K$50000,5,0)," ")</f>
        <v xml:space="preserve"> </v>
      </c>
      <c r="H298" s="53" t="str">
        <f t="shared" si="11"/>
        <v xml:space="preserve"> </v>
      </c>
      <c r="I298" s="22"/>
      <c r="J298" s="22"/>
      <c r="K298" s="22"/>
      <c r="L298" s="60" t="str">
        <f>IFERROR(VLOOKUP(A298&amp;$K$2,ODDS!B297:$K$50000,2,0)," ")</f>
        <v xml:space="preserve"> </v>
      </c>
      <c r="M298" s="39" t="str">
        <f>IFERROR(VLOOKUP(A298&amp;$K$2,ODDS!B297:$K$50000,3,0)," ")</f>
        <v xml:space="preserve"> </v>
      </c>
      <c r="N298" s="53" t="str">
        <f>IFERROR(VLOOKUP(A298&amp;$K$2,ODDS!B297:$K$50000,5,0)," ")</f>
        <v xml:space="preserve"> </v>
      </c>
      <c r="O298" s="53" t="s">
        <v>211</v>
      </c>
      <c r="P298" s="53" t="str">
        <f>IFERROR(VLOOKUP(A298&amp;$K$2,ODDS!B297:$K$50000,6,0)," ")</f>
        <v xml:space="preserve"> </v>
      </c>
      <c r="Q298" s="39" t="str">
        <f>IFERROR(VLOOKUP(A298&amp;$K$2,ODDS!B297:$K$50000,4,0)," ")</f>
        <v xml:space="preserve"> </v>
      </c>
      <c r="R298" s="53" t="str">
        <f t="shared" si="12"/>
        <v xml:space="preserve"> </v>
      </c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E298" s="23" t="s">
        <v>217</v>
      </c>
    </row>
    <row r="299" spans="2:31" x14ac:dyDescent="0.25">
      <c r="B299" s="54" t="str">
        <f>IFERROR(VLOOKUP(A299&amp;$I$2,ODDS!A298:$K$50000,3,0)," ")</f>
        <v xml:space="preserve"> </v>
      </c>
      <c r="C299" s="53" t="str">
        <f>IFERROR(VLOOKUP(A299&amp;$I$2,ODDS!A298:$K$50000,4,0)," ")</f>
        <v xml:space="preserve"> </v>
      </c>
      <c r="D299" s="53" t="str">
        <f>IFERROR(VLOOKUP(A299&amp;$I$2,ODDS!A298:$K$50000,6,0)," ")</f>
        <v xml:space="preserve"> </v>
      </c>
      <c r="E299" s="53" t="s">
        <v>211</v>
      </c>
      <c r="F299" s="53" t="str">
        <f>IFERROR(VLOOKUP(A299&amp;$I$2,ODDS!A298:$K$50000,7,0)," ")</f>
        <v xml:space="preserve"> </v>
      </c>
      <c r="G299" s="53" t="str">
        <f>IFERROR(VLOOKUP(A299&amp;$I$2,ODDS!A298:$K$50000,5,0)," ")</f>
        <v xml:space="preserve"> </v>
      </c>
      <c r="H299" s="53" t="str">
        <f t="shared" si="11"/>
        <v xml:space="preserve"> </v>
      </c>
      <c r="I299" s="22"/>
      <c r="J299" s="22"/>
      <c r="K299" s="22"/>
      <c r="L299" s="60" t="str">
        <f>IFERROR(VLOOKUP(A299&amp;$K$2,ODDS!B298:$K$50000,2,0)," ")</f>
        <v xml:space="preserve"> </v>
      </c>
      <c r="M299" s="39" t="str">
        <f>IFERROR(VLOOKUP(A299&amp;$K$2,ODDS!B298:$K$50000,3,0)," ")</f>
        <v xml:space="preserve"> </v>
      </c>
      <c r="N299" s="53" t="str">
        <f>IFERROR(VLOOKUP(A299&amp;$K$2,ODDS!B298:$K$50000,5,0)," ")</f>
        <v xml:space="preserve"> </v>
      </c>
      <c r="O299" s="53" t="s">
        <v>211</v>
      </c>
      <c r="P299" s="53" t="str">
        <f>IFERROR(VLOOKUP(A299&amp;$K$2,ODDS!B298:$K$50000,6,0)," ")</f>
        <v xml:space="preserve"> </v>
      </c>
      <c r="Q299" s="39" t="str">
        <f>IFERROR(VLOOKUP(A299&amp;$K$2,ODDS!B298:$K$50000,4,0)," ")</f>
        <v xml:space="preserve"> </v>
      </c>
      <c r="R299" s="53" t="str">
        <f t="shared" si="12"/>
        <v xml:space="preserve"> </v>
      </c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E299" s="23"/>
    </row>
    <row r="300" spans="2:31" x14ac:dyDescent="0.25">
      <c r="B300" s="54" t="str">
        <f>IFERROR(VLOOKUP(A300&amp;$I$2,ODDS!A299:$K$50000,3,0)," ")</f>
        <v xml:space="preserve"> </v>
      </c>
      <c r="C300" s="53" t="str">
        <f>IFERROR(VLOOKUP(A300&amp;$I$2,ODDS!A299:$K$50000,4,0)," ")</f>
        <v xml:space="preserve"> </v>
      </c>
      <c r="D300" s="53" t="str">
        <f>IFERROR(VLOOKUP(A300&amp;$I$2,ODDS!A299:$K$50000,6,0)," ")</f>
        <v xml:space="preserve"> </v>
      </c>
      <c r="E300" s="53" t="s">
        <v>211</v>
      </c>
      <c r="F300" s="53" t="str">
        <f>IFERROR(VLOOKUP(A300&amp;$I$2,ODDS!A299:$K$50000,7,0)," ")</f>
        <v xml:space="preserve"> </v>
      </c>
      <c r="G300" s="53" t="str">
        <f>IFERROR(VLOOKUP(A300&amp;$I$2,ODDS!A299:$K$50000,5,0)," ")</f>
        <v xml:space="preserve"> </v>
      </c>
      <c r="H300" s="53" t="str">
        <f t="shared" si="11"/>
        <v xml:space="preserve"> </v>
      </c>
      <c r="I300" s="22"/>
      <c r="J300" s="22"/>
      <c r="K300" s="22"/>
      <c r="L300" s="60" t="str">
        <f>IFERROR(VLOOKUP(A300&amp;$K$2,ODDS!B299:$K$50000,2,0)," ")</f>
        <v xml:space="preserve"> </v>
      </c>
      <c r="M300" s="39" t="str">
        <f>IFERROR(VLOOKUP(A300&amp;$K$2,ODDS!B299:$K$50000,3,0)," ")</f>
        <v xml:space="preserve"> </v>
      </c>
      <c r="N300" s="53" t="str">
        <f>IFERROR(VLOOKUP(A300&amp;$K$2,ODDS!B299:$K$50000,5,0)," ")</f>
        <v xml:space="preserve"> </v>
      </c>
      <c r="O300" s="53" t="s">
        <v>211</v>
      </c>
      <c r="P300" s="53" t="str">
        <f>IFERROR(VLOOKUP(A300&amp;$K$2,ODDS!B299:$K$50000,6,0)," ")</f>
        <v xml:space="preserve"> </v>
      </c>
      <c r="Q300" s="39" t="str">
        <f>IFERROR(VLOOKUP(A300&amp;$K$2,ODDS!B299:$K$50000,4,0)," ")</f>
        <v xml:space="preserve"> </v>
      </c>
      <c r="R300" s="53" t="str">
        <f t="shared" si="12"/>
        <v xml:space="preserve"> </v>
      </c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 t="s">
        <v>217</v>
      </c>
    </row>
    <row r="301" spans="2:31" x14ac:dyDescent="0.25">
      <c r="B301" s="54" t="str">
        <f>IFERROR(VLOOKUP(A301&amp;$I$2,ODDS!A300:$K$50000,3,0)," ")</f>
        <v xml:space="preserve"> </v>
      </c>
      <c r="C301" s="53" t="str">
        <f>IFERROR(VLOOKUP(A301&amp;$I$2,ODDS!A300:$K$50000,4,0)," ")</f>
        <v xml:space="preserve"> </v>
      </c>
      <c r="D301" s="53" t="str">
        <f>IFERROR(VLOOKUP(A301&amp;$I$2,ODDS!A300:$K$50000,6,0)," ")</f>
        <v xml:space="preserve"> </v>
      </c>
      <c r="E301" s="53" t="s">
        <v>211</v>
      </c>
      <c r="F301" s="53" t="str">
        <f>IFERROR(VLOOKUP(A301&amp;$I$2,ODDS!A300:$K$50000,7,0)," ")</f>
        <v xml:space="preserve"> </v>
      </c>
      <c r="G301" s="53" t="str">
        <f>IFERROR(VLOOKUP(A301&amp;$I$2,ODDS!A300:$K$50000,5,0)," ")</f>
        <v xml:space="preserve"> </v>
      </c>
      <c r="H301" s="53" t="str">
        <f t="shared" si="11"/>
        <v xml:space="preserve"> </v>
      </c>
      <c r="I301" s="22"/>
      <c r="J301" s="22"/>
      <c r="K301" s="22"/>
      <c r="L301" s="60" t="str">
        <f>IFERROR(VLOOKUP(A301&amp;$K$2,ODDS!B300:$K$50000,2,0)," ")</f>
        <v xml:space="preserve"> </v>
      </c>
      <c r="M301" s="39" t="str">
        <f>IFERROR(VLOOKUP(A301&amp;$K$2,ODDS!B300:$K$50000,3,0)," ")</f>
        <v xml:space="preserve"> </v>
      </c>
      <c r="N301" s="53" t="str">
        <f>IFERROR(VLOOKUP(A301&amp;$K$2,ODDS!B300:$K$50000,5,0)," ")</f>
        <v xml:space="preserve"> </v>
      </c>
      <c r="O301" s="53" t="s">
        <v>211</v>
      </c>
      <c r="P301" s="53" t="str">
        <f>IFERROR(VLOOKUP(A301&amp;$K$2,ODDS!B300:$K$50000,6,0)," ")</f>
        <v xml:space="preserve"> </v>
      </c>
      <c r="Q301" s="39" t="str">
        <f>IFERROR(VLOOKUP(A301&amp;$K$2,ODDS!B300:$K$50000,4,0)," ")</f>
        <v xml:space="preserve"> </v>
      </c>
      <c r="R301" s="53" t="str">
        <f t="shared" si="12"/>
        <v xml:space="preserve"> </v>
      </c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E301" s="23"/>
    </row>
    <row r="302" spans="2:31" x14ac:dyDescent="0.25">
      <c r="B302" s="54" t="str">
        <f>IFERROR(VLOOKUP(A302&amp;$I$2,ODDS!A301:$K$50000,3,0)," ")</f>
        <v xml:space="preserve"> </v>
      </c>
      <c r="C302" s="53" t="str">
        <f>IFERROR(VLOOKUP(A302&amp;$I$2,ODDS!A301:$K$50000,4,0)," ")</f>
        <v xml:space="preserve"> </v>
      </c>
      <c r="D302" s="53" t="str">
        <f>IFERROR(VLOOKUP(A302&amp;$I$2,ODDS!A301:$K$50000,6,0)," ")</f>
        <v xml:space="preserve"> </v>
      </c>
      <c r="E302" s="53" t="s">
        <v>211</v>
      </c>
      <c r="F302" s="53" t="str">
        <f>IFERROR(VLOOKUP(A302&amp;$I$2,ODDS!A301:$K$50000,7,0)," ")</f>
        <v xml:space="preserve"> </v>
      </c>
      <c r="G302" s="53" t="str">
        <f>IFERROR(VLOOKUP(A302&amp;$I$2,ODDS!A301:$K$50000,5,0)," ")</f>
        <v xml:space="preserve"> </v>
      </c>
      <c r="H302" s="53" t="str">
        <f t="shared" si="11"/>
        <v xml:space="preserve"> </v>
      </c>
      <c r="I302" s="22"/>
      <c r="J302" s="22"/>
      <c r="K302" s="22"/>
      <c r="L302" s="60" t="str">
        <f>IFERROR(VLOOKUP(A302&amp;$K$2,ODDS!B301:$K$50000,2,0)," ")</f>
        <v xml:space="preserve"> </v>
      </c>
      <c r="M302" s="39" t="str">
        <f>IFERROR(VLOOKUP(A302&amp;$K$2,ODDS!B301:$K$50000,3,0)," ")</f>
        <v xml:space="preserve"> </v>
      </c>
      <c r="N302" s="53" t="str">
        <f>IFERROR(VLOOKUP(A302&amp;$K$2,ODDS!B301:$K$50000,5,0)," ")</f>
        <v xml:space="preserve"> </v>
      </c>
      <c r="O302" s="53" t="s">
        <v>211</v>
      </c>
      <c r="P302" s="53" t="str">
        <f>IFERROR(VLOOKUP(A302&amp;$K$2,ODDS!B301:$K$50000,6,0)," ")</f>
        <v xml:space="preserve"> </v>
      </c>
      <c r="Q302" s="39" t="str">
        <f>IFERROR(VLOOKUP(A302&amp;$K$2,ODDS!B301:$K$50000,4,0)," ")</f>
        <v xml:space="preserve"> </v>
      </c>
      <c r="R302" s="53" t="str">
        <f t="shared" si="12"/>
        <v xml:space="preserve"> </v>
      </c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E302" s="23" t="s">
        <v>217</v>
      </c>
    </row>
    <row r="303" spans="2:31" x14ac:dyDescent="0.25">
      <c r="B303" s="54" t="str">
        <f>IFERROR(VLOOKUP(A303&amp;$I$2,ODDS!A302:$K$50000,3,0)," ")</f>
        <v xml:space="preserve"> </v>
      </c>
      <c r="C303" s="53" t="str">
        <f>IFERROR(VLOOKUP(A303&amp;$I$2,ODDS!A302:$K$50000,4,0)," ")</f>
        <v xml:space="preserve"> </v>
      </c>
      <c r="D303" s="53" t="str">
        <f>IFERROR(VLOOKUP(A303&amp;$I$2,ODDS!A302:$K$50000,6,0)," ")</f>
        <v xml:space="preserve"> </v>
      </c>
      <c r="E303" s="53" t="s">
        <v>211</v>
      </c>
      <c r="F303" s="53" t="str">
        <f>IFERROR(VLOOKUP(A303&amp;$I$2,ODDS!A302:$K$50000,7,0)," ")</f>
        <v xml:space="preserve"> </v>
      </c>
      <c r="G303" s="53" t="str">
        <f>IFERROR(VLOOKUP(A303&amp;$I$2,ODDS!A302:$K$50000,5,0)," ")</f>
        <v xml:space="preserve"> </v>
      </c>
      <c r="H303" s="53" t="str">
        <f t="shared" si="11"/>
        <v xml:space="preserve"> </v>
      </c>
      <c r="I303" s="22"/>
      <c r="J303" s="22"/>
      <c r="K303" s="22"/>
      <c r="L303" s="60" t="str">
        <f>IFERROR(VLOOKUP(A303&amp;$K$2,ODDS!B302:$K$50000,2,0)," ")</f>
        <v xml:space="preserve"> </v>
      </c>
      <c r="M303" s="39" t="str">
        <f>IFERROR(VLOOKUP(A303&amp;$K$2,ODDS!B302:$K$50000,3,0)," ")</f>
        <v xml:space="preserve"> </v>
      </c>
      <c r="N303" s="53" t="str">
        <f>IFERROR(VLOOKUP(A303&amp;$K$2,ODDS!B302:$K$50000,5,0)," ")</f>
        <v xml:space="preserve"> </v>
      </c>
      <c r="O303" s="53" t="s">
        <v>211</v>
      </c>
      <c r="P303" s="53" t="str">
        <f>IFERROR(VLOOKUP(A303&amp;$K$2,ODDS!B302:$K$50000,6,0)," ")</f>
        <v xml:space="preserve"> </v>
      </c>
      <c r="Q303" s="39" t="str">
        <f>IFERROR(VLOOKUP(A303&amp;$K$2,ODDS!B302:$K$50000,4,0)," ")</f>
        <v xml:space="preserve"> </v>
      </c>
      <c r="R303" s="53" t="str">
        <f t="shared" si="12"/>
        <v xml:space="preserve"> </v>
      </c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E303" s="23"/>
    </row>
    <row r="304" spans="2:31" x14ac:dyDescent="0.25">
      <c r="B304" s="54" t="str">
        <f>IFERROR(VLOOKUP(A304&amp;$I$2,ODDS!A303:$K$50000,3,0)," ")</f>
        <v xml:space="preserve"> </v>
      </c>
      <c r="C304" s="53" t="str">
        <f>IFERROR(VLOOKUP(A304&amp;$I$2,ODDS!A303:$K$50000,4,0)," ")</f>
        <v xml:space="preserve"> </v>
      </c>
      <c r="D304" s="53" t="str">
        <f>IFERROR(VLOOKUP(A304&amp;$I$2,ODDS!A303:$K$50000,6,0)," ")</f>
        <v xml:space="preserve"> </v>
      </c>
      <c r="E304" s="53" t="s">
        <v>211</v>
      </c>
      <c r="F304" s="53" t="str">
        <f>IFERROR(VLOOKUP(A304&amp;$I$2,ODDS!A303:$K$50000,7,0)," ")</f>
        <v xml:space="preserve"> </v>
      </c>
      <c r="G304" s="53" t="str">
        <f>IFERROR(VLOOKUP(A304&amp;$I$2,ODDS!A303:$K$50000,5,0)," ")</f>
        <v xml:space="preserve"> </v>
      </c>
      <c r="H304" s="53" t="str">
        <f t="shared" si="11"/>
        <v xml:space="preserve"> </v>
      </c>
      <c r="I304" s="22"/>
      <c r="J304" s="22"/>
      <c r="K304" s="22"/>
      <c r="L304" s="60" t="str">
        <f>IFERROR(VLOOKUP(A304&amp;$K$2,ODDS!B303:$K$50000,2,0)," ")</f>
        <v xml:space="preserve"> </v>
      </c>
      <c r="M304" s="39" t="str">
        <f>IFERROR(VLOOKUP(A304&amp;$K$2,ODDS!B303:$K$50000,3,0)," ")</f>
        <v xml:space="preserve"> </v>
      </c>
      <c r="N304" s="53" t="str">
        <f>IFERROR(VLOOKUP(A304&amp;$K$2,ODDS!B303:$K$50000,5,0)," ")</f>
        <v xml:space="preserve"> </v>
      </c>
      <c r="O304" s="53" t="s">
        <v>211</v>
      </c>
      <c r="P304" s="53" t="str">
        <f>IFERROR(VLOOKUP(A304&amp;$K$2,ODDS!B303:$K$50000,6,0)," ")</f>
        <v xml:space="preserve"> </v>
      </c>
      <c r="Q304" s="39" t="str">
        <f>IFERROR(VLOOKUP(A304&amp;$K$2,ODDS!B303:$K$50000,4,0)," ")</f>
        <v xml:space="preserve"> </v>
      </c>
      <c r="R304" s="53" t="str">
        <f t="shared" si="12"/>
        <v xml:space="preserve"> </v>
      </c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E304" s="23" t="s">
        <v>217</v>
      </c>
    </row>
  </sheetData>
  <sheetProtection algorithmName="SHA-512" hashValue="nrKnpBwqEY/qaPhdrhYwDCqPOxJxf3+Id7lus8S95s1l5x+DwXqPMEKABM5pVKSMn2AFPYhY3LlQsYoiOCS8hg==" saltValue="K8f3dgmWO89pOks/VBHqTQ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27" priority="7" operator="equal">
      <formula>"EMPATOU"</formula>
    </cfRule>
    <cfRule type="cellIs" dxfId="26" priority="8" operator="equal">
      <formula>"VENCEU"</formula>
    </cfRule>
    <cfRule type="cellIs" dxfId="25" priority="9" operator="equal">
      <formula>"PERDEU"</formula>
    </cfRule>
  </conditionalFormatting>
  <conditionalFormatting sqref="R3:R304">
    <cfRule type="cellIs" dxfId="24" priority="1" operator="equal">
      <formula>"EMPATOU"</formula>
    </cfRule>
    <cfRule type="cellIs" dxfId="23" priority="2" operator="equal">
      <formula>"VENCEU"</formula>
    </cfRule>
    <cfRule type="cellIs" dxfId="22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Matches!$B$2:$B$2002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>
    <tabColor rgb="FF00B0F0"/>
  </sheetPr>
  <dimension ref="A1:R2664"/>
  <sheetViews>
    <sheetView topLeftCell="A337" zoomScale="80" zoomScaleNormal="80" workbookViewId="0">
      <selection activeCell="C1" sqref="C1:K211"/>
    </sheetView>
  </sheetViews>
  <sheetFormatPr defaultRowHeight="15" x14ac:dyDescent="0.25"/>
  <cols>
    <col min="1" max="2" width="16" bestFit="1" customWidth="1"/>
    <col min="3" max="3" width="11.5703125" bestFit="1" customWidth="1"/>
    <col min="4" max="5" width="16.42578125" bestFit="1" customWidth="1"/>
    <col min="6" max="6" width="12.42578125" bestFit="1" customWidth="1"/>
    <col min="7" max="7" width="12.140625" bestFit="1" customWidth="1"/>
    <col min="8" max="8" width="10.85546875" bestFit="1" customWidth="1"/>
    <col min="9" max="9" width="13" bestFit="1" customWidth="1"/>
    <col min="10" max="10" width="12.42578125" bestFit="1" customWidth="1"/>
    <col min="11" max="11" width="12.7109375" bestFit="1" customWidth="1"/>
    <col min="14" max="14" width="16.28515625" style="40" customWidth="1"/>
    <col min="15" max="16" width="9.140625" style="40"/>
    <col min="17" max="18" width="9.140625" style="1"/>
  </cols>
  <sheetData>
    <row r="1" spans="1:18" x14ac:dyDescent="0.25">
      <c r="A1" s="58" t="s">
        <v>214</v>
      </c>
      <c r="B1" s="58" t="s">
        <v>215</v>
      </c>
      <c r="C1" t="s">
        <v>185</v>
      </c>
      <c r="D1" t="s">
        <v>186</v>
      </c>
      <c r="E1" t="s">
        <v>187</v>
      </c>
      <c r="F1" t="s">
        <v>188</v>
      </c>
      <c r="G1" t="s">
        <v>189</v>
      </c>
      <c r="H1" t="s">
        <v>190</v>
      </c>
      <c r="I1" t="s">
        <v>191</v>
      </c>
      <c r="J1" t="s">
        <v>192</v>
      </c>
      <c r="K1" t="s">
        <v>193</v>
      </c>
      <c r="N1" s="43" t="s">
        <v>196</v>
      </c>
      <c r="O1" s="43" t="s">
        <v>44</v>
      </c>
      <c r="P1" s="43" t="s">
        <v>45</v>
      </c>
      <c r="Q1" s="44" t="s">
        <v>198</v>
      </c>
      <c r="R1" s="44" t="s">
        <v>199</v>
      </c>
    </row>
    <row r="2" spans="1:18" x14ac:dyDescent="0.25">
      <c r="A2" t="str">
        <f>COUNTIF($D$2:D2,D2)&amp;D2</f>
        <v>1Almeria</v>
      </c>
      <c r="B2" t="str">
        <f>COUNTIF($E$2:E2,E2)&amp;E2</f>
        <v>1Rayo Vallecano</v>
      </c>
      <c r="C2" s="21">
        <v>45149</v>
      </c>
      <c r="D2" s="89" t="s">
        <v>290</v>
      </c>
      <c r="E2" s="89" t="s">
        <v>277</v>
      </c>
      <c r="F2">
        <v>0</v>
      </c>
      <c r="G2">
        <v>2</v>
      </c>
      <c r="H2" s="89" t="s">
        <v>195</v>
      </c>
      <c r="I2">
        <v>2.62</v>
      </c>
      <c r="J2">
        <v>3.16</v>
      </c>
      <c r="K2">
        <v>2.87</v>
      </c>
      <c r="N2" s="69" t="s">
        <v>287</v>
      </c>
      <c r="O2" s="41">
        <f>AVERAGEIF(_bra1[TeamHome],N2,_bra1[OddHome])</f>
        <v>2.6699999999999995</v>
      </c>
      <c r="P2" s="41">
        <f>AVERAGEIF(_bra1[TeamAway],N2,_bra1[OddAway])</f>
        <v>5.5912499999999996</v>
      </c>
      <c r="Q2" s="42">
        <f>AVERAGEIFS(_bra1[OddHome],_bra1[RESULT],"H",_bra1[TeamHome],N2)</f>
        <v>2.5049999999999999</v>
      </c>
      <c r="R2" s="42" t="e">
        <f>AVERAGEIFS(_bra1[OddAway],_bra1[RESULT],"A",_bra1[TeamAway],N2)</f>
        <v>#DIV/0!</v>
      </c>
    </row>
    <row r="3" spans="1:18" x14ac:dyDescent="0.25">
      <c r="A3" t="str">
        <f>COUNTIF($D$2:D3,D3)&amp;D3</f>
        <v>1Amorebieta</v>
      </c>
      <c r="B3" t="str">
        <f>COUNTIF($E$2:E3,E3)&amp;E3</f>
        <v>1Levante</v>
      </c>
      <c r="C3" s="21">
        <v>45149</v>
      </c>
      <c r="D3" s="89" t="s">
        <v>308</v>
      </c>
      <c r="E3" s="89" t="s">
        <v>294</v>
      </c>
      <c r="F3">
        <v>1</v>
      </c>
      <c r="G3">
        <v>1</v>
      </c>
      <c r="H3" s="89" t="s">
        <v>2</v>
      </c>
      <c r="I3">
        <v>3</v>
      </c>
      <c r="J3">
        <v>3.02</v>
      </c>
      <c r="K3">
        <v>2.4500000000000002</v>
      </c>
      <c r="N3" s="70" t="s">
        <v>290</v>
      </c>
      <c r="O3" s="41">
        <f>AVERAGEIF(_bra1[TeamHome],N3,_bra1[OddHome])</f>
        <v>3.4124999999999996</v>
      </c>
      <c r="P3" s="41">
        <f>AVERAGEIF(_bra1[TeamAway],N3,_bra1[OddAway])</f>
        <v>6.8787499999999993</v>
      </c>
      <c r="Q3" s="42" t="e">
        <f>AVERAGEIFS(_bra1[OddHome],_bra1[RESULT],"H",_bra1[TeamHome],N3)</f>
        <v>#DIV/0!</v>
      </c>
      <c r="R3" s="42" t="e">
        <f>AVERAGEIFS(_bra1[OddAway],_bra1[RESULT],"A",_bra1[TeamAway],N3)</f>
        <v>#DIV/0!</v>
      </c>
    </row>
    <row r="4" spans="1:18" x14ac:dyDescent="0.25">
      <c r="A4" t="str">
        <f>COUNTIF($D$2:D4,D4)&amp;D4</f>
        <v>1Sevilla FC</v>
      </c>
      <c r="B4" t="str">
        <f>COUNTIF($E$2:E4,E4)&amp;E4</f>
        <v>1Valencia</v>
      </c>
      <c r="C4" s="21">
        <v>45149</v>
      </c>
      <c r="D4" s="89" t="s">
        <v>283</v>
      </c>
      <c r="E4" s="89" t="s">
        <v>279</v>
      </c>
      <c r="F4">
        <v>1</v>
      </c>
      <c r="G4">
        <v>2</v>
      </c>
      <c r="H4" s="89" t="s">
        <v>195</v>
      </c>
      <c r="I4">
        <v>1.92</v>
      </c>
      <c r="J4">
        <v>3.36</v>
      </c>
      <c r="K4">
        <v>4.3899999999999997</v>
      </c>
      <c r="N4" s="69" t="s">
        <v>274</v>
      </c>
      <c r="O4" s="41">
        <f>AVERAGEIF(_bra1[TeamHome],N4,_bra1[OddHome])</f>
        <v>1.7949999999999999</v>
      </c>
      <c r="P4" s="41">
        <f>AVERAGEIF(_bra1[TeamAway],N4,_bra1[OddAway])</f>
        <v>2.8928571428571423</v>
      </c>
      <c r="Q4" s="42">
        <f>AVERAGEIFS(_bra1[OddHome],_bra1[RESULT],"H",_bra1[TeamHome],N4)</f>
        <v>1.59</v>
      </c>
      <c r="R4" s="42">
        <f>AVERAGEIFS(_bra1[OddAway],_bra1[RESULT],"A",_bra1[TeamAway],N4)</f>
        <v>2.2600000000000002</v>
      </c>
    </row>
    <row r="5" spans="1:18" x14ac:dyDescent="0.25">
      <c r="A5" t="str">
        <f>COUNTIF($D$2:D5,D5)&amp;D5</f>
        <v>1Valladolid</v>
      </c>
      <c r="B5" t="str">
        <f>COUNTIF($E$2:E5,E5)&amp;E5</f>
        <v>1Sporting Gijon</v>
      </c>
      <c r="C5" s="21">
        <v>45149</v>
      </c>
      <c r="D5" s="89" t="s">
        <v>297</v>
      </c>
      <c r="E5" s="89" t="s">
        <v>296</v>
      </c>
      <c r="F5">
        <v>2</v>
      </c>
      <c r="G5">
        <v>0</v>
      </c>
      <c r="H5" s="89" t="s">
        <v>194</v>
      </c>
      <c r="I5">
        <v>1.88</v>
      </c>
      <c r="J5">
        <v>3.27</v>
      </c>
      <c r="K5">
        <v>4.24</v>
      </c>
      <c r="N5" s="70" t="s">
        <v>275</v>
      </c>
      <c r="O5" s="41">
        <f>AVERAGEIF(_bra1[TeamHome],N5,_bra1[OddHome])</f>
        <v>1.5925</v>
      </c>
      <c r="P5" s="41">
        <f>AVERAGEIF(_bra1[TeamAway],N5,_bra1[OddAway])</f>
        <v>2.2585714285714285</v>
      </c>
      <c r="Q5" s="42">
        <f>AVERAGEIFS(_bra1[OddHome],_bra1[RESULT],"H",_bra1[TeamHome],N5)</f>
        <v>1.5925</v>
      </c>
      <c r="R5" s="42">
        <f>AVERAGEIFS(_bra1[OddAway],_bra1[RESULT],"A",_bra1[TeamAway],N5)</f>
        <v>2.0533333333333332</v>
      </c>
    </row>
    <row r="6" spans="1:18" x14ac:dyDescent="0.25">
      <c r="A6" t="str">
        <f>COUNTIF($D$2:D6,D6)&amp;D6</f>
        <v>1Athletic Bilbao</v>
      </c>
      <c r="B6" t="str">
        <f>COUNTIF($E$2:E6,E6)&amp;E6</f>
        <v>1Real Madrid</v>
      </c>
      <c r="C6" s="21">
        <v>45150</v>
      </c>
      <c r="D6" s="89" t="s">
        <v>274</v>
      </c>
      <c r="E6" s="89" t="s">
        <v>271</v>
      </c>
      <c r="F6">
        <v>0</v>
      </c>
      <c r="G6">
        <v>2</v>
      </c>
      <c r="H6" s="89" t="s">
        <v>195</v>
      </c>
      <c r="I6">
        <v>3.29</v>
      </c>
      <c r="J6">
        <v>3.43</v>
      </c>
      <c r="K6">
        <v>2.2200000000000002</v>
      </c>
      <c r="N6" s="69" t="s">
        <v>282</v>
      </c>
      <c r="O6" s="41">
        <f>AVERAGEIF(_bra1[TeamHome],N6,_bra1[OddHome])</f>
        <v>3.3987500000000002</v>
      </c>
      <c r="P6" s="41">
        <f>AVERAGEIF(_bra1[TeamAway],N6,_bra1[OddAway])</f>
        <v>6.8062500000000004</v>
      </c>
      <c r="Q6" s="42">
        <f>AVERAGEIFS(_bra1[OddHome],_bra1[RESULT],"H",_bra1[TeamHome],N6)</f>
        <v>2.7699999999999996</v>
      </c>
      <c r="R6" s="42" t="e">
        <f>AVERAGEIFS(_bra1[OddAway],_bra1[RESULT],"A",_bra1[TeamAway],N6)</f>
        <v>#DIV/0!</v>
      </c>
    </row>
    <row r="7" spans="1:18" x14ac:dyDescent="0.25">
      <c r="A7" t="str">
        <f>COUNTIF($D$2:D7,D7)&amp;D7</f>
        <v>1Elche</v>
      </c>
      <c r="B7" t="str">
        <f>COUNTIF($E$2:E7,E7)&amp;E7</f>
        <v>1Racing Ferrol</v>
      </c>
      <c r="C7" s="21">
        <v>45150</v>
      </c>
      <c r="D7" s="89" t="s">
        <v>309</v>
      </c>
      <c r="E7" s="89" t="s">
        <v>300</v>
      </c>
      <c r="F7">
        <v>0</v>
      </c>
      <c r="G7">
        <v>1</v>
      </c>
      <c r="H7" s="89" t="s">
        <v>195</v>
      </c>
      <c r="I7">
        <v>1.67</v>
      </c>
      <c r="J7">
        <v>3.54</v>
      </c>
      <c r="K7">
        <v>5.17</v>
      </c>
      <c r="N7" s="70" t="s">
        <v>288</v>
      </c>
      <c r="O7" s="41">
        <f>AVERAGEIF(_bra1[TeamHome],N7,_bra1[OddHome])</f>
        <v>2.4575</v>
      </c>
      <c r="P7" s="41">
        <f>AVERAGEIF(_bra1[TeamAway],N7,_bra1[OddAway])</f>
        <v>5.0428571428571427</v>
      </c>
      <c r="Q7" s="42" t="e">
        <f>AVERAGEIFS(_bra1[OddHome],_bra1[RESULT],"H",_bra1[TeamHome],N7)</f>
        <v>#DIV/0!</v>
      </c>
      <c r="R7" s="42">
        <f>AVERAGEIFS(_bra1[OddAway],_bra1[RESULT],"A",_bra1[TeamAway],N7)</f>
        <v>2.5099999999999998</v>
      </c>
    </row>
    <row r="8" spans="1:18" x14ac:dyDescent="0.25">
      <c r="A8" t="str">
        <f>COUNTIF($D$2:D8,D8)&amp;D8</f>
        <v>1Las Palmas</v>
      </c>
      <c r="B8" t="str">
        <f>COUNTIF($E$2:E8,E8)&amp;E8</f>
        <v>1Mallorca</v>
      </c>
      <c r="C8" s="21">
        <v>45150</v>
      </c>
      <c r="D8" s="89" t="s">
        <v>286</v>
      </c>
      <c r="E8" s="89" t="s">
        <v>284</v>
      </c>
      <c r="F8">
        <v>1</v>
      </c>
      <c r="G8">
        <v>1</v>
      </c>
      <c r="H8" s="89" t="s">
        <v>2</v>
      </c>
      <c r="I8">
        <v>2.57</v>
      </c>
      <c r="J8">
        <v>2.88</v>
      </c>
      <c r="K8">
        <v>3.21</v>
      </c>
      <c r="N8" s="69" t="s">
        <v>273</v>
      </c>
      <c r="O8" s="41">
        <f>AVERAGEIF(_bra1[TeamHome],N8,_bra1[OddHome])</f>
        <v>1.58</v>
      </c>
      <c r="P8" s="41">
        <f>AVERAGEIF(_bra1[TeamAway],N8,_bra1[OddAway])</f>
        <v>1.7028571428571428</v>
      </c>
      <c r="Q8" s="42">
        <f>AVERAGEIFS(_bra1[OddHome],_bra1[RESULT],"H",_bra1[TeamHome],N8)</f>
        <v>1.45</v>
      </c>
      <c r="R8" s="42">
        <f>AVERAGEIFS(_bra1[OddAway],_bra1[RESULT],"A",_bra1[TeamAway],N8)</f>
        <v>1.9400000000000002</v>
      </c>
    </row>
    <row r="9" spans="1:18" x14ac:dyDescent="0.25">
      <c r="A9" t="str">
        <f>COUNTIF($D$2:D9,D9)&amp;D9</f>
        <v>1Racing</v>
      </c>
      <c r="B9" t="str">
        <f>COUNTIF($E$2:E9,E9)&amp;E9</f>
        <v>1Eibar</v>
      </c>
      <c r="C9" s="21">
        <v>45150</v>
      </c>
      <c r="D9" s="89" t="s">
        <v>299</v>
      </c>
      <c r="E9" s="89" t="s">
        <v>298</v>
      </c>
      <c r="F9">
        <v>4</v>
      </c>
      <c r="G9">
        <v>0</v>
      </c>
      <c r="H9" s="89" t="s">
        <v>194</v>
      </c>
      <c r="I9">
        <v>3.03</v>
      </c>
      <c r="J9">
        <v>2.88</v>
      </c>
      <c r="K9">
        <v>2.52</v>
      </c>
      <c r="N9" s="70" t="s">
        <v>281</v>
      </c>
      <c r="O9" s="41">
        <f>AVERAGEIF(_bra1[TeamHome],N9,_bra1[OddHome])</f>
        <v>2.94</v>
      </c>
      <c r="P9" s="41">
        <f>AVERAGEIF(_bra1[TeamAway],N9,_bra1[OddAway])</f>
        <v>5.316250000000001</v>
      </c>
      <c r="Q9" s="42">
        <f>AVERAGEIFS(_bra1[OddHome],_bra1[RESULT],"H",_bra1[TeamHome],N9)</f>
        <v>2.2799999999999998</v>
      </c>
      <c r="R9" s="42" t="e">
        <f>AVERAGEIFS(_bra1[OddAway],_bra1[RESULT],"A",_bra1[TeamAway],N9)</f>
        <v>#DIV/0!</v>
      </c>
    </row>
    <row r="10" spans="1:18" x14ac:dyDescent="0.25">
      <c r="A10" t="str">
        <f>COUNTIF($D$2:D10,D10)&amp;D10</f>
        <v>1Real Sociedad</v>
      </c>
      <c r="B10" t="str">
        <f>COUNTIF($E$2:E10,E10)&amp;E10</f>
        <v>1Girona</v>
      </c>
      <c r="C10" s="21">
        <v>45150</v>
      </c>
      <c r="D10" s="89" t="s">
        <v>276</v>
      </c>
      <c r="E10" s="89" t="s">
        <v>272</v>
      </c>
      <c r="F10">
        <v>1</v>
      </c>
      <c r="G10">
        <v>1</v>
      </c>
      <c r="H10" s="89" t="s">
        <v>2</v>
      </c>
      <c r="I10">
        <v>1.8</v>
      </c>
      <c r="J10">
        <v>3.56</v>
      </c>
      <c r="K10">
        <v>4.7300000000000004</v>
      </c>
      <c r="N10" s="69" t="s">
        <v>272</v>
      </c>
      <c r="O10" s="41">
        <f>AVERAGEIF(_bra1[TeamHome],N10,_bra1[OddHome])</f>
        <v>2.0487500000000001</v>
      </c>
      <c r="P10" s="41">
        <f>AVERAGEIF(_bra1[TeamAway],N10,_bra1[OddAway])</f>
        <v>3.4312499999999999</v>
      </c>
      <c r="Q10" s="42">
        <f>AVERAGEIFS(_bra1[OddHome],_bra1[RESULT],"H",_bra1[TeamHome],N10)</f>
        <v>1.7133333333333332</v>
      </c>
      <c r="R10" s="42">
        <f>AVERAGEIFS(_bra1[OddAway],_bra1[RESULT],"A",_bra1[TeamAway],N10)</f>
        <v>3.245714285714286</v>
      </c>
    </row>
    <row r="11" spans="1:18" x14ac:dyDescent="0.25">
      <c r="A11" t="str">
        <f>COUNTIF($D$2:D11,D11)&amp;D11</f>
        <v>1Real Zaragoza</v>
      </c>
      <c r="B11" t="str">
        <f>COUNTIF($E$2:E11,E11)&amp;E11</f>
        <v>1Villarreal B</v>
      </c>
      <c r="C11" s="21">
        <v>45150</v>
      </c>
      <c r="D11" s="89" t="s">
        <v>293</v>
      </c>
      <c r="E11" s="89" t="s">
        <v>304</v>
      </c>
      <c r="F11">
        <v>2</v>
      </c>
      <c r="G11">
        <v>0</v>
      </c>
      <c r="H11" s="89" t="s">
        <v>194</v>
      </c>
      <c r="I11">
        <v>1.87</v>
      </c>
      <c r="J11">
        <v>3.2</v>
      </c>
      <c r="K11">
        <v>4.46</v>
      </c>
      <c r="N11" s="70" t="s">
        <v>289</v>
      </c>
      <c r="O11" s="41">
        <f>AVERAGEIF(_bra1[TeamHome],N11,_bra1[OddHome])</f>
        <v>3.3685714285714283</v>
      </c>
      <c r="P11" s="41">
        <f>AVERAGEIF(_bra1[TeamAway],N11,_bra1[OddAway])</f>
        <v>7.0900000000000007</v>
      </c>
      <c r="Q11" s="42">
        <f>AVERAGEIFS(_bra1[OddHome],_bra1[RESULT],"H",_bra1[TeamHome],N11)</f>
        <v>2.71</v>
      </c>
      <c r="R11" s="42" t="e">
        <f>AVERAGEIFS(_bra1[OddAway],_bra1[RESULT],"A",_bra1[TeamAway],N11)</f>
        <v>#DIV/0!</v>
      </c>
    </row>
    <row r="12" spans="1:18" x14ac:dyDescent="0.25">
      <c r="A12" t="str">
        <f>COUNTIF($D$2:D12,D12)&amp;D12</f>
        <v>1Albacete</v>
      </c>
      <c r="B12" t="str">
        <f>COUNTIF($E$2:E12,E12)&amp;E12</f>
        <v>1Espanyol</v>
      </c>
      <c r="C12" s="21">
        <v>45151</v>
      </c>
      <c r="D12" s="89" t="s">
        <v>301</v>
      </c>
      <c r="E12" s="89" t="s">
        <v>291</v>
      </c>
      <c r="F12">
        <v>1</v>
      </c>
      <c r="G12">
        <v>1</v>
      </c>
      <c r="H12" s="89" t="s">
        <v>2</v>
      </c>
      <c r="I12">
        <v>2.25</v>
      </c>
      <c r="J12">
        <v>3.15</v>
      </c>
      <c r="K12">
        <v>3.21</v>
      </c>
      <c r="N12" s="69" t="s">
        <v>286</v>
      </c>
      <c r="O12" s="41">
        <f>AVERAGEIF(_bra1[TeamHome],N12,_bra1[OddHome])</f>
        <v>3.2042857142857137</v>
      </c>
      <c r="P12" s="41">
        <f>AVERAGEIF(_bra1[TeamAway],N12,_bra1[OddAway])</f>
        <v>6.1655555555555557</v>
      </c>
      <c r="Q12" s="42">
        <f>AVERAGEIFS(_bra1[OddHome],_bra1[RESULT],"H",_bra1[TeamHome],N12)</f>
        <v>3.1924999999999999</v>
      </c>
      <c r="R12" s="42">
        <f>AVERAGEIFS(_bra1[OddAway],_bra1[RESULT],"A",_bra1[TeamAway],N12)</f>
        <v>4.2500000000000009</v>
      </c>
    </row>
    <row r="13" spans="1:18" x14ac:dyDescent="0.25">
      <c r="A13" t="str">
        <f>COUNTIF($D$2:D13,D13)&amp;D13</f>
        <v>1Burgos</v>
      </c>
      <c r="B13" t="str">
        <f>COUNTIF($E$2:E13,E13)&amp;E13</f>
        <v>1Huesca</v>
      </c>
      <c r="C13" s="21">
        <v>45151</v>
      </c>
      <c r="D13" s="89" t="s">
        <v>302</v>
      </c>
      <c r="E13" s="89" t="s">
        <v>310</v>
      </c>
      <c r="F13">
        <v>1</v>
      </c>
      <c r="G13">
        <v>1</v>
      </c>
      <c r="H13" s="89" t="s">
        <v>2</v>
      </c>
      <c r="I13">
        <v>2.17</v>
      </c>
      <c r="J13">
        <v>2.89</v>
      </c>
      <c r="K13">
        <v>3.76</v>
      </c>
      <c r="N13" s="70" t="s">
        <v>284</v>
      </c>
      <c r="O13" s="41">
        <f>AVERAGEIF(_bra1[TeamHome],N13,_bra1[OddHome])</f>
        <v>3.11</v>
      </c>
      <c r="P13" s="41">
        <f>AVERAGEIF(_bra1[TeamAway],N13,_bra1[OddAway])</f>
        <v>4.9425000000000008</v>
      </c>
      <c r="Q13" s="42">
        <f>AVERAGEIFS(_bra1[OddHome],_bra1[RESULT],"H",_bra1[TeamHome],N13)</f>
        <v>2.61</v>
      </c>
      <c r="R13" s="42">
        <f>AVERAGEIFS(_bra1[OddAway],_bra1[RESULT],"A",_bra1[TeamAway],N13)</f>
        <v>4.2</v>
      </c>
    </row>
    <row r="14" spans="1:18" x14ac:dyDescent="0.25">
      <c r="A14" t="str">
        <f>COUNTIF($D$2:D14,D14)&amp;D14</f>
        <v>1Celta Vigo</v>
      </c>
      <c r="B14" t="str">
        <f>COUNTIF($E$2:E14,E14)&amp;E14</f>
        <v>1Osasuna</v>
      </c>
      <c r="C14" s="21">
        <v>45151</v>
      </c>
      <c r="D14" s="89" t="s">
        <v>288</v>
      </c>
      <c r="E14" s="89" t="s">
        <v>280</v>
      </c>
      <c r="F14">
        <v>0</v>
      </c>
      <c r="G14">
        <v>2</v>
      </c>
      <c r="H14" s="89" t="s">
        <v>195</v>
      </c>
      <c r="I14">
        <v>2.1</v>
      </c>
      <c r="J14">
        <v>3.18</v>
      </c>
      <c r="K14">
        <v>3.85</v>
      </c>
      <c r="N14" s="69" t="s">
        <v>280</v>
      </c>
      <c r="O14" s="41">
        <f>AVERAGEIF(_bra1[TeamHome],N14,_bra1[OddHome])</f>
        <v>3.26125</v>
      </c>
      <c r="P14" s="41">
        <f>AVERAGEIF(_bra1[TeamAway],N14,_bra1[OddAway])</f>
        <v>4.5762500000000008</v>
      </c>
      <c r="Q14" s="42">
        <f>AVERAGEIFS(_bra1[OddHome],_bra1[RESULT],"H",_bra1[TeamHome],N14)</f>
        <v>1.66</v>
      </c>
      <c r="R14" s="42">
        <f>AVERAGEIFS(_bra1[OddAway],_bra1[RESULT],"A",_bra1[TeamAway],N14)</f>
        <v>4.083333333333333</v>
      </c>
    </row>
    <row r="15" spans="1:18" x14ac:dyDescent="0.25">
      <c r="A15" t="str">
        <f>COUNTIF($D$2:D15,D15)&amp;D15</f>
        <v>1Cartagena</v>
      </c>
      <c r="B15" t="str">
        <f>COUNTIF($E$2:E15,E15)&amp;E15</f>
        <v>1Eldense</v>
      </c>
      <c r="C15" s="21">
        <v>45151</v>
      </c>
      <c r="D15" s="89" t="s">
        <v>312</v>
      </c>
      <c r="E15" s="89" t="s">
        <v>303</v>
      </c>
      <c r="F15">
        <v>0</v>
      </c>
      <c r="G15">
        <v>1</v>
      </c>
      <c r="H15" s="89" t="s">
        <v>195</v>
      </c>
      <c r="I15">
        <v>2.12</v>
      </c>
      <c r="J15">
        <v>3.04</v>
      </c>
      <c r="K15">
        <v>3.67</v>
      </c>
      <c r="N15" s="70" t="s">
        <v>277</v>
      </c>
      <c r="O15" s="41">
        <f>AVERAGEIF(_bra1[TeamHome],N15,_bra1[OddHome])</f>
        <v>3.0942857142857139</v>
      </c>
      <c r="P15" s="41">
        <f>AVERAGEIF(_bra1[TeamAway],N15,_bra1[OddAway])</f>
        <v>5.05</v>
      </c>
      <c r="Q15" s="42">
        <f>AVERAGEIFS(_bra1[OddHome],_bra1[RESULT],"H",_bra1[TeamHome],N15)</f>
        <v>2.02</v>
      </c>
      <c r="R15" s="42">
        <f>AVERAGEIFS(_bra1[OddAway],_bra1[RESULT],"A",_bra1[TeamAway],N15)</f>
        <v>2.8666666666666671</v>
      </c>
    </row>
    <row r="16" spans="1:18" x14ac:dyDescent="0.25">
      <c r="A16" t="str">
        <f>COUNTIF($D$2:D16,D16)&amp;D16</f>
        <v>1Getafe</v>
      </c>
      <c r="B16" t="str">
        <f>COUNTIF($E$2:E16,E16)&amp;E16</f>
        <v>1FC Barcelona</v>
      </c>
      <c r="C16" s="21">
        <v>45151</v>
      </c>
      <c r="D16" s="89" t="s">
        <v>281</v>
      </c>
      <c r="E16" s="89" t="s">
        <v>273</v>
      </c>
      <c r="F16">
        <v>0</v>
      </c>
      <c r="G16">
        <v>0</v>
      </c>
      <c r="H16" s="89" t="s">
        <v>2</v>
      </c>
      <c r="I16">
        <v>6.97</v>
      </c>
      <c r="J16">
        <v>3.97</v>
      </c>
      <c r="K16">
        <v>1.54</v>
      </c>
      <c r="N16" s="69" t="s">
        <v>278</v>
      </c>
      <c r="O16" s="41">
        <f>AVERAGEIF(_bra1[TeamHome],N16,_bra1[OddHome])</f>
        <v>2.4787500000000002</v>
      </c>
      <c r="P16" s="41">
        <f>AVERAGEIF(_bra1[TeamAway],N16,_bra1[OddAway])</f>
        <v>4.0075000000000003</v>
      </c>
      <c r="Q16" s="42">
        <f>AVERAGEIFS(_bra1[OddHome],_bra1[RESULT],"H",_bra1[TeamHome],N16)</f>
        <v>1.9339999999999999</v>
      </c>
      <c r="R16" s="42">
        <f>AVERAGEIFS(_bra1[OddAway],_bra1[RESULT],"A",_bra1[TeamAway],N16)</f>
        <v>4.6399999999999997</v>
      </c>
    </row>
    <row r="17" spans="1:18" x14ac:dyDescent="0.25">
      <c r="A17" t="str">
        <f>COUNTIF($D$2:D17,D17)&amp;D17</f>
        <v>1Leganes</v>
      </c>
      <c r="B17" t="str">
        <f>COUNTIF($E$2:E17,E17)&amp;E17</f>
        <v>1FC Andorra</v>
      </c>
      <c r="C17" s="21">
        <v>45151</v>
      </c>
      <c r="D17" s="89" t="s">
        <v>292</v>
      </c>
      <c r="E17" s="89" t="s">
        <v>307</v>
      </c>
      <c r="F17">
        <v>0</v>
      </c>
      <c r="G17">
        <v>1</v>
      </c>
      <c r="H17" s="89" t="s">
        <v>195</v>
      </c>
      <c r="I17">
        <v>2.39</v>
      </c>
      <c r="J17">
        <v>2.86</v>
      </c>
      <c r="K17">
        <v>3.27</v>
      </c>
      <c r="N17" s="70" t="s">
        <v>271</v>
      </c>
      <c r="O17" s="41">
        <f>AVERAGEIF(_bra1[TeamHome],N17,_bra1[OddHome])</f>
        <v>1.3171428571428569</v>
      </c>
      <c r="P17" s="41">
        <f>AVERAGEIF(_bra1[TeamAway],N17,_bra1[OddAway])</f>
        <v>1.9355555555555553</v>
      </c>
      <c r="Q17" s="42">
        <f>AVERAGEIFS(_bra1[OddHome],_bra1[RESULT],"H",_bra1[TeamHome],N17)</f>
        <v>1.3333333333333333</v>
      </c>
      <c r="R17" s="42">
        <f>AVERAGEIFS(_bra1[OddAway],_bra1[RESULT],"A",_bra1[TeamAway],N17)</f>
        <v>1.9016666666666666</v>
      </c>
    </row>
    <row r="18" spans="1:18" x14ac:dyDescent="0.25">
      <c r="A18" t="str">
        <f>COUNTIF($D$2:D18,D18)&amp;D18</f>
        <v>1Villarreal</v>
      </c>
      <c r="B18" t="str">
        <f>COUNTIF($E$2:E18,E18)&amp;E18</f>
        <v>1Real Betis</v>
      </c>
      <c r="C18" s="21">
        <v>45151</v>
      </c>
      <c r="D18" s="89" t="s">
        <v>285</v>
      </c>
      <c r="E18" s="89" t="s">
        <v>278</v>
      </c>
      <c r="F18">
        <v>1</v>
      </c>
      <c r="G18">
        <v>2</v>
      </c>
      <c r="H18" s="89" t="s">
        <v>195</v>
      </c>
      <c r="I18">
        <v>1.73</v>
      </c>
      <c r="J18">
        <v>3.93</v>
      </c>
      <c r="K18">
        <v>4.6399999999999997</v>
      </c>
      <c r="N18" s="69" t="s">
        <v>276</v>
      </c>
      <c r="O18" s="41">
        <f>AVERAGEIF(_bra1[TeamHome],N18,_bra1[OddHome])</f>
        <v>1.9312499999999999</v>
      </c>
      <c r="P18" s="41">
        <f>AVERAGEIF(_bra1[TeamAway],N18,_bra1[OddAway])</f>
        <v>2.8375000000000004</v>
      </c>
      <c r="Q18" s="42">
        <f>AVERAGEIFS(_bra1[OddHome],_bra1[RESULT],"H",_bra1[TeamHome],N18)</f>
        <v>1.7279999999999998</v>
      </c>
      <c r="R18" s="42">
        <f>AVERAGEIFS(_bra1[OddAway],_bra1[RESULT],"A",_bra1[TeamAway],N18)</f>
        <v>2.3966666666666665</v>
      </c>
    </row>
    <row r="19" spans="1:18" x14ac:dyDescent="0.25">
      <c r="A19" t="str">
        <f>COUNTIF($D$2:D19,D19)&amp;D19</f>
        <v>1Atletico Madrid</v>
      </c>
      <c r="B19" t="str">
        <f>COUNTIF($E$2:E19,E19)&amp;E19</f>
        <v>1Granada</v>
      </c>
      <c r="C19" s="21">
        <v>45152</v>
      </c>
      <c r="D19" s="89" t="s">
        <v>275</v>
      </c>
      <c r="E19" s="89" t="s">
        <v>289</v>
      </c>
      <c r="F19">
        <v>3</v>
      </c>
      <c r="G19">
        <v>1</v>
      </c>
      <c r="H19" s="89" t="s">
        <v>194</v>
      </c>
      <c r="I19">
        <v>1.32</v>
      </c>
      <c r="J19">
        <v>5.5</v>
      </c>
      <c r="K19">
        <v>9.59</v>
      </c>
      <c r="N19" s="70" t="s">
        <v>283</v>
      </c>
      <c r="O19" s="41">
        <f>AVERAGEIF(_bra1[TeamHome],N19,_bra1[OddHome])</f>
        <v>2.2137500000000001</v>
      </c>
      <c r="P19" s="41">
        <f>AVERAGEIF(_bra1[TeamAway],N19,_bra1[OddAway])</f>
        <v>3.9314285714285711</v>
      </c>
      <c r="Q19" s="42">
        <f>AVERAGEIFS(_bra1[OddHome],_bra1[RESULT],"H",_bra1[TeamHome],N19)</f>
        <v>1.635</v>
      </c>
      <c r="R19" s="42" t="e">
        <f>AVERAGEIFS(_bra1[OddAway],_bra1[RESULT],"A",_bra1[TeamAway],N19)</f>
        <v>#DIV/0!</v>
      </c>
    </row>
    <row r="20" spans="1:18" x14ac:dyDescent="0.25">
      <c r="A20" t="str">
        <f>COUNTIF($D$2:D20,D20)&amp;D20</f>
        <v>1Cadiz</v>
      </c>
      <c r="B20" t="str">
        <f>COUNTIF($E$2:E20,E20)&amp;E20</f>
        <v>1Alaves</v>
      </c>
      <c r="C20" s="21">
        <v>45152</v>
      </c>
      <c r="D20" s="89" t="s">
        <v>282</v>
      </c>
      <c r="E20" s="89" t="s">
        <v>287</v>
      </c>
      <c r="F20">
        <v>1</v>
      </c>
      <c r="G20">
        <v>0</v>
      </c>
      <c r="H20" s="89" t="s">
        <v>194</v>
      </c>
      <c r="I20">
        <v>2.2799999999999998</v>
      </c>
      <c r="J20">
        <v>2.94</v>
      </c>
      <c r="K20">
        <v>3.72</v>
      </c>
      <c r="N20" s="69" t="s">
        <v>279</v>
      </c>
      <c r="O20" s="41">
        <f>AVERAGEIF(_bra1[TeamHome],N20,_bra1[OddHome])</f>
        <v>2.1185714285714283</v>
      </c>
      <c r="P20" s="41">
        <f>AVERAGEIF(_bra1[TeamAway],N20,_bra1[OddAway])</f>
        <v>4.4322222222222214</v>
      </c>
      <c r="Q20" s="42">
        <f>AVERAGEIFS(_bra1[OddHome],_bra1[RESULT],"H",_bra1[TeamHome],N20)</f>
        <v>2.0874999999999999</v>
      </c>
      <c r="R20" s="42">
        <f>AVERAGEIFS(_bra1[OddAway],_bra1[RESULT],"A",_bra1[TeamAway],N20)</f>
        <v>4.3899999999999997</v>
      </c>
    </row>
    <row r="21" spans="1:18" x14ac:dyDescent="0.25">
      <c r="A21" t="str">
        <f>COUNTIF($D$2:D21,D21)&amp;D21</f>
        <v>1Mirandes</v>
      </c>
      <c r="B21" t="str">
        <f>COUNTIF($E$2:E21,E21)&amp;E21</f>
        <v>1Alcorcon</v>
      </c>
      <c r="C21" s="21">
        <v>45152</v>
      </c>
      <c r="D21" s="89" t="s">
        <v>306</v>
      </c>
      <c r="E21" s="89" t="s">
        <v>311</v>
      </c>
      <c r="F21">
        <v>4</v>
      </c>
      <c r="G21">
        <v>0</v>
      </c>
      <c r="H21" s="89" t="s">
        <v>194</v>
      </c>
      <c r="I21">
        <v>2.89</v>
      </c>
      <c r="J21">
        <v>2.88</v>
      </c>
      <c r="K21">
        <v>2.64</v>
      </c>
      <c r="N21" s="70" t="s">
        <v>285</v>
      </c>
      <c r="O21" s="41">
        <f>AVERAGEIF(_bra1[TeamHome],N21,_bra1[OddHome])</f>
        <v>2.3955555555555557</v>
      </c>
      <c r="P21" s="41">
        <f>AVERAGEIF(_bra1[TeamAway],N21,_bra1[OddAway])</f>
        <v>3.5371428571428574</v>
      </c>
      <c r="Q21" s="42">
        <f>AVERAGEIFS(_bra1[OddHome],_bra1[RESULT],"H",_bra1[TeamHome],N21)</f>
        <v>1.8199999999999998</v>
      </c>
      <c r="R21" s="42">
        <f>AVERAGEIFS(_bra1[OddAway],_bra1[RESULT],"A",_bra1[TeamAway],N21)</f>
        <v>2.5249999999999999</v>
      </c>
    </row>
    <row r="22" spans="1:18" x14ac:dyDescent="0.25">
      <c r="A22" t="str">
        <f>COUNTIF($D$2:D22,D22)&amp;D22</f>
        <v>1Tenerife</v>
      </c>
      <c r="B22" t="str">
        <f>COUNTIF($E$2:E22,E22)&amp;E22</f>
        <v>1Real Oviedo</v>
      </c>
      <c r="C22" s="21">
        <v>45152</v>
      </c>
      <c r="D22" s="89" t="s">
        <v>295</v>
      </c>
      <c r="E22" s="89" t="s">
        <v>305</v>
      </c>
      <c r="F22">
        <v>1</v>
      </c>
      <c r="G22">
        <v>0</v>
      </c>
      <c r="H22" s="89" t="s">
        <v>194</v>
      </c>
      <c r="I22">
        <v>1.93</v>
      </c>
      <c r="J22">
        <v>2.97</v>
      </c>
      <c r="K22">
        <v>4.5999999999999996</v>
      </c>
      <c r="N22" s="69" t="s">
        <v>301</v>
      </c>
      <c r="O22" s="41">
        <f>AVERAGEIF(_bra1[TeamHome],N22,_bra1[OddHome])</f>
        <v>1.9169999999999998</v>
      </c>
      <c r="P22" s="41">
        <f>AVERAGEIF(_bra1[TeamAway],N22,_bra1[OddAway])</f>
        <v>3.0588888888888892</v>
      </c>
      <c r="Q22" s="42">
        <f>AVERAGEIFS(_bra1[OddHome],_bra1[RESULT],"H",_bra1[TeamHome],N22)</f>
        <v>1.8159999999999996</v>
      </c>
      <c r="R22" s="42">
        <f>AVERAGEIFS(_bra1[OddAway],_bra1[RESULT],"A",_bra1[TeamAway],N22)</f>
        <v>2.48</v>
      </c>
    </row>
    <row r="23" spans="1:18" x14ac:dyDescent="0.25">
      <c r="A23" t="str">
        <f>COUNTIF($D$2:D23,D23)&amp;D23</f>
        <v>1FC Andorra</v>
      </c>
      <c r="B23" t="str">
        <f>COUNTIF($E$2:E23,E23)&amp;E23</f>
        <v>1Cartagena</v>
      </c>
      <c r="C23" s="21">
        <v>45156</v>
      </c>
      <c r="D23" s="89" t="s">
        <v>307</v>
      </c>
      <c r="E23" s="89" t="s">
        <v>312</v>
      </c>
      <c r="F23">
        <v>3</v>
      </c>
      <c r="G23">
        <v>2</v>
      </c>
      <c r="H23" s="89" t="s">
        <v>194</v>
      </c>
      <c r="I23">
        <v>1.83</v>
      </c>
      <c r="J23">
        <v>3.39</v>
      </c>
      <c r="K23">
        <v>4.33</v>
      </c>
      <c r="N23" s="70" t="s">
        <v>311</v>
      </c>
      <c r="O23" s="41">
        <f>AVERAGEIF(_bra1[TeamHome],N23,_bra1[OddHome])</f>
        <v>2.5833333333333335</v>
      </c>
      <c r="P23" s="41">
        <f>AVERAGEIF(_bra1[TeamAway],N23,_bra1[OddAway])</f>
        <v>4.1122222222222229</v>
      </c>
      <c r="Q23" s="42">
        <f>AVERAGEIFS(_bra1[OddHome],_bra1[RESULT],"H",_bra1[TeamHome],N23)</f>
        <v>2.5099999999999998</v>
      </c>
      <c r="R23" s="42">
        <f>AVERAGEIFS(_bra1[OddAway],_bra1[RESULT],"A",_bra1[TeamAway],N23)</f>
        <v>4.21</v>
      </c>
    </row>
    <row r="24" spans="1:18" x14ac:dyDescent="0.25">
      <c r="A24" t="str">
        <f>COUNTIF($D$2:D24,D24)&amp;D24</f>
        <v>1Mallorca</v>
      </c>
      <c r="B24" t="str">
        <f>COUNTIF($E$2:E24,E24)&amp;E24</f>
        <v>1Villarreal</v>
      </c>
      <c r="C24" s="21">
        <v>45156</v>
      </c>
      <c r="D24" s="89" t="s">
        <v>284</v>
      </c>
      <c r="E24" s="89" t="s">
        <v>285</v>
      </c>
      <c r="F24">
        <v>0</v>
      </c>
      <c r="G24">
        <v>1</v>
      </c>
      <c r="H24" s="89" t="s">
        <v>195</v>
      </c>
      <c r="I24">
        <v>2.73</v>
      </c>
      <c r="J24">
        <v>3.2</v>
      </c>
      <c r="K24">
        <v>2.71</v>
      </c>
      <c r="N24" s="69" t="s">
        <v>308</v>
      </c>
      <c r="O24" s="41">
        <f>AVERAGEIF(_bra1[TeamHome],N24,_bra1[OddHome])</f>
        <v>3.0533333333333337</v>
      </c>
      <c r="P24" s="41">
        <f>AVERAGEIF(_bra1[TeamAway],N24,_bra1[OddAway])</f>
        <v>5.8369999999999997</v>
      </c>
      <c r="Q24" s="42">
        <f>AVERAGEIFS(_bra1[OddHome],_bra1[RESULT],"H",_bra1[TeamHome],N24)</f>
        <v>2.8000000000000003</v>
      </c>
      <c r="R24" s="42" t="e">
        <f>AVERAGEIFS(_bra1[OddAway],_bra1[RESULT],"A",_bra1[TeamAway],N24)</f>
        <v>#DIV/0!</v>
      </c>
    </row>
    <row r="25" spans="1:18" x14ac:dyDescent="0.25">
      <c r="A25" t="str">
        <f>COUNTIF($D$2:D25,D25)&amp;D25</f>
        <v>1Valencia</v>
      </c>
      <c r="B25" t="str">
        <f>COUNTIF($E$2:E25,E25)&amp;E25</f>
        <v>1Las Palmas</v>
      </c>
      <c r="C25" s="21">
        <v>45156</v>
      </c>
      <c r="D25" s="89" t="s">
        <v>279</v>
      </c>
      <c r="E25" s="89" t="s">
        <v>286</v>
      </c>
      <c r="F25">
        <v>1</v>
      </c>
      <c r="G25">
        <v>0</v>
      </c>
      <c r="H25" s="89" t="s">
        <v>194</v>
      </c>
      <c r="I25">
        <v>1.59</v>
      </c>
      <c r="J25">
        <v>3.88</v>
      </c>
      <c r="K25">
        <v>6.28</v>
      </c>
      <c r="N25" s="70" t="s">
        <v>302</v>
      </c>
      <c r="O25" s="41">
        <f>AVERAGEIF(_bra1[TeamHome],N25,_bra1[OddHome])</f>
        <v>2.3259999999999996</v>
      </c>
      <c r="P25" s="41">
        <f>AVERAGEIF(_bra1[TeamAway],N25,_bra1[OddAway])</f>
        <v>4.0533333333333337</v>
      </c>
      <c r="Q25" s="42">
        <f>AVERAGEIFS(_bra1[OddHome],_bra1[RESULT],"H",_bra1[TeamHome],N25)</f>
        <v>2.4099999999999997</v>
      </c>
      <c r="R25" s="42">
        <f>AVERAGEIFS(_bra1[OddAway],_bra1[RESULT],"A",_bra1[TeamAway],N25)</f>
        <v>2.4900000000000002</v>
      </c>
    </row>
    <row r="26" spans="1:18" x14ac:dyDescent="0.25">
      <c r="A26" t="str">
        <f>COUNTIF($D$2:D26,D26)&amp;D26</f>
        <v>2Real Zaragoza</v>
      </c>
      <c r="B26" t="str">
        <f>COUNTIF($E$2:E26,E26)&amp;E26</f>
        <v>1Valladolid</v>
      </c>
      <c r="C26" s="21">
        <v>45156</v>
      </c>
      <c r="D26" s="89" t="s">
        <v>293</v>
      </c>
      <c r="E26" s="89" t="s">
        <v>297</v>
      </c>
      <c r="F26">
        <v>1</v>
      </c>
      <c r="G26">
        <v>0</v>
      </c>
      <c r="H26" s="89" t="s">
        <v>194</v>
      </c>
      <c r="I26">
        <v>2.0699999999999998</v>
      </c>
      <c r="J26">
        <v>3.09</v>
      </c>
      <c r="K26">
        <v>3.78</v>
      </c>
      <c r="N26" s="69" t="s">
        <v>312</v>
      </c>
      <c r="O26" s="41">
        <f>AVERAGEIF(_bra1[TeamHome],N26,_bra1[OddHome])</f>
        <v>2.9788888888888891</v>
      </c>
      <c r="P26" s="41">
        <f>AVERAGEIF(_bra1[TeamAway],N26,_bra1[OddAway])</f>
        <v>4.202</v>
      </c>
      <c r="Q26" s="42">
        <f>AVERAGEIFS(_bra1[OddHome],_bra1[RESULT],"H",_bra1[TeamHome],N26)</f>
        <v>3.05</v>
      </c>
      <c r="R26" s="42">
        <f>AVERAGEIFS(_bra1[OddAway],_bra1[RESULT],"A",_bra1[TeamAway],N26)</f>
        <v>4.3949999999999996</v>
      </c>
    </row>
    <row r="27" spans="1:18" x14ac:dyDescent="0.25">
      <c r="A27" t="str">
        <f>COUNTIF($D$2:D27,D27)&amp;D27</f>
        <v>1Alcorcon</v>
      </c>
      <c r="B27" t="str">
        <f>COUNTIF($E$2:E27,E27)&amp;E27</f>
        <v>1Leganes</v>
      </c>
      <c r="C27" s="21">
        <v>45157</v>
      </c>
      <c r="D27" s="89" t="s">
        <v>311</v>
      </c>
      <c r="E27" s="89" t="s">
        <v>292</v>
      </c>
      <c r="F27">
        <v>0</v>
      </c>
      <c r="G27">
        <v>2</v>
      </c>
      <c r="H27" s="89" t="s">
        <v>195</v>
      </c>
      <c r="I27">
        <v>2.59</v>
      </c>
      <c r="J27">
        <v>2.77</v>
      </c>
      <c r="K27">
        <v>3.06</v>
      </c>
      <c r="N27" s="70" t="s">
        <v>298</v>
      </c>
      <c r="O27" s="41">
        <f>AVERAGEIF(_bra1[TeamHome],N27,_bra1[OddHome])</f>
        <v>1.8266666666666664</v>
      </c>
      <c r="P27" s="41">
        <f>AVERAGEIF(_bra1[TeamAway],N27,_bra1[OddAway])</f>
        <v>2.4769999999999999</v>
      </c>
      <c r="Q27" s="42">
        <f>AVERAGEIFS(_bra1[OddHome],_bra1[RESULT],"H",_bra1[TeamHome],N27)</f>
        <v>1.9339999999999997</v>
      </c>
      <c r="R27" s="42">
        <f>AVERAGEIFS(_bra1[OddAway],_bra1[RESULT],"A",_bra1[TeamAway],N27)</f>
        <v>2.2824999999999998</v>
      </c>
    </row>
    <row r="28" spans="1:18" x14ac:dyDescent="0.25">
      <c r="A28" t="str">
        <f>COUNTIF($D$2:D28,D28)&amp;D28</f>
        <v>2Almeria</v>
      </c>
      <c r="B28" t="str">
        <f>COUNTIF($E$2:E28,E28)&amp;E28</f>
        <v>2Real Madrid</v>
      </c>
      <c r="C28" s="21">
        <v>45157</v>
      </c>
      <c r="D28" s="89" t="s">
        <v>290</v>
      </c>
      <c r="E28" s="89" t="s">
        <v>271</v>
      </c>
      <c r="F28">
        <v>1</v>
      </c>
      <c r="G28">
        <v>3</v>
      </c>
      <c r="H28" s="89" t="s">
        <v>195</v>
      </c>
      <c r="I28">
        <v>6.98</v>
      </c>
      <c r="J28">
        <v>5.1100000000000003</v>
      </c>
      <c r="K28">
        <v>1.42</v>
      </c>
      <c r="N28" s="69" t="s">
        <v>309</v>
      </c>
      <c r="O28" s="41">
        <f>AVERAGEIF(_bra1[TeamHome],N28,_bra1[OddHome])</f>
        <v>1.7990000000000002</v>
      </c>
      <c r="P28" s="41">
        <f>AVERAGEIF(_bra1[TeamAway],N28,_bra1[OddAway])</f>
        <v>3.0355555555555553</v>
      </c>
      <c r="Q28" s="42">
        <f>AVERAGEIFS(_bra1[OddHome],_bra1[RESULT],"H",_bra1[TeamHome],N28)</f>
        <v>1.7716666666666667</v>
      </c>
      <c r="R28" s="42">
        <f>AVERAGEIFS(_bra1[OddAway],_bra1[RESULT],"A",_bra1[TeamAway],N28)</f>
        <v>2.415</v>
      </c>
    </row>
    <row r="29" spans="1:18" x14ac:dyDescent="0.25">
      <c r="A29" t="str">
        <f>COUNTIF($D$2:D29,D29)&amp;D29</f>
        <v>1Eibar</v>
      </c>
      <c r="B29" t="str">
        <f>COUNTIF($E$2:E29,E29)&amp;E29</f>
        <v>1Elche</v>
      </c>
      <c r="C29" s="21">
        <v>45157</v>
      </c>
      <c r="D29" s="89" t="s">
        <v>298</v>
      </c>
      <c r="E29" s="89" t="s">
        <v>309</v>
      </c>
      <c r="F29">
        <v>2</v>
      </c>
      <c r="G29">
        <v>1</v>
      </c>
      <c r="H29" s="89" t="s">
        <v>194</v>
      </c>
      <c r="I29">
        <v>2.2000000000000002</v>
      </c>
      <c r="J29">
        <v>3.02</v>
      </c>
      <c r="K29">
        <v>3.48</v>
      </c>
      <c r="N29" s="70" t="s">
        <v>303</v>
      </c>
      <c r="O29" s="41">
        <f>AVERAGEIF(_bra1[TeamHome],N29,_bra1[OddHome])</f>
        <v>2.5822222222222226</v>
      </c>
      <c r="P29" s="41">
        <f>AVERAGEIF(_bra1[TeamAway],N29,_bra1[OddAway])</f>
        <v>4.5610000000000008</v>
      </c>
      <c r="Q29" s="42">
        <f>AVERAGEIFS(_bra1[OddHome],_bra1[RESULT],"H",_bra1[TeamHome],N29)</f>
        <v>2.2600000000000002</v>
      </c>
      <c r="R29" s="42">
        <f>AVERAGEIFS(_bra1[OddAway],_bra1[RESULT],"A",_bra1[TeamAway],N29)</f>
        <v>3.9333333333333336</v>
      </c>
    </row>
    <row r="30" spans="1:18" x14ac:dyDescent="0.25">
      <c r="A30" t="str">
        <f>COUNTIF($D$2:D30,D30)&amp;D30</f>
        <v>1Espanyol</v>
      </c>
      <c r="B30" t="str">
        <f>COUNTIF($E$2:E30,E30)&amp;E30</f>
        <v>1Racing</v>
      </c>
      <c r="C30" s="21">
        <v>45157</v>
      </c>
      <c r="D30" s="89" t="s">
        <v>291</v>
      </c>
      <c r="E30" s="89" t="s">
        <v>299</v>
      </c>
      <c r="F30">
        <v>2</v>
      </c>
      <c r="G30">
        <v>0</v>
      </c>
      <c r="H30" s="89" t="s">
        <v>194</v>
      </c>
      <c r="I30">
        <v>1.86</v>
      </c>
      <c r="J30">
        <v>3.29</v>
      </c>
      <c r="K30">
        <v>4.38</v>
      </c>
      <c r="N30" s="69" t="s">
        <v>291</v>
      </c>
      <c r="O30" s="41">
        <f>AVERAGEIF(_bra1[TeamHome],N30,_bra1[OddHome])</f>
        <v>1.736</v>
      </c>
      <c r="P30" s="41">
        <f>AVERAGEIF(_bra1[TeamAway],N30,_bra1[OddAway])</f>
        <v>2.5666666666666669</v>
      </c>
      <c r="Q30" s="42">
        <f>AVERAGEIFS(_bra1[OddHome],_bra1[RESULT],"H",_bra1[TeamHome],N30)</f>
        <v>1.6666666666666667</v>
      </c>
      <c r="R30" s="42">
        <f>AVERAGEIFS(_bra1[OddAway],_bra1[RESULT],"A",_bra1[TeamAway],N30)</f>
        <v>2.3733333333333331</v>
      </c>
    </row>
    <row r="31" spans="1:18" x14ac:dyDescent="0.25">
      <c r="A31" t="str">
        <f>COUNTIF($D$2:D31,D31)&amp;D31</f>
        <v>1Levante</v>
      </c>
      <c r="B31" t="str">
        <f>COUNTIF($E$2:E31,E31)&amp;E31</f>
        <v>1Burgos</v>
      </c>
      <c r="C31" s="21">
        <v>45157</v>
      </c>
      <c r="D31" s="89" t="s">
        <v>294</v>
      </c>
      <c r="E31" s="89" t="s">
        <v>302</v>
      </c>
      <c r="F31">
        <v>3</v>
      </c>
      <c r="G31">
        <v>2</v>
      </c>
      <c r="H31" s="89" t="s">
        <v>194</v>
      </c>
      <c r="I31">
        <v>1.86</v>
      </c>
      <c r="J31">
        <v>3.17</v>
      </c>
      <c r="K31">
        <v>4.55</v>
      </c>
      <c r="N31" s="70" t="s">
        <v>307</v>
      </c>
      <c r="O31" s="41">
        <f>AVERAGEIF(_bra1[TeamHome],N31,_bra1[OddHome])</f>
        <v>2.1266666666666669</v>
      </c>
      <c r="P31" s="41">
        <f>AVERAGEIF(_bra1[TeamAway],N31,_bra1[OddAway])</f>
        <v>3.7209999999999992</v>
      </c>
      <c r="Q31" s="42">
        <f>AVERAGEIFS(_bra1[OddHome],_bra1[RESULT],"H",_bra1[TeamHome],N31)</f>
        <v>2.1019999999999999</v>
      </c>
      <c r="R31" s="42">
        <f>AVERAGEIFS(_bra1[OddAway],_bra1[RESULT],"A",_bra1[TeamAway],N31)</f>
        <v>3.27</v>
      </c>
    </row>
    <row r="32" spans="1:18" x14ac:dyDescent="0.25">
      <c r="A32" t="str">
        <f>COUNTIF($D$2:D32,D32)&amp;D32</f>
        <v>1Osasuna</v>
      </c>
      <c r="B32" t="str">
        <f>COUNTIF($E$2:E32,E32)&amp;E32</f>
        <v>1Athletic Bilbao</v>
      </c>
      <c r="C32" s="21">
        <v>45157</v>
      </c>
      <c r="D32" s="89" t="s">
        <v>280</v>
      </c>
      <c r="E32" s="89" t="s">
        <v>274</v>
      </c>
      <c r="F32">
        <v>0</v>
      </c>
      <c r="G32">
        <v>2</v>
      </c>
      <c r="H32" s="89" t="s">
        <v>195</v>
      </c>
      <c r="I32">
        <v>2.89</v>
      </c>
      <c r="J32">
        <v>2.95</v>
      </c>
      <c r="K32">
        <v>2.74</v>
      </c>
      <c r="N32" s="69" t="s">
        <v>310</v>
      </c>
      <c r="O32" s="41">
        <f>AVERAGEIF(_bra1[TeamHome],N32,_bra1[OddHome])</f>
        <v>2.6570000000000009</v>
      </c>
      <c r="P32" s="41">
        <f>AVERAGEIF(_bra1[TeamAway],N32,_bra1[OddAway])</f>
        <v>4.2388888888888889</v>
      </c>
      <c r="Q32" s="42">
        <f>AVERAGEIFS(_bra1[OddHome],_bra1[RESULT],"H",_bra1[TeamHome],N32)</f>
        <v>2.19</v>
      </c>
      <c r="R32" s="42">
        <f>AVERAGEIFS(_bra1[OddAway],_bra1[RESULT],"A",_bra1[TeamAway],N32)</f>
        <v>3.436666666666667</v>
      </c>
    </row>
    <row r="33" spans="1:18" x14ac:dyDescent="0.25">
      <c r="A33" t="str">
        <f>COUNTIF($D$2:D33,D33)&amp;D33</f>
        <v>2Real Sociedad</v>
      </c>
      <c r="B33" t="str">
        <f>COUNTIF($E$2:E33,E33)&amp;E33</f>
        <v>1Celta Vigo</v>
      </c>
      <c r="C33" s="21">
        <v>45157</v>
      </c>
      <c r="D33" s="89" t="s">
        <v>276</v>
      </c>
      <c r="E33" s="89" t="s">
        <v>288</v>
      </c>
      <c r="F33">
        <v>1</v>
      </c>
      <c r="G33">
        <v>1</v>
      </c>
      <c r="H33" s="89" t="s">
        <v>2</v>
      </c>
      <c r="I33">
        <v>1.69</v>
      </c>
      <c r="J33">
        <v>3.48</v>
      </c>
      <c r="K33">
        <v>5.88</v>
      </c>
      <c r="N33" s="70" t="s">
        <v>292</v>
      </c>
      <c r="O33" s="41">
        <f>AVERAGEIF(_bra1[TeamHome],N33,_bra1[OddHome])</f>
        <v>2.0640000000000005</v>
      </c>
      <c r="P33" s="41">
        <f>AVERAGEIF(_bra1[TeamAway],N33,_bra1[OddAway])</f>
        <v>3.8233333333333337</v>
      </c>
      <c r="Q33" s="42">
        <f>AVERAGEIFS(_bra1[OddHome],_bra1[RESULT],"H",_bra1[TeamHome],N33)</f>
        <v>2.0166666666666666</v>
      </c>
      <c r="R33" s="42">
        <f>AVERAGEIFS(_bra1[OddAway],_bra1[RESULT],"A",_bra1[TeamAway],N33)</f>
        <v>3.8079999999999998</v>
      </c>
    </row>
    <row r="34" spans="1:18" x14ac:dyDescent="0.25">
      <c r="A34" t="str">
        <f>COUNTIF($D$2:D34,D34)&amp;D34</f>
        <v>2Albacete</v>
      </c>
      <c r="B34" t="str">
        <f>COUNTIF($E$2:E34,E34)&amp;E34</f>
        <v>1Amorebieta</v>
      </c>
      <c r="C34" s="21">
        <v>45158</v>
      </c>
      <c r="D34" s="89" t="s">
        <v>301</v>
      </c>
      <c r="E34" s="89" t="s">
        <v>308</v>
      </c>
      <c r="F34">
        <v>2</v>
      </c>
      <c r="G34">
        <v>2</v>
      </c>
      <c r="H34" s="89" t="s">
        <v>2</v>
      </c>
      <c r="I34">
        <v>1.63</v>
      </c>
      <c r="J34">
        <v>3.53</v>
      </c>
      <c r="K34">
        <v>5.78</v>
      </c>
      <c r="N34" s="69" t="s">
        <v>294</v>
      </c>
      <c r="O34" s="41">
        <f>AVERAGEIF(_bra1[TeamHome],N34,_bra1[OddHome])</f>
        <v>2.0099999999999998</v>
      </c>
      <c r="P34" s="41">
        <f>AVERAGEIF(_bra1[TeamAway],N34,_bra1[OddAway])</f>
        <v>3.4629999999999996</v>
      </c>
      <c r="Q34" s="42">
        <f>AVERAGEIFS(_bra1[OddHome],_bra1[RESULT],"H",_bra1[TeamHome],N34)</f>
        <v>2.0150000000000001</v>
      </c>
      <c r="R34" s="42">
        <f>AVERAGEIFS(_bra1[OddAway],_bra1[RESULT],"A",_bra1[TeamAway],N34)</f>
        <v>3.1</v>
      </c>
    </row>
    <row r="35" spans="1:18" x14ac:dyDescent="0.25">
      <c r="A35" t="str">
        <f>COUNTIF($D$2:D35,D35)&amp;D35</f>
        <v>1FC Barcelona</v>
      </c>
      <c r="B35" t="str">
        <f>COUNTIF($E$2:E35,E35)&amp;E35</f>
        <v>1Cadiz</v>
      </c>
      <c r="C35" s="21">
        <v>45158</v>
      </c>
      <c r="D35" s="89" t="s">
        <v>273</v>
      </c>
      <c r="E35" s="89" t="s">
        <v>282</v>
      </c>
      <c r="F35">
        <v>2</v>
      </c>
      <c r="G35">
        <v>0</v>
      </c>
      <c r="H35" s="89" t="s">
        <v>194</v>
      </c>
      <c r="I35">
        <v>1.25</v>
      </c>
      <c r="J35">
        <v>6.06</v>
      </c>
      <c r="K35">
        <v>12.21</v>
      </c>
      <c r="N35" s="70" t="s">
        <v>306</v>
      </c>
      <c r="O35" s="41">
        <f>AVERAGEIF(_bra1[TeamHome],N35,_bra1[OddHome])</f>
        <v>2.8080000000000007</v>
      </c>
      <c r="P35" s="41">
        <f>AVERAGEIF(_bra1[TeamAway],N35,_bra1[OddAway])</f>
        <v>4.12</v>
      </c>
      <c r="Q35" s="42">
        <f>AVERAGEIFS(_bra1[OddHome],_bra1[RESULT],"H",_bra1[TeamHome],N35)</f>
        <v>2.7575000000000003</v>
      </c>
      <c r="R35" s="42">
        <f>AVERAGEIFS(_bra1[OddAway],_bra1[RESULT],"A",_bra1[TeamAway],N35)</f>
        <v>4.1349999999999998</v>
      </c>
    </row>
    <row r="36" spans="1:18" x14ac:dyDescent="0.25">
      <c r="A36" t="str">
        <f>COUNTIF($D$2:D36,D36)&amp;D36</f>
        <v>1Sporting Gijon</v>
      </c>
      <c r="B36" t="str">
        <f>COUNTIF($E$2:E36,E36)&amp;E36</f>
        <v>1Mirandes</v>
      </c>
      <c r="C36" s="21">
        <v>45158</v>
      </c>
      <c r="D36" s="89" t="s">
        <v>296</v>
      </c>
      <c r="E36" s="89" t="s">
        <v>306</v>
      </c>
      <c r="F36">
        <v>3</v>
      </c>
      <c r="G36">
        <v>0</v>
      </c>
      <c r="H36" s="89" t="s">
        <v>194</v>
      </c>
      <c r="I36">
        <v>1.92</v>
      </c>
      <c r="J36">
        <v>3.16</v>
      </c>
      <c r="K36">
        <v>4.21</v>
      </c>
      <c r="N36" s="69" t="s">
        <v>299</v>
      </c>
      <c r="O36" s="41">
        <f>AVERAGEIF(_bra1[TeamHome],N36,_bra1[OddHome])</f>
        <v>2.2769999999999997</v>
      </c>
      <c r="P36" s="41">
        <f>AVERAGEIF(_bra1[TeamAway],N36,_bra1[OddAway])</f>
        <v>3.7111111111111117</v>
      </c>
      <c r="Q36" s="42">
        <f>AVERAGEIFS(_bra1[OddHome],_bra1[RESULT],"H",_bra1[TeamHome],N36)</f>
        <v>2.2999999999999998</v>
      </c>
      <c r="R36" s="42">
        <f>AVERAGEIFS(_bra1[OddAway],_bra1[RESULT],"A",_bra1[TeamAway],N36)</f>
        <v>3.355</v>
      </c>
    </row>
    <row r="37" spans="1:18" x14ac:dyDescent="0.25">
      <c r="A37" t="str">
        <f>COUNTIF($D$2:D37,D37)&amp;D37</f>
        <v>1Girona</v>
      </c>
      <c r="B37" t="str">
        <f>COUNTIF($E$2:E37,E37)&amp;E37</f>
        <v>1Getafe</v>
      </c>
      <c r="C37" s="21">
        <v>45158</v>
      </c>
      <c r="D37" s="89" t="s">
        <v>272</v>
      </c>
      <c r="E37" s="89" t="s">
        <v>281</v>
      </c>
      <c r="F37">
        <v>3</v>
      </c>
      <c r="G37">
        <v>0</v>
      </c>
      <c r="H37" s="89" t="s">
        <v>194</v>
      </c>
      <c r="I37">
        <v>1.94</v>
      </c>
      <c r="J37">
        <v>3.17</v>
      </c>
      <c r="K37">
        <v>4.63</v>
      </c>
      <c r="N37" s="70" t="s">
        <v>300</v>
      </c>
      <c r="O37" s="41">
        <f>AVERAGEIF(_bra1[TeamHome],N37,_bra1[OddHome])</f>
        <v>2.0855555555555556</v>
      </c>
      <c r="P37" s="41">
        <f>AVERAGEIF(_bra1[TeamAway],N37,_bra1[OddAway])</f>
        <v>4.2530000000000001</v>
      </c>
      <c r="Q37" s="42">
        <f>AVERAGEIFS(_bra1[OddHome],_bra1[RESULT],"H",_bra1[TeamHome],N37)</f>
        <v>2.234</v>
      </c>
      <c r="R37" s="42">
        <f>AVERAGEIFS(_bra1[OddAway],_bra1[RESULT],"A",_bra1[TeamAway],N37)</f>
        <v>3.9733333333333332</v>
      </c>
    </row>
    <row r="38" spans="1:18" x14ac:dyDescent="0.25">
      <c r="A38" t="str">
        <f>COUNTIF($D$2:D38,D38)&amp;D38</f>
        <v>1Real Oviedo</v>
      </c>
      <c r="B38" t="str">
        <f>COUNTIF($E$2:E38,E38)&amp;E38</f>
        <v>2Racing Ferrol</v>
      </c>
      <c r="C38" s="21">
        <v>45158</v>
      </c>
      <c r="D38" s="89" t="s">
        <v>305</v>
      </c>
      <c r="E38" s="89" t="s">
        <v>300</v>
      </c>
      <c r="F38">
        <v>1</v>
      </c>
      <c r="G38">
        <v>1</v>
      </c>
      <c r="H38" s="89" t="s">
        <v>2</v>
      </c>
      <c r="I38">
        <v>2.1</v>
      </c>
      <c r="J38">
        <v>2.84</v>
      </c>
      <c r="K38">
        <v>4.05</v>
      </c>
      <c r="N38" s="69" t="s">
        <v>305</v>
      </c>
      <c r="O38" s="41">
        <f>AVERAGEIF(_bra1[TeamHome],N38,_bra1[OddHome])</f>
        <v>2.2344444444444442</v>
      </c>
      <c r="P38" s="41">
        <f>AVERAGEIF(_bra1[TeamAway],N38,_bra1[OddAway])</f>
        <v>3.3640000000000008</v>
      </c>
      <c r="Q38" s="42">
        <f>AVERAGEIFS(_bra1[OddHome],_bra1[RESULT],"H",_bra1[TeamHome],N38)</f>
        <v>2.278</v>
      </c>
      <c r="R38" s="42">
        <f>AVERAGEIFS(_bra1[OddAway],_bra1[RESULT],"A",_bra1[TeamAway],N38)</f>
        <v>2.83</v>
      </c>
    </row>
    <row r="39" spans="1:18" x14ac:dyDescent="0.25">
      <c r="A39" t="str">
        <f>COUNTIF($D$2:D39,D39)&amp;D39</f>
        <v>1Real Betis</v>
      </c>
      <c r="B39" t="str">
        <f>COUNTIF($E$2:E39,E39)&amp;E39</f>
        <v>1Atletico Madrid</v>
      </c>
      <c r="C39" s="21">
        <v>45158</v>
      </c>
      <c r="D39" s="89" t="s">
        <v>278</v>
      </c>
      <c r="E39" s="89" t="s">
        <v>275</v>
      </c>
      <c r="F39">
        <v>0</v>
      </c>
      <c r="G39">
        <v>0</v>
      </c>
      <c r="H39" s="89" t="s">
        <v>2</v>
      </c>
      <c r="I39">
        <v>3.74</v>
      </c>
      <c r="J39">
        <v>3.46</v>
      </c>
      <c r="K39">
        <v>2.0299999999999998</v>
      </c>
      <c r="N39" s="70" t="s">
        <v>293</v>
      </c>
      <c r="O39" s="41">
        <f>AVERAGEIF(_bra1[TeamHome],N39,_bra1[OddHome])</f>
        <v>2.157</v>
      </c>
      <c r="P39" s="41">
        <f>AVERAGEIF(_bra1[TeamAway],N39,_bra1[OddAway])</f>
        <v>3.6977777777777781</v>
      </c>
      <c r="Q39" s="42">
        <f>AVERAGEIFS(_bra1[OddHome],_bra1[RESULT],"H",_bra1[TeamHome],N39)</f>
        <v>2.0550000000000002</v>
      </c>
      <c r="R39" s="42">
        <f>AVERAGEIFS(_bra1[OddAway],_bra1[RESULT],"A",_bra1[TeamAway],N39)</f>
        <v>3.16</v>
      </c>
    </row>
    <row r="40" spans="1:18" x14ac:dyDescent="0.25">
      <c r="A40" t="str">
        <f>COUNTIF($D$2:D40,D40)&amp;D40</f>
        <v>1Alaves</v>
      </c>
      <c r="B40" t="str">
        <f>COUNTIF($E$2:E40,E40)&amp;E40</f>
        <v>1Sevilla FC</v>
      </c>
      <c r="C40" s="21">
        <v>45159</v>
      </c>
      <c r="D40" s="89" t="s">
        <v>287</v>
      </c>
      <c r="E40" s="89" t="s">
        <v>283</v>
      </c>
      <c r="F40">
        <v>4</v>
      </c>
      <c r="G40">
        <v>3</v>
      </c>
      <c r="H40" s="89" t="s">
        <v>194</v>
      </c>
      <c r="I40">
        <v>3.41</v>
      </c>
      <c r="J40">
        <v>3.05</v>
      </c>
      <c r="K40">
        <v>2.35</v>
      </c>
      <c r="N40" s="69" t="s">
        <v>296</v>
      </c>
      <c r="O40" s="41">
        <f>AVERAGEIF(_bra1[TeamHome],N40,_bra1[OddHome])</f>
        <v>2.0655555555555556</v>
      </c>
      <c r="P40" s="41">
        <f>AVERAGEIF(_bra1[TeamAway],N40,_bra1[OddAway])</f>
        <v>3.1160000000000005</v>
      </c>
      <c r="Q40" s="42">
        <f>AVERAGEIFS(_bra1[OddHome],_bra1[RESULT],"H",_bra1[TeamHome],N40)</f>
        <v>2.2066666666666666</v>
      </c>
      <c r="R40" s="42">
        <f>AVERAGEIFS(_bra1[OddAway],_bra1[RESULT],"A",_bra1[TeamAway],N40)</f>
        <v>2.9866666666666668</v>
      </c>
    </row>
    <row r="41" spans="1:18" x14ac:dyDescent="0.25">
      <c r="A41" t="str">
        <f>COUNTIF($D$2:D41,D41)&amp;D41</f>
        <v>1Granada</v>
      </c>
      <c r="B41" t="str">
        <f>COUNTIF($E$2:E41,E41)&amp;E41</f>
        <v>2Rayo Vallecano</v>
      </c>
      <c r="C41" s="21">
        <v>45159</v>
      </c>
      <c r="D41" s="89" t="s">
        <v>289</v>
      </c>
      <c r="E41" s="89" t="s">
        <v>277</v>
      </c>
      <c r="F41">
        <v>0</v>
      </c>
      <c r="G41">
        <v>2</v>
      </c>
      <c r="H41" s="89" t="s">
        <v>195</v>
      </c>
      <c r="I41">
        <v>2.81</v>
      </c>
      <c r="J41">
        <v>3.08</v>
      </c>
      <c r="K41">
        <v>2.74</v>
      </c>
      <c r="N41" s="70" t="s">
        <v>295</v>
      </c>
      <c r="O41" s="41">
        <f>AVERAGEIF(_bra1[TeamHome],N41,_bra1[OddHome])</f>
        <v>2.0066666666666664</v>
      </c>
      <c r="P41" s="41">
        <f>AVERAGEIF(_bra1[TeamAway],N41,_bra1[OddAway])</f>
        <v>3.3855555555555554</v>
      </c>
      <c r="Q41" s="42">
        <f>AVERAGEIFS(_bra1[OddHome],_bra1[RESULT],"H",_bra1[TeamHome],N41)</f>
        <v>2.048</v>
      </c>
      <c r="R41" s="42">
        <f>AVERAGEIFS(_bra1[OddAway],_bra1[RESULT],"A",_bra1[TeamAway],N41)</f>
        <v>3.1999999999999997</v>
      </c>
    </row>
    <row r="42" spans="1:18" x14ac:dyDescent="0.25">
      <c r="A42" t="str">
        <f>COUNTIF($D$2:D42,D42)&amp;D42</f>
        <v>1Huesca</v>
      </c>
      <c r="B42" t="str">
        <f>COUNTIF($E$2:E42,E42)&amp;E42</f>
        <v>1Tenerife</v>
      </c>
      <c r="C42" s="21">
        <v>45159</v>
      </c>
      <c r="D42" s="89" t="s">
        <v>310</v>
      </c>
      <c r="E42" s="89" t="s">
        <v>295</v>
      </c>
      <c r="F42">
        <v>0</v>
      </c>
      <c r="G42">
        <v>2</v>
      </c>
      <c r="H42" s="89" t="s">
        <v>195</v>
      </c>
      <c r="I42">
        <v>3.24</v>
      </c>
      <c r="J42">
        <v>2.77</v>
      </c>
      <c r="K42">
        <v>2.48</v>
      </c>
      <c r="N42" s="69" t="s">
        <v>297</v>
      </c>
      <c r="O42" s="41">
        <f>AVERAGEIF(_bra1[TeamHome],N42,_bra1[OddHome])</f>
        <v>1.8700000000000003</v>
      </c>
      <c r="P42" s="41">
        <f>AVERAGEIF(_bra1[TeamAway],N42,_bra1[OddAway])</f>
        <v>3.226666666666667</v>
      </c>
      <c r="Q42" s="42">
        <f>AVERAGEIFS(_bra1[OddHome],_bra1[RESULT],"H",_bra1[TeamHome],N42)</f>
        <v>1.7585714285714285</v>
      </c>
      <c r="R42" s="42">
        <f>AVERAGEIFS(_bra1[OddAway],_bra1[RESULT],"A",_bra1[TeamAway],N42)</f>
        <v>2.665</v>
      </c>
    </row>
    <row r="43" spans="1:18" x14ac:dyDescent="0.25">
      <c r="A43" t="str">
        <f>COUNTIF($D$2:D43,D43)&amp;D43</f>
        <v>1Villarreal B</v>
      </c>
      <c r="B43" t="str">
        <f>COUNTIF($E$2:E43,E43)&amp;E43</f>
        <v>2Eldense</v>
      </c>
      <c r="C43" s="21">
        <v>45159</v>
      </c>
      <c r="D43" s="89" t="s">
        <v>304</v>
      </c>
      <c r="E43" s="89" t="s">
        <v>303</v>
      </c>
      <c r="F43">
        <v>3</v>
      </c>
      <c r="G43">
        <v>1</v>
      </c>
      <c r="H43" s="89" t="s">
        <v>194</v>
      </c>
      <c r="I43">
        <v>2.31</v>
      </c>
      <c r="J43">
        <v>3.04</v>
      </c>
      <c r="K43">
        <v>3.23</v>
      </c>
      <c r="N43" s="70" t="s">
        <v>304</v>
      </c>
      <c r="O43" s="41">
        <f>AVERAGEIF(_bra1[TeamHome],N43,_bra1[OddHome])</f>
        <v>2.72</v>
      </c>
      <c r="P43" s="41">
        <f>AVERAGEIF(_bra1[TeamAway],N43,_bra1[OddAway])</f>
        <v>4.7520000000000007</v>
      </c>
      <c r="Q43" s="42">
        <f>AVERAGEIFS(_bra1[OddHome],_bra1[RESULT],"H",_bra1[TeamHome],N43)</f>
        <v>3.1175000000000002</v>
      </c>
      <c r="R43" s="42">
        <f>AVERAGEIFS(_bra1[OddAway],_bra1[RESULT],"A",_bra1[TeamAway],N43)</f>
        <v>5.21</v>
      </c>
    </row>
    <row r="44" spans="1:18" x14ac:dyDescent="0.25">
      <c r="A44" t="str">
        <f>COUNTIF($D$2:D44,D44)&amp;D44</f>
        <v>2Celta Vigo</v>
      </c>
      <c r="B44" t="str">
        <f>COUNTIF($E$2:E44,E44)&amp;E44</f>
        <v>3Real Madrid</v>
      </c>
      <c r="C44" s="21">
        <v>45163</v>
      </c>
      <c r="D44" s="89" t="s">
        <v>288</v>
      </c>
      <c r="E44" s="89" t="s">
        <v>271</v>
      </c>
      <c r="F44">
        <v>0</v>
      </c>
      <c r="G44">
        <v>1</v>
      </c>
      <c r="H44" s="89" t="s">
        <v>195</v>
      </c>
      <c r="I44">
        <v>4.49</v>
      </c>
      <c r="J44">
        <v>3.82</v>
      </c>
      <c r="K44">
        <v>1.78</v>
      </c>
      <c r="N44" s="18"/>
    </row>
    <row r="45" spans="1:18" x14ac:dyDescent="0.25">
      <c r="A45" t="str">
        <f>COUNTIF($D$2:D45,D45)&amp;D45</f>
        <v>2Cartagena</v>
      </c>
      <c r="B45" t="str">
        <f>COUNTIF($E$2:E45,E45)&amp;E45</f>
        <v>2Levante</v>
      </c>
      <c r="C45" s="21">
        <v>45163</v>
      </c>
      <c r="D45" s="89" t="s">
        <v>312</v>
      </c>
      <c r="E45" s="89" t="s">
        <v>294</v>
      </c>
      <c r="F45">
        <v>0</v>
      </c>
      <c r="G45">
        <v>1</v>
      </c>
      <c r="H45" s="89" t="s">
        <v>195</v>
      </c>
      <c r="I45">
        <v>3.28</v>
      </c>
      <c r="J45">
        <v>3.04</v>
      </c>
      <c r="K45">
        <v>2.29</v>
      </c>
      <c r="N45" s="19"/>
    </row>
    <row r="46" spans="1:18" x14ac:dyDescent="0.25">
      <c r="A46" t="str">
        <f>COUNTIF($D$2:D46,D46)&amp;D46</f>
        <v>2Las Palmas</v>
      </c>
      <c r="B46" t="str">
        <f>COUNTIF($E$2:E46,E46)&amp;E46</f>
        <v>1Real Sociedad</v>
      </c>
      <c r="C46" s="21">
        <v>45163</v>
      </c>
      <c r="D46" s="89" t="s">
        <v>286</v>
      </c>
      <c r="E46" s="89" t="s">
        <v>276</v>
      </c>
      <c r="F46">
        <v>0</v>
      </c>
      <c r="G46">
        <v>0</v>
      </c>
      <c r="H46" s="89" t="s">
        <v>2</v>
      </c>
      <c r="I46">
        <v>4.46</v>
      </c>
      <c r="J46">
        <v>3.27</v>
      </c>
      <c r="K46">
        <v>1.94</v>
      </c>
      <c r="N46" s="18"/>
    </row>
    <row r="47" spans="1:18" x14ac:dyDescent="0.25">
      <c r="A47" t="str">
        <f>COUNTIF($D$2:D47,D47)&amp;D47</f>
        <v>2Burgos</v>
      </c>
      <c r="B47" t="str">
        <f>COUNTIF($E$2:E47,E47)&amp;E47</f>
        <v>2Real Oviedo</v>
      </c>
      <c r="C47" s="21">
        <v>45164</v>
      </c>
      <c r="D47" s="89" t="s">
        <v>302</v>
      </c>
      <c r="E47" s="89" t="s">
        <v>305</v>
      </c>
      <c r="F47">
        <v>1</v>
      </c>
      <c r="G47">
        <v>0</v>
      </c>
      <c r="H47" s="89" t="s">
        <v>194</v>
      </c>
      <c r="I47">
        <v>2.33</v>
      </c>
      <c r="J47">
        <v>2.78</v>
      </c>
      <c r="K47">
        <v>3.56</v>
      </c>
      <c r="N47" s="19"/>
    </row>
    <row r="48" spans="1:18" x14ac:dyDescent="0.25">
      <c r="A48" t="str">
        <f>COUNTIF($D$2:D48,D48)&amp;D48</f>
        <v>2Cadiz</v>
      </c>
      <c r="B48" t="str">
        <f>COUNTIF($E$2:E48,E48)&amp;E48</f>
        <v>1Almeria</v>
      </c>
      <c r="C48" s="21">
        <v>45164</v>
      </c>
      <c r="D48" s="89" t="s">
        <v>282</v>
      </c>
      <c r="E48" s="89" t="s">
        <v>290</v>
      </c>
      <c r="F48">
        <v>1</v>
      </c>
      <c r="G48">
        <v>1</v>
      </c>
      <c r="H48" s="89" t="s">
        <v>2</v>
      </c>
      <c r="I48">
        <v>2.16</v>
      </c>
      <c r="J48">
        <v>3.34</v>
      </c>
      <c r="K48">
        <v>3.54</v>
      </c>
      <c r="N48" s="19"/>
    </row>
    <row r="49" spans="1:14" x14ac:dyDescent="0.25">
      <c r="A49" t="str">
        <f>COUNTIF($D$2:D49,D49)&amp;D49</f>
        <v>2Elche</v>
      </c>
      <c r="B49" t="str">
        <f>COUNTIF($E$2:E49,E49)&amp;E49</f>
        <v>2Villarreal B</v>
      </c>
      <c r="C49" s="21">
        <v>45164</v>
      </c>
      <c r="D49" s="89" t="s">
        <v>309</v>
      </c>
      <c r="E49" s="89" t="s">
        <v>304</v>
      </c>
      <c r="F49">
        <v>1</v>
      </c>
      <c r="G49">
        <v>0</v>
      </c>
      <c r="H49" s="89" t="s">
        <v>194</v>
      </c>
      <c r="I49">
        <v>1.59</v>
      </c>
      <c r="J49">
        <v>3.83</v>
      </c>
      <c r="K49">
        <v>5.55</v>
      </c>
      <c r="N49" s="18"/>
    </row>
    <row r="50" spans="1:14" x14ac:dyDescent="0.25">
      <c r="A50" t="str">
        <f>COUNTIF($D$2:D50,D50)&amp;D50</f>
        <v>2Granada</v>
      </c>
      <c r="B50" t="str">
        <f>COUNTIF($E$2:E50,E50)&amp;E50</f>
        <v>2Mallorca</v>
      </c>
      <c r="C50" s="21">
        <v>45164</v>
      </c>
      <c r="D50" s="89" t="s">
        <v>289</v>
      </c>
      <c r="E50" s="89" t="s">
        <v>284</v>
      </c>
      <c r="F50">
        <v>3</v>
      </c>
      <c r="G50">
        <v>2</v>
      </c>
      <c r="H50" s="89" t="s">
        <v>194</v>
      </c>
      <c r="I50">
        <v>2.71</v>
      </c>
      <c r="J50">
        <v>2.95</v>
      </c>
      <c r="K50">
        <v>2.95</v>
      </c>
      <c r="N50" s="19"/>
    </row>
    <row r="51" spans="1:14" x14ac:dyDescent="0.25">
      <c r="A51" t="str">
        <f>COUNTIF($D$2:D51,D51)&amp;D51</f>
        <v>2Sevilla FC</v>
      </c>
      <c r="B51" t="str">
        <f>COUNTIF($E$2:E51,E51)&amp;E51</f>
        <v>2Girona</v>
      </c>
      <c r="C51" s="21">
        <v>45164</v>
      </c>
      <c r="D51" s="89" t="s">
        <v>283</v>
      </c>
      <c r="E51" s="89" t="s">
        <v>272</v>
      </c>
      <c r="F51">
        <v>1</v>
      </c>
      <c r="G51">
        <v>2</v>
      </c>
      <c r="H51" s="89" t="s">
        <v>195</v>
      </c>
      <c r="I51">
        <v>1.94</v>
      </c>
      <c r="J51">
        <v>3.52</v>
      </c>
      <c r="K51">
        <v>4.0199999999999996</v>
      </c>
      <c r="N51" s="18"/>
    </row>
    <row r="52" spans="1:14" x14ac:dyDescent="0.25">
      <c r="A52" t="str">
        <f>COUNTIF($D$2:D52,D52)&amp;D52</f>
        <v>2Tenerife</v>
      </c>
      <c r="B52" t="str">
        <f>COUNTIF($E$2:E52,E52)&amp;E52</f>
        <v>1Real Zaragoza</v>
      </c>
      <c r="C52" s="21">
        <v>45164</v>
      </c>
      <c r="D52" s="89" t="s">
        <v>295</v>
      </c>
      <c r="E52" s="89" t="s">
        <v>293</v>
      </c>
      <c r="F52">
        <v>0</v>
      </c>
      <c r="G52">
        <v>1</v>
      </c>
      <c r="H52" s="89" t="s">
        <v>195</v>
      </c>
      <c r="I52">
        <v>2.19</v>
      </c>
      <c r="J52">
        <v>2.85</v>
      </c>
      <c r="K52">
        <v>3.8</v>
      </c>
      <c r="N52" s="19"/>
    </row>
    <row r="53" spans="1:14" x14ac:dyDescent="0.25">
      <c r="A53" t="str">
        <f>COUNTIF($D$2:D53,D53)&amp;D53</f>
        <v>2Valladolid</v>
      </c>
      <c r="B53" t="str">
        <f>COUNTIF($E$2:E53,E53)&amp;E53</f>
        <v>2Alcorcon</v>
      </c>
      <c r="C53" s="21">
        <v>45164</v>
      </c>
      <c r="D53" s="89" t="s">
        <v>297</v>
      </c>
      <c r="E53" s="89" t="s">
        <v>311</v>
      </c>
      <c r="F53">
        <v>0</v>
      </c>
      <c r="G53">
        <v>2</v>
      </c>
      <c r="H53" s="89" t="s">
        <v>195</v>
      </c>
      <c r="I53">
        <v>2.0099999999999998</v>
      </c>
      <c r="J53">
        <v>3.12</v>
      </c>
      <c r="K53">
        <v>3.98</v>
      </c>
      <c r="N53" s="18"/>
    </row>
    <row r="54" spans="1:14" x14ac:dyDescent="0.25">
      <c r="A54" t="str">
        <f>COUNTIF($D$2:D54,D54)&amp;D54</f>
        <v>2Amorebieta</v>
      </c>
      <c r="B54" t="str">
        <f>COUNTIF($E$2:E54,E54)&amp;E54</f>
        <v>2FC Andorra</v>
      </c>
      <c r="C54" s="21">
        <v>45165</v>
      </c>
      <c r="D54" s="89" t="s">
        <v>308</v>
      </c>
      <c r="E54" s="89" t="s">
        <v>307</v>
      </c>
      <c r="F54">
        <v>3</v>
      </c>
      <c r="G54">
        <v>0</v>
      </c>
      <c r="H54" s="89" t="s">
        <v>194</v>
      </c>
      <c r="I54">
        <v>3.04</v>
      </c>
      <c r="J54">
        <v>2.99</v>
      </c>
      <c r="K54">
        <v>2.44</v>
      </c>
      <c r="N54" s="19"/>
    </row>
    <row r="55" spans="1:14" x14ac:dyDescent="0.25">
      <c r="A55" t="str">
        <f>COUNTIF($D$2:D55,D55)&amp;D55</f>
        <v>2Athletic Bilbao</v>
      </c>
      <c r="B55" t="str">
        <f>COUNTIF($E$2:E55,E55)&amp;E55</f>
        <v>2Real Betis</v>
      </c>
      <c r="C55" s="21">
        <v>45165</v>
      </c>
      <c r="D55" s="89" t="s">
        <v>274</v>
      </c>
      <c r="E55" s="89" t="s">
        <v>278</v>
      </c>
      <c r="F55">
        <v>4</v>
      </c>
      <c r="G55">
        <v>2</v>
      </c>
      <c r="H55" s="89" t="s">
        <v>194</v>
      </c>
      <c r="I55">
        <v>1.94</v>
      </c>
      <c r="J55">
        <v>3.41</v>
      </c>
      <c r="K55">
        <v>4.0999999999999996</v>
      </c>
      <c r="N55" s="18"/>
    </row>
    <row r="56" spans="1:14" x14ac:dyDescent="0.25">
      <c r="A56" t="str">
        <f>COUNTIF($D$2:D56,D56)&amp;D56</f>
        <v>2Leganes</v>
      </c>
      <c r="B56" t="str">
        <f>COUNTIF($E$2:E56,E56)&amp;E56</f>
        <v>1Albacete</v>
      </c>
      <c r="C56" s="21">
        <v>45165</v>
      </c>
      <c r="D56" s="89" t="s">
        <v>292</v>
      </c>
      <c r="E56" s="89" t="s">
        <v>301</v>
      </c>
      <c r="F56">
        <v>2</v>
      </c>
      <c r="G56">
        <v>0</v>
      </c>
      <c r="H56" s="89" t="s">
        <v>194</v>
      </c>
      <c r="I56">
        <v>2.56</v>
      </c>
      <c r="J56">
        <v>2.9</v>
      </c>
      <c r="K56">
        <v>2.96</v>
      </c>
      <c r="N56" s="19"/>
    </row>
    <row r="57" spans="1:14" x14ac:dyDescent="0.25">
      <c r="A57" t="str">
        <f>COUNTIF($D$2:D57,D57)&amp;D57</f>
        <v>2Mirandes</v>
      </c>
      <c r="B57" t="str">
        <f>COUNTIF($E$2:E57,E57)&amp;E57</f>
        <v>2Espanyol</v>
      </c>
      <c r="C57" s="21">
        <v>45165</v>
      </c>
      <c r="D57" s="89" t="s">
        <v>306</v>
      </c>
      <c r="E57" s="89" t="s">
        <v>291</v>
      </c>
      <c r="F57">
        <v>0</v>
      </c>
      <c r="G57">
        <v>1</v>
      </c>
      <c r="H57" s="89" t="s">
        <v>195</v>
      </c>
      <c r="I57">
        <v>3.31</v>
      </c>
      <c r="J57">
        <v>3.01</v>
      </c>
      <c r="K57">
        <v>2.2799999999999998</v>
      </c>
      <c r="N57" s="18"/>
    </row>
    <row r="58" spans="1:14" x14ac:dyDescent="0.25">
      <c r="A58" t="str">
        <f>COUNTIF($D$2:D58,D58)&amp;D58</f>
        <v>1Racing Ferrol</v>
      </c>
      <c r="B58" t="str">
        <f>COUNTIF($E$2:E58,E58)&amp;E58</f>
        <v>2Sporting Gijon</v>
      </c>
      <c r="C58" s="21">
        <v>45165</v>
      </c>
      <c r="D58" s="89" t="s">
        <v>300</v>
      </c>
      <c r="E58" s="89" t="s">
        <v>296</v>
      </c>
      <c r="F58">
        <v>2</v>
      </c>
      <c r="G58">
        <v>0</v>
      </c>
      <c r="H58" s="89" t="s">
        <v>194</v>
      </c>
      <c r="I58">
        <v>2.25</v>
      </c>
      <c r="J58">
        <v>2.94</v>
      </c>
      <c r="K58">
        <v>3.48</v>
      </c>
      <c r="N58" s="19"/>
    </row>
    <row r="59" spans="1:14" x14ac:dyDescent="0.25">
      <c r="A59" t="str">
        <f>COUNTIF($D$2:D59,D59)&amp;D59</f>
        <v>2Valencia</v>
      </c>
      <c r="B59" t="str">
        <f>COUNTIF($E$2:E59,E59)&amp;E59</f>
        <v>2Osasuna</v>
      </c>
      <c r="C59" s="21">
        <v>45165</v>
      </c>
      <c r="D59" s="89" t="s">
        <v>279</v>
      </c>
      <c r="E59" s="89" t="s">
        <v>280</v>
      </c>
      <c r="F59">
        <v>1</v>
      </c>
      <c r="G59">
        <v>2</v>
      </c>
      <c r="H59" s="89" t="s">
        <v>195</v>
      </c>
      <c r="I59">
        <v>1.77</v>
      </c>
      <c r="J59">
        <v>3.4</v>
      </c>
      <c r="K59">
        <v>5.22</v>
      </c>
      <c r="N59" s="18"/>
    </row>
    <row r="60" spans="1:14" x14ac:dyDescent="0.25">
      <c r="A60" t="str">
        <f>COUNTIF($D$2:D60,D60)&amp;D60</f>
        <v>2Villarreal</v>
      </c>
      <c r="B60" t="str">
        <f>COUNTIF($E$2:E60,E60)&amp;E60</f>
        <v>2FC Barcelona</v>
      </c>
      <c r="C60" s="21">
        <v>45165</v>
      </c>
      <c r="D60" s="89" t="s">
        <v>285</v>
      </c>
      <c r="E60" s="89" t="s">
        <v>273</v>
      </c>
      <c r="F60">
        <v>3</v>
      </c>
      <c r="G60">
        <v>4</v>
      </c>
      <c r="H60" s="89" t="s">
        <v>195</v>
      </c>
      <c r="I60">
        <v>3.43</v>
      </c>
      <c r="J60">
        <v>3.66</v>
      </c>
      <c r="K60">
        <v>2.08</v>
      </c>
      <c r="N60" s="19"/>
    </row>
    <row r="61" spans="1:14" x14ac:dyDescent="0.25">
      <c r="A61" t="str">
        <f>COUNTIF($D$2:D61,D61)&amp;D61</f>
        <v>1Eldense</v>
      </c>
      <c r="B61" t="str">
        <f>COUNTIF($E$2:E61,E61)&amp;E61</f>
        <v>2Eibar</v>
      </c>
      <c r="C61" s="21">
        <v>45166</v>
      </c>
      <c r="D61" s="89" t="s">
        <v>303</v>
      </c>
      <c r="E61" s="89" t="s">
        <v>298</v>
      </c>
      <c r="F61">
        <v>2</v>
      </c>
      <c r="G61">
        <v>1</v>
      </c>
      <c r="H61" s="89" t="s">
        <v>194</v>
      </c>
      <c r="I61">
        <v>2.82</v>
      </c>
      <c r="J61">
        <v>2.83</v>
      </c>
      <c r="K61">
        <v>2.73</v>
      </c>
      <c r="N61" s="18"/>
    </row>
    <row r="62" spans="1:14" x14ac:dyDescent="0.25">
      <c r="A62" t="str">
        <f>COUNTIF($D$2:D62,D62)&amp;D62</f>
        <v>2Getafe</v>
      </c>
      <c r="B62" t="str">
        <f>COUNTIF($E$2:E62,E62)&amp;E62</f>
        <v>2Alaves</v>
      </c>
      <c r="C62" s="21">
        <v>45166</v>
      </c>
      <c r="D62" s="89" t="s">
        <v>281</v>
      </c>
      <c r="E62" s="89" t="s">
        <v>287</v>
      </c>
      <c r="F62">
        <v>1</v>
      </c>
      <c r="G62">
        <v>0</v>
      </c>
      <c r="H62" s="89" t="s">
        <v>194</v>
      </c>
      <c r="I62">
        <v>2.4300000000000002</v>
      </c>
      <c r="J62">
        <v>2.69</v>
      </c>
      <c r="K62">
        <v>3.78</v>
      </c>
      <c r="N62" s="19"/>
    </row>
    <row r="63" spans="1:14" x14ac:dyDescent="0.25">
      <c r="A63" t="str">
        <f>COUNTIF($D$2:D63,D63)&amp;D63</f>
        <v>2Racing</v>
      </c>
      <c r="B63" t="str">
        <f>COUNTIF($E$2:E63,E63)&amp;E63</f>
        <v>2Huesca</v>
      </c>
      <c r="C63" s="21">
        <v>45166</v>
      </c>
      <c r="D63" s="89" t="s">
        <v>299</v>
      </c>
      <c r="E63" s="89" t="s">
        <v>310</v>
      </c>
      <c r="F63">
        <v>0</v>
      </c>
      <c r="G63">
        <v>0</v>
      </c>
      <c r="H63" s="89" t="s">
        <v>2</v>
      </c>
      <c r="I63">
        <v>1.98</v>
      </c>
      <c r="J63">
        <v>3.24</v>
      </c>
      <c r="K63">
        <v>3.94</v>
      </c>
      <c r="N63" s="18"/>
    </row>
    <row r="64" spans="1:14" x14ac:dyDescent="0.25">
      <c r="A64" t="str">
        <f>COUNTIF($D$2:D64,D64)&amp;D64</f>
        <v>1Rayo Vallecano</v>
      </c>
      <c r="B64" t="str">
        <f>COUNTIF($E$2:E64,E64)&amp;E64</f>
        <v>2Atletico Madrid</v>
      </c>
      <c r="C64" s="21">
        <v>45166</v>
      </c>
      <c r="D64" s="89" t="s">
        <v>277</v>
      </c>
      <c r="E64" s="89" t="s">
        <v>275</v>
      </c>
      <c r="F64">
        <v>0</v>
      </c>
      <c r="G64">
        <v>7</v>
      </c>
      <c r="H64" s="89" t="s">
        <v>195</v>
      </c>
      <c r="I64">
        <v>3.91</v>
      </c>
      <c r="J64">
        <v>3.33</v>
      </c>
      <c r="K64">
        <v>2.0499999999999998</v>
      </c>
      <c r="N64" s="19"/>
    </row>
    <row r="65" spans="1:14" x14ac:dyDescent="0.25">
      <c r="A65" t="str">
        <f>COUNTIF($D$2:D65,D65)&amp;D65</f>
        <v>3Albacete</v>
      </c>
      <c r="B65" t="str">
        <f>COUNTIF($E$2:E65,E65)&amp;E65</f>
        <v>2Valladolid</v>
      </c>
      <c r="C65" s="21">
        <v>45170</v>
      </c>
      <c r="D65" s="89" t="s">
        <v>301</v>
      </c>
      <c r="E65" s="89" t="s">
        <v>297</v>
      </c>
      <c r="F65">
        <v>2</v>
      </c>
      <c r="G65">
        <v>0</v>
      </c>
      <c r="H65" s="89" t="s">
        <v>194</v>
      </c>
      <c r="I65">
        <v>2.0699999999999998</v>
      </c>
      <c r="J65">
        <v>3.25</v>
      </c>
      <c r="K65">
        <v>3.56</v>
      </c>
      <c r="N65" s="18"/>
    </row>
    <row r="66" spans="1:14" x14ac:dyDescent="0.25">
      <c r="A66" t="str">
        <f>COUNTIF($D$2:D66,D66)&amp;D66</f>
        <v>2Alcorcon</v>
      </c>
      <c r="B66" t="str">
        <f>COUNTIF($E$2:E66,E66)&amp;E66</f>
        <v>3Racing Ferrol</v>
      </c>
      <c r="C66" s="21">
        <v>45170</v>
      </c>
      <c r="D66" s="89" t="s">
        <v>311</v>
      </c>
      <c r="E66" s="89" t="s">
        <v>300</v>
      </c>
      <c r="F66">
        <v>1</v>
      </c>
      <c r="G66">
        <v>1</v>
      </c>
      <c r="H66" s="89" t="s">
        <v>2</v>
      </c>
      <c r="I66">
        <v>2.17</v>
      </c>
      <c r="J66">
        <v>2.91</v>
      </c>
      <c r="K66">
        <v>3.76</v>
      </c>
      <c r="N66" s="19"/>
    </row>
    <row r="67" spans="1:14" x14ac:dyDescent="0.25">
      <c r="A67" t="str">
        <f>COUNTIF($D$2:D67,D67)&amp;D67</f>
        <v>3Almeria</v>
      </c>
      <c r="B67" t="str">
        <f>COUNTIF($E$2:E67,E67)&amp;E67</f>
        <v>2Celta Vigo</v>
      </c>
      <c r="C67" s="21">
        <v>45170</v>
      </c>
      <c r="D67" s="89" t="s">
        <v>290</v>
      </c>
      <c r="E67" s="89" t="s">
        <v>288</v>
      </c>
      <c r="F67">
        <v>2</v>
      </c>
      <c r="G67">
        <v>3</v>
      </c>
      <c r="H67" s="89" t="s">
        <v>195</v>
      </c>
      <c r="I67">
        <v>2.86</v>
      </c>
      <c r="J67">
        <v>3.33</v>
      </c>
      <c r="K67">
        <v>2.5099999999999998</v>
      </c>
      <c r="N67" s="18"/>
    </row>
    <row r="68" spans="1:14" x14ac:dyDescent="0.25">
      <c r="A68" t="str">
        <f>COUNTIF($D$2:D68,D68)&amp;D68</f>
        <v>3Cadiz</v>
      </c>
      <c r="B68" t="str">
        <f>COUNTIF($E$2:E68,E68)&amp;E68</f>
        <v>2Villarreal</v>
      </c>
      <c r="C68" s="21">
        <v>45170</v>
      </c>
      <c r="D68" s="89" t="s">
        <v>282</v>
      </c>
      <c r="E68" s="89" t="s">
        <v>285</v>
      </c>
      <c r="F68">
        <v>3</v>
      </c>
      <c r="G68">
        <v>1</v>
      </c>
      <c r="H68" s="89" t="s">
        <v>194</v>
      </c>
      <c r="I68">
        <v>3.26</v>
      </c>
      <c r="J68">
        <v>3.52</v>
      </c>
      <c r="K68">
        <v>2.2000000000000002</v>
      </c>
      <c r="N68" s="19"/>
    </row>
    <row r="69" spans="1:14" x14ac:dyDescent="0.25">
      <c r="A69" t="str">
        <f>COUNTIF($D$2:D69,D69)&amp;D69</f>
        <v>2Alaves</v>
      </c>
      <c r="B69" t="str">
        <f>COUNTIF($E$2:E69,E69)&amp;E69</f>
        <v>2Valencia</v>
      </c>
      <c r="C69" s="21">
        <v>45171</v>
      </c>
      <c r="D69" s="89" t="s">
        <v>287</v>
      </c>
      <c r="E69" s="89" t="s">
        <v>279</v>
      </c>
      <c r="F69">
        <v>1</v>
      </c>
      <c r="G69">
        <v>0</v>
      </c>
      <c r="H69" s="89" t="s">
        <v>194</v>
      </c>
      <c r="I69">
        <v>3.17</v>
      </c>
      <c r="J69">
        <v>2.92</v>
      </c>
      <c r="K69">
        <v>2.58</v>
      </c>
      <c r="N69" s="18"/>
    </row>
    <row r="70" spans="1:14" x14ac:dyDescent="0.25">
      <c r="A70" t="str">
        <f>COUNTIF($D$2:D70,D70)&amp;D70</f>
        <v>3Elche</v>
      </c>
      <c r="B70" t="str">
        <f>COUNTIF($E$2:E70,E70)&amp;E70</f>
        <v>2Racing</v>
      </c>
      <c r="C70" s="21">
        <v>45171</v>
      </c>
      <c r="D70" s="89" t="s">
        <v>309</v>
      </c>
      <c r="E70" s="89" t="s">
        <v>299</v>
      </c>
      <c r="F70">
        <v>1</v>
      </c>
      <c r="G70">
        <v>1</v>
      </c>
      <c r="H70" s="89" t="s">
        <v>2</v>
      </c>
      <c r="I70">
        <v>1.83</v>
      </c>
      <c r="J70">
        <v>3.36</v>
      </c>
      <c r="K70">
        <v>4.38</v>
      </c>
      <c r="N70" s="19"/>
    </row>
    <row r="71" spans="1:14" x14ac:dyDescent="0.25">
      <c r="A71" t="str">
        <f>COUNTIF($D$2:D71,D71)&amp;D71</f>
        <v>2Sporting Gijon</v>
      </c>
      <c r="B71" t="str">
        <f>COUNTIF($E$2:E71,E71)&amp;E71</f>
        <v>2Burgos</v>
      </c>
      <c r="C71" s="21">
        <v>45171</v>
      </c>
      <c r="D71" s="89" t="s">
        <v>296</v>
      </c>
      <c r="E71" s="89" t="s">
        <v>302</v>
      </c>
      <c r="F71">
        <v>2</v>
      </c>
      <c r="G71">
        <v>1</v>
      </c>
      <c r="H71" s="89" t="s">
        <v>194</v>
      </c>
      <c r="I71">
        <v>2.2799999999999998</v>
      </c>
      <c r="J71">
        <v>2.96</v>
      </c>
      <c r="K71">
        <v>3.36</v>
      </c>
      <c r="N71" s="18"/>
    </row>
    <row r="72" spans="1:14" x14ac:dyDescent="0.25">
      <c r="A72" t="str">
        <f>COUNTIF($D$2:D72,D72)&amp;D72</f>
        <v>2Levante</v>
      </c>
      <c r="B72" t="str">
        <f>COUNTIF($E$2:E72,E72)&amp;E72</f>
        <v>3Real Oviedo</v>
      </c>
      <c r="C72" s="21">
        <v>45171</v>
      </c>
      <c r="D72" s="89" t="s">
        <v>294</v>
      </c>
      <c r="E72" s="89" t="s">
        <v>305</v>
      </c>
      <c r="F72">
        <v>1</v>
      </c>
      <c r="G72">
        <v>1</v>
      </c>
      <c r="H72" s="89" t="s">
        <v>2</v>
      </c>
      <c r="I72">
        <v>1.93</v>
      </c>
      <c r="J72">
        <v>3.04</v>
      </c>
      <c r="K72">
        <v>4.43</v>
      </c>
      <c r="N72" s="19"/>
    </row>
    <row r="73" spans="1:14" x14ac:dyDescent="0.25">
      <c r="A73" t="str">
        <f>COUNTIF($D$2:D73,D73)&amp;D73</f>
        <v>2Real Betis</v>
      </c>
      <c r="B73" t="str">
        <f>COUNTIF($E$2:E73,E73)&amp;E73</f>
        <v>3Rayo Vallecano</v>
      </c>
      <c r="C73" s="21">
        <v>45171</v>
      </c>
      <c r="D73" s="89" t="s">
        <v>278</v>
      </c>
      <c r="E73" s="89" t="s">
        <v>277</v>
      </c>
      <c r="F73">
        <v>1</v>
      </c>
      <c r="G73">
        <v>0</v>
      </c>
      <c r="H73" s="89" t="s">
        <v>194</v>
      </c>
      <c r="I73">
        <v>2.04</v>
      </c>
      <c r="J73">
        <v>3.35</v>
      </c>
      <c r="K73">
        <v>3.87</v>
      </c>
      <c r="N73" s="18"/>
    </row>
    <row r="74" spans="1:14" x14ac:dyDescent="0.25">
      <c r="A74" t="str">
        <f>COUNTIF($D$2:D74,D74)&amp;D74</f>
        <v>1Real Madrid</v>
      </c>
      <c r="B74" t="str">
        <f>COUNTIF($E$2:E74,E74)&amp;E74</f>
        <v>2Getafe</v>
      </c>
      <c r="C74" s="21">
        <v>45171</v>
      </c>
      <c r="D74" s="89" t="s">
        <v>271</v>
      </c>
      <c r="E74" s="89" t="s">
        <v>281</v>
      </c>
      <c r="F74">
        <v>2</v>
      </c>
      <c r="G74">
        <v>1</v>
      </c>
      <c r="H74" s="89" t="s">
        <v>194</v>
      </c>
      <c r="I74">
        <v>1.35</v>
      </c>
      <c r="J74">
        <v>4.8899999999999997</v>
      </c>
      <c r="K74">
        <v>9.84</v>
      </c>
      <c r="N74" s="19"/>
    </row>
    <row r="75" spans="1:14" x14ac:dyDescent="0.25">
      <c r="A75" t="str">
        <f>COUNTIF($D$2:D75,D75)&amp;D75</f>
        <v>3Real Sociedad</v>
      </c>
      <c r="B75" t="str">
        <f>COUNTIF($E$2:E75,E75)&amp;E75</f>
        <v>2Granada</v>
      </c>
      <c r="C75" s="21">
        <v>45171</v>
      </c>
      <c r="D75" s="89" t="s">
        <v>276</v>
      </c>
      <c r="E75" s="89" t="s">
        <v>289</v>
      </c>
      <c r="F75">
        <v>5</v>
      </c>
      <c r="G75">
        <v>3</v>
      </c>
      <c r="H75" s="89" t="s">
        <v>194</v>
      </c>
      <c r="I75">
        <v>1.44</v>
      </c>
      <c r="J75">
        <v>4.49</v>
      </c>
      <c r="K75">
        <v>7.76</v>
      </c>
      <c r="N75" s="19"/>
    </row>
    <row r="76" spans="1:14" x14ac:dyDescent="0.25">
      <c r="A76" t="str">
        <f>COUNTIF($D$2:D76,D76)&amp;D76</f>
        <v>2Villarreal B</v>
      </c>
      <c r="B76" t="str">
        <f>COUNTIF($E$2:E76,E76)&amp;E76</f>
        <v>2Cartagena</v>
      </c>
      <c r="C76" s="21">
        <v>45171</v>
      </c>
      <c r="D76" s="89" t="s">
        <v>304</v>
      </c>
      <c r="E76" s="89" t="s">
        <v>312</v>
      </c>
      <c r="F76">
        <v>1</v>
      </c>
      <c r="G76">
        <v>2</v>
      </c>
      <c r="H76" s="89" t="s">
        <v>195</v>
      </c>
      <c r="I76">
        <v>2.06</v>
      </c>
      <c r="J76">
        <v>3.32</v>
      </c>
      <c r="K76">
        <v>3.5</v>
      </c>
      <c r="N76" s="18"/>
    </row>
    <row r="77" spans="1:14" x14ac:dyDescent="0.25">
      <c r="A77" t="str">
        <f>COUNTIF($D$2:D77,D77)&amp;D77</f>
        <v>2FC Andorra</v>
      </c>
      <c r="B77" t="str">
        <f>COUNTIF($E$2:E77,E77)&amp;E77</f>
        <v>2Tenerife</v>
      </c>
      <c r="C77" s="21">
        <v>45172</v>
      </c>
      <c r="D77" s="89" t="s">
        <v>307</v>
      </c>
      <c r="E77" s="89" t="s">
        <v>295</v>
      </c>
      <c r="F77">
        <v>0</v>
      </c>
      <c r="G77">
        <v>1</v>
      </c>
      <c r="H77" s="89" t="s">
        <v>195</v>
      </c>
      <c r="I77">
        <v>2.12</v>
      </c>
      <c r="J77">
        <v>3</v>
      </c>
      <c r="K77">
        <v>3.76</v>
      </c>
      <c r="N77" s="19"/>
    </row>
    <row r="78" spans="1:14" x14ac:dyDescent="0.25">
      <c r="A78" t="str">
        <f>COUNTIF($D$2:D78,D78)&amp;D78</f>
        <v>2Eibar</v>
      </c>
      <c r="B78" t="str">
        <f>COUNTIF($E$2:E78,E78)&amp;E78</f>
        <v>2Leganes</v>
      </c>
      <c r="C78" s="21">
        <v>45172</v>
      </c>
      <c r="D78" s="89" t="s">
        <v>298</v>
      </c>
      <c r="E78" s="89" t="s">
        <v>292</v>
      </c>
      <c r="F78">
        <v>0</v>
      </c>
      <c r="G78">
        <v>1</v>
      </c>
      <c r="H78" s="89" t="s">
        <v>195</v>
      </c>
      <c r="I78">
        <v>1.81</v>
      </c>
      <c r="J78">
        <v>3.22</v>
      </c>
      <c r="K78">
        <v>4.78</v>
      </c>
      <c r="N78" s="18"/>
    </row>
    <row r="79" spans="1:14" x14ac:dyDescent="0.25">
      <c r="A79" t="str">
        <f>COUNTIF($D$2:D79,D79)&amp;D79</f>
        <v>2Espanyol</v>
      </c>
      <c r="B79" t="str">
        <f>COUNTIF($E$2:E79,E79)&amp;E79</f>
        <v>2Amorebieta</v>
      </c>
      <c r="C79" s="21">
        <v>45172</v>
      </c>
      <c r="D79" s="89" t="s">
        <v>291</v>
      </c>
      <c r="E79" s="89" t="s">
        <v>308</v>
      </c>
      <c r="F79">
        <v>3</v>
      </c>
      <c r="G79">
        <v>2</v>
      </c>
      <c r="H79" s="89" t="s">
        <v>194</v>
      </c>
      <c r="I79">
        <v>1.51</v>
      </c>
      <c r="J79">
        <v>3.84</v>
      </c>
      <c r="K79">
        <v>6.7</v>
      </c>
      <c r="N79" s="19"/>
    </row>
    <row r="80" spans="1:14" x14ac:dyDescent="0.25">
      <c r="A80" t="str">
        <f>COUNTIF($D$2:D80,D80)&amp;D80</f>
        <v>2Girona</v>
      </c>
      <c r="B80" t="str">
        <f>COUNTIF($E$2:E80,E80)&amp;E80</f>
        <v>2Las Palmas</v>
      </c>
      <c r="C80" s="21">
        <v>45172</v>
      </c>
      <c r="D80" s="89" t="s">
        <v>272</v>
      </c>
      <c r="E80" s="89" t="s">
        <v>286</v>
      </c>
      <c r="F80">
        <v>1</v>
      </c>
      <c r="G80">
        <v>0</v>
      </c>
      <c r="H80" s="89" t="s">
        <v>194</v>
      </c>
      <c r="I80">
        <v>1.7</v>
      </c>
      <c r="J80">
        <v>3.84</v>
      </c>
      <c r="K80">
        <v>5.03</v>
      </c>
      <c r="N80" s="18"/>
    </row>
    <row r="81" spans="1:14" x14ac:dyDescent="0.25">
      <c r="A81" t="str">
        <f>COUNTIF($D$2:D81,D81)&amp;D81</f>
        <v>2Huesca</v>
      </c>
      <c r="B81" t="str">
        <f>COUNTIF($E$2:E81,E81)&amp;E81</f>
        <v>2Mirandes</v>
      </c>
      <c r="C81" s="21">
        <v>45172</v>
      </c>
      <c r="D81" s="89" t="s">
        <v>310</v>
      </c>
      <c r="E81" s="89" t="s">
        <v>306</v>
      </c>
      <c r="F81">
        <v>1</v>
      </c>
      <c r="G81">
        <v>1</v>
      </c>
      <c r="H81" s="89" t="s">
        <v>2</v>
      </c>
      <c r="I81">
        <v>2.04</v>
      </c>
      <c r="J81">
        <v>3.06</v>
      </c>
      <c r="K81">
        <v>3.91</v>
      </c>
      <c r="N81" s="19"/>
    </row>
    <row r="82" spans="1:14" x14ac:dyDescent="0.25">
      <c r="A82" t="str">
        <f>COUNTIF($D$2:D82,D82)&amp;D82</f>
        <v>2Mallorca</v>
      </c>
      <c r="B82" t="str">
        <f>COUNTIF($E$2:E82,E82)&amp;E82</f>
        <v>2Athletic Bilbao</v>
      </c>
      <c r="C82" s="21">
        <v>45172</v>
      </c>
      <c r="D82" s="89" t="s">
        <v>284</v>
      </c>
      <c r="E82" s="89" t="s">
        <v>274</v>
      </c>
      <c r="F82">
        <v>0</v>
      </c>
      <c r="G82">
        <v>0</v>
      </c>
      <c r="H82" s="89" t="s">
        <v>2</v>
      </c>
      <c r="I82">
        <v>3.12</v>
      </c>
      <c r="J82">
        <v>2.97</v>
      </c>
      <c r="K82">
        <v>2.56</v>
      </c>
      <c r="N82" s="19"/>
    </row>
    <row r="83" spans="1:14" x14ac:dyDescent="0.25">
      <c r="A83" t="str">
        <f>COUNTIF($D$2:D83,D83)&amp;D83</f>
        <v>2Osasuna</v>
      </c>
      <c r="B83" t="str">
        <f>COUNTIF($E$2:E83,E83)&amp;E83</f>
        <v>3FC Barcelona</v>
      </c>
      <c r="C83" s="21">
        <v>45172</v>
      </c>
      <c r="D83" s="89" t="s">
        <v>280</v>
      </c>
      <c r="E83" s="89" t="s">
        <v>273</v>
      </c>
      <c r="F83">
        <v>1</v>
      </c>
      <c r="G83">
        <v>2</v>
      </c>
      <c r="H83" s="89" t="s">
        <v>195</v>
      </c>
      <c r="I83">
        <v>6.48</v>
      </c>
      <c r="J83">
        <v>4.4800000000000004</v>
      </c>
      <c r="K83">
        <v>1.49</v>
      </c>
      <c r="N83" s="18"/>
    </row>
    <row r="84" spans="1:14" x14ac:dyDescent="0.25">
      <c r="A84" t="str">
        <f>COUNTIF($D$2:D84,D84)&amp;D84</f>
        <v>3Real Zaragoza</v>
      </c>
      <c r="B84" t="str">
        <f>COUNTIF($E$2:E84,E84)&amp;E84</f>
        <v>3Eldense</v>
      </c>
      <c r="C84" s="21">
        <v>45172</v>
      </c>
      <c r="D84" s="89" t="s">
        <v>293</v>
      </c>
      <c r="E84" s="89" t="s">
        <v>303</v>
      </c>
      <c r="F84">
        <v>2</v>
      </c>
      <c r="G84">
        <v>0</v>
      </c>
      <c r="H84" s="89" t="s">
        <v>194</v>
      </c>
      <c r="I84">
        <v>1.8</v>
      </c>
      <c r="J84">
        <v>3.17</v>
      </c>
      <c r="K84">
        <v>4.99</v>
      </c>
      <c r="N84" s="19"/>
    </row>
    <row r="85" spans="1:14" x14ac:dyDescent="0.25">
      <c r="A85" t="str">
        <f>COUNTIF($D$2:D85,D85)&amp;D85</f>
        <v>3Levante</v>
      </c>
      <c r="B85" t="str">
        <f>COUNTIF($E$2:E85,E85)&amp;E85</f>
        <v>3Espanyol</v>
      </c>
      <c r="C85" s="21">
        <v>45177</v>
      </c>
      <c r="D85" s="89" t="s">
        <v>294</v>
      </c>
      <c r="E85" s="89" t="s">
        <v>291</v>
      </c>
      <c r="F85">
        <v>1</v>
      </c>
      <c r="G85">
        <v>4</v>
      </c>
      <c r="H85" s="89" t="s">
        <v>195</v>
      </c>
      <c r="I85">
        <v>2.5099999999999998</v>
      </c>
      <c r="J85">
        <v>3.15</v>
      </c>
      <c r="K85">
        <v>2.81</v>
      </c>
      <c r="N85" s="18"/>
    </row>
    <row r="86" spans="1:14" x14ac:dyDescent="0.25">
      <c r="A86" t="str">
        <f>COUNTIF($D$2:D86,D86)&amp;D86</f>
        <v>3Burgos</v>
      </c>
      <c r="B86" t="str">
        <f>COUNTIF($E$2:E86,E86)&amp;E86</f>
        <v>3Eibar</v>
      </c>
      <c r="C86" s="21">
        <v>45178</v>
      </c>
      <c r="D86" s="89" t="s">
        <v>302</v>
      </c>
      <c r="E86" s="89" t="s">
        <v>298</v>
      </c>
      <c r="F86">
        <v>1</v>
      </c>
      <c r="G86">
        <v>0</v>
      </c>
      <c r="H86" s="89" t="s">
        <v>194</v>
      </c>
      <c r="I86">
        <v>3.11</v>
      </c>
      <c r="J86">
        <v>2.94</v>
      </c>
      <c r="K86">
        <v>2.44</v>
      </c>
      <c r="N86" s="19"/>
    </row>
    <row r="87" spans="1:14" x14ac:dyDescent="0.25">
      <c r="A87" t="str">
        <f>COUNTIF($D$2:D87,D87)&amp;D87</f>
        <v>3Leganes</v>
      </c>
      <c r="B87" t="str">
        <f>COUNTIF($E$2:E87,E87)&amp;E87</f>
        <v>3Huesca</v>
      </c>
      <c r="C87" s="21">
        <v>45178</v>
      </c>
      <c r="D87" s="89" t="s">
        <v>292</v>
      </c>
      <c r="E87" s="89" t="s">
        <v>310</v>
      </c>
      <c r="F87">
        <v>2</v>
      </c>
      <c r="G87">
        <v>0</v>
      </c>
      <c r="H87" s="89" t="s">
        <v>194</v>
      </c>
      <c r="I87">
        <v>2.02</v>
      </c>
      <c r="J87">
        <v>3</v>
      </c>
      <c r="K87">
        <v>4.1399999999999997</v>
      </c>
      <c r="N87" s="19"/>
    </row>
    <row r="88" spans="1:14" x14ac:dyDescent="0.25">
      <c r="A88" t="str">
        <f>COUNTIF($D$2:D88,D88)&amp;D88</f>
        <v>2Real Oviedo</v>
      </c>
      <c r="B88" t="str">
        <f>COUNTIF($E$2:E88,E88)&amp;E88</f>
        <v>3Sporting Gijon</v>
      </c>
      <c r="C88" s="21">
        <v>45178</v>
      </c>
      <c r="D88" s="89" t="s">
        <v>305</v>
      </c>
      <c r="E88" s="89" t="s">
        <v>296</v>
      </c>
      <c r="F88">
        <v>0</v>
      </c>
      <c r="G88">
        <v>0</v>
      </c>
      <c r="H88" s="89" t="s">
        <v>2</v>
      </c>
      <c r="I88">
        <v>2.39</v>
      </c>
      <c r="J88">
        <v>2.81</v>
      </c>
      <c r="K88">
        <v>3.32</v>
      </c>
      <c r="N88" s="19"/>
    </row>
    <row r="89" spans="1:14" x14ac:dyDescent="0.25">
      <c r="A89" t="str">
        <f>COUNTIF($D$2:D89,D89)&amp;D89</f>
        <v>3Tenerife</v>
      </c>
      <c r="B89" t="str">
        <f>COUNTIF($E$2:E89,E89)&amp;E89</f>
        <v>2Albacete</v>
      </c>
      <c r="C89" s="21">
        <v>45178</v>
      </c>
      <c r="D89" s="89" t="s">
        <v>295</v>
      </c>
      <c r="E89" s="89" t="s">
        <v>301</v>
      </c>
      <c r="F89">
        <v>2</v>
      </c>
      <c r="G89">
        <v>0</v>
      </c>
      <c r="H89" s="89" t="s">
        <v>194</v>
      </c>
      <c r="I89">
        <v>2.09</v>
      </c>
      <c r="J89">
        <v>3.07</v>
      </c>
      <c r="K89">
        <v>3.75</v>
      </c>
      <c r="N89" s="18"/>
    </row>
    <row r="90" spans="1:14" x14ac:dyDescent="0.25">
      <c r="A90" t="str">
        <f>COUNTIF($D$2:D90,D90)&amp;D90</f>
        <v>3Cartagena</v>
      </c>
      <c r="B90" t="str">
        <f>COUNTIF($E$2:E90,E90)&amp;E90</f>
        <v>2Real Zaragoza</v>
      </c>
      <c r="C90" s="21">
        <v>45179</v>
      </c>
      <c r="D90" s="89" t="s">
        <v>312</v>
      </c>
      <c r="E90" s="89" t="s">
        <v>293</v>
      </c>
      <c r="F90">
        <v>1</v>
      </c>
      <c r="G90">
        <v>3</v>
      </c>
      <c r="H90" s="89" t="s">
        <v>195</v>
      </c>
      <c r="I90">
        <v>2.94</v>
      </c>
      <c r="J90">
        <v>2.87</v>
      </c>
      <c r="K90">
        <v>2.6</v>
      </c>
      <c r="N90" s="19"/>
    </row>
    <row r="91" spans="1:14" x14ac:dyDescent="0.25">
      <c r="A91" t="str">
        <f>COUNTIF($D$2:D91,D91)&amp;D91</f>
        <v>3Mirandes</v>
      </c>
      <c r="B91" t="str">
        <f>COUNTIF($E$2:E91,E91)&amp;E91</f>
        <v>3FC Andorra</v>
      </c>
      <c r="C91" s="21">
        <v>45179</v>
      </c>
      <c r="D91" s="89" t="s">
        <v>306</v>
      </c>
      <c r="E91" s="89" t="s">
        <v>307</v>
      </c>
      <c r="F91">
        <v>4</v>
      </c>
      <c r="G91">
        <v>3</v>
      </c>
      <c r="H91" s="89" t="s">
        <v>194</v>
      </c>
      <c r="I91">
        <v>2.77</v>
      </c>
      <c r="J91">
        <v>3.01</v>
      </c>
      <c r="K91">
        <v>2.63</v>
      </c>
      <c r="N91" s="18"/>
    </row>
    <row r="92" spans="1:14" x14ac:dyDescent="0.25">
      <c r="A92" t="str">
        <f>COUNTIF($D$2:D92,D92)&amp;D92</f>
        <v>3Racing</v>
      </c>
      <c r="B92" t="str">
        <f>COUNTIF($E$2:E92,E92)&amp;E92</f>
        <v>3Amorebieta</v>
      </c>
      <c r="C92" s="21">
        <v>45179</v>
      </c>
      <c r="D92" s="89" t="s">
        <v>299</v>
      </c>
      <c r="E92" s="89" t="s">
        <v>308</v>
      </c>
      <c r="F92">
        <v>1</v>
      </c>
      <c r="G92">
        <v>0</v>
      </c>
      <c r="H92" s="89" t="s">
        <v>194</v>
      </c>
      <c r="I92">
        <v>1.76</v>
      </c>
      <c r="J92">
        <v>3.35</v>
      </c>
      <c r="K92">
        <v>4.84</v>
      </c>
      <c r="N92" s="19"/>
    </row>
    <row r="93" spans="1:14" x14ac:dyDescent="0.25">
      <c r="A93" t="str">
        <f>COUNTIF($D$2:D93,D93)&amp;D93</f>
        <v>2Racing Ferrol</v>
      </c>
      <c r="B93" t="str">
        <f>COUNTIF($E$2:E93,E93)&amp;E93</f>
        <v>3Villarreal B</v>
      </c>
      <c r="C93" s="21">
        <v>45179</v>
      </c>
      <c r="D93" s="89" t="s">
        <v>300</v>
      </c>
      <c r="E93" s="89" t="s">
        <v>304</v>
      </c>
      <c r="F93">
        <v>2</v>
      </c>
      <c r="G93">
        <v>2</v>
      </c>
      <c r="H93" s="89" t="s">
        <v>2</v>
      </c>
      <c r="I93">
        <v>1.85</v>
      </c>
      <c r="J93">
        <v>3.38</v>
      </c>
      <c r="K93">
        <v>4.21</v>
      </c>
      <c r="N93" s="19"/>
    </row>
    <row r="94" spans="1:14" x14ac:dyDescent="0.25">
      <c r="A94" t="str">
        <f>COUNTIF($D$2:D94,D94)&amp;D94</f>
        <v>3Valladolid</v>
      </c>
      <c r="B94" t="str">
        <f>COUNTIF($E$2:E94,E94)&amp;E94</f>
        <v>2Elche</v>
      </c>
      <c r="C94" s="21">
        <v>45179</v>
      </c>
      <c r="D94" s="89" t="s">
        <v>297</v>
      </c>
      <c r="E94" s="89" t="s">
        <v>309</v>
      </c>
      <c r="F94">
        <v>1</v>
      </c>
      <c r="G94">
        <v>1</v>
      </c>
      <c r="H94" s="89" t="s">
        <v>2</v>
      </c>
      <c r="I94">
        <v>2.2799999999999998</v>
      </c>
      <c r="J94">
        <v>3.15</v>
      </c>
      <c r="K94">
        <v>3.17</v>
      </c>
      <c r="N94" s="19"/>
    </row>
    <row r="95" spans="1:14" x14ac:dyDescent="0.25">
      <c r="A95" t="str">
        <f>COUNTIF($D$2:D95,D95)&amp;D95</f>
        <v>2Eldense</v>
      </c>
      <c r="B95" t="str">
        <f>COUNTIF($E$2:E95,E95)&amp;E95</f>
        <v>3Alcorcon</v>
      </c>
      <c r="C95" s="21">
        <v>45180</v>
      </c>
      <c r="D95" s="89" t="s">
        <v>303</v>
      </c>
      <c r="E95" s="89" t="s">
        <v>311</v>
      </c>
      <c r="F95">
        <v>2</v>
      </c>
      <c r="G95">
        <v>2</v>
      </c>
      <c r="H95" s="89" t="s">
        <v>2</v>
      </c>
      <c r="I95">
        <v>2.38</v>
      </c>
      <c r="J95">
        <v>2.93</v>
      </c>
      <c r="K95">
        <v>3.24</v>
      </c>
      <c r="N95" s="18"/>
    </row>
    <row r="96" spans="1:14" x14ac:dyDescent="0.25">
      <c r="A96" t="str">
        <f>COUNTIF($D$2:D96,D96)&amp;D96</f>
        <v>2Rayo Vallecano</v>
      </c>
      <c r="B96" t="str">
        <f>COUNTIF($E$2:E96,E96)&amp;E96</f>
        <v>3Alaves</v>
      </c>
      <c r="C96" s="21">
        <v>45184</v>
      </c>
      <c r="D96" s="89" t="s">
        <v>277</v>
      </c>
      <c r="E96" s="89" t="s">
        <v>287</v>
      </c>
      <c r="F96">
        <v>2</v>
      </c>
      <c r="G96">
        <v>0</v>
      </c>
      <c r="H96" s="89" t="s">
        <v>194</v>
      </c>
      <c r="I96">
        <v>2.02</v>
      </c>
      <c r="J96">
        <v>3.18</v>
      </c>
      <c r="K96">
        <v>4.1900000000000004</v>
      </c>
      <c r="N96" s="19"/>
    </row>
    <row r="97" spans="1:14" x14ac:dyDescent="0.25">
      <c r="A97" t="str">
        <f>COUNTIF($D$2:D97,D97)&amp;D97</f>
        <v>4Real Zaragoza</v>
      </c>
      <c r="B97" t="str">
        <f>COUNTIF($E$2:E97,E97)&amp;E97</f>
        <v>3Racing</v>
      </c>
      <c r="C97" s="21">
        <v>45184</v>
      </c>
      <c r="D97" s="89" t="s">
        <v>293</v>
      </c>
      <c r="E97" s="89" t="s">
        <v>299</v>
      </c>
      <c r="F97">
        <v>1</v>
      </c>
      <c r="G97">
        <v>1</v>
      </c>
      <c r="H97" s="89" t="s">
        <v>2</v>
      </c>
      <c r="I97">
        <v>2.0099999999999998</v>
      </c>
      <c r="J97">
        <v>3.06</v>
      </c>
      <c r="K97">
        <v>4.08</v>
      </c>
      <c r="N97" s="18"/>
    </row>
    <row r="98" spans="1:14" x14ac:dyDescent="0.25">
      <c r="A98" t="str">
        <f>COUNTIF($D$2:D98,D98)&amp;D98</f>
        <v>4Albacete</v>
      </c>
      <c r="B98" t="str">
        <f>COUNTIF($E$2:E98,E98)&amp;E98</f>
        <v>3Burgos</v>
      </c>
      <c r="C98" s="21">
        <v>45185</v>
      </c>
      <c r="D98" s="89" t="s">
        <v>301</v>
      </c>
      <c r="E98" s="89" t="s">
        <v>302</v>
      </c>
      <c r="F98">
        <v>2</v>
      </c>
      <c r="G98">
        <v>1</v>
      </c>
      <c r="H98" s="89" t="s">
        <v>194</v>
      </c>
      <c r="I98">
        <v>1.74</v>
      </c>
      <c r="J98">
        <v>3.4</v>
      </c>
      <c r="K98">
        <v>4.9400000000000004</v>
      </c>
      <c r="N98" s="19"/>
    </row>
    <row r="99" spans="1:14" x14ac:dyDescent="0.25">
      <c r="A99" t="str">
        <f>COUNTIF($D$2:D99,D99)&amp;D99</f>
        <v>3Alcorcon</v>
      </c>
      <c r="B99" t="str">
        <f>COUNTIF($E$2:E99,E99)&amp;E99</f>
        <v>3Levante</v>
      </c>
      <c r="C99" s="21">
        <v>45185</v>
      </c>
      <c r="D99" s="89" t="s">
        <v>311</v>
      </c>
      <c r="E99" s="89" t="s">
        <v>294</v>
      </c>
      <c r="F99">
        <v>0</v>
      </c>
      <c r="G99">
        <v>2</v>
      </c>
      <c r="H99" s="89" t="s">
        <v>195</v>
      </c>
      <c r="I99">
        <v>2.37</v>
      </c>
      <c r="J99">
        <v>2.93</v>
      </c>
      <c r="K99">
        <v>3.22</v>
      </c>
      <c r="N99" s="19"/>
    </row>
    <row r="100" spans="1:14" x14ac:dyDescent="0.25">
      <c r="A100" t="str">
        <f>COUNTIF($D$2:D100,D100)&amp;D100</f>
        <v>3Athletic Bilbao</v>
      </c>
      <c r="B100" t="str">
        <f>COUNTIF($E$2:E100,E100)&amp;E100</f>
        <v>2Cadiz</v>
      </c>
      <c r="C100" s="21">
        <v>45185</v>
      </c>
      <c r="D100" s="89" t="s">
        <v>274</v>
      </c>
      <c r="E100" s="89" t="s">
        <v>282</v>
      </c>
      <c r="F100">
        <v>3</v>
      </c>
      <c r="G100">
        <v>0</v>
      </c>
      <c r="H100" s="89" t="s">
        <v>194</v>
      </c>
      <c r="I100">
        <v>1.58</v>
      </c>
      <c r="J100">
        <v>3.88</v>
      </c>
      <c r="K100">
        <v>6.37</v>
      </c>
      <c r="N100" s="19"/>
    </row>
    <row r="101" spans="1:14" x14ac:dyDescent="0.25">
      <c r="A101" t="str">
        <f>COUNTIF($D$2:D101,D101)&amp;D101</f>
        <v>3Celta Vigo</v>
      </c>
      <c r="B101" t="str">
        <f>COUNTIF($E$2:E101,E101)&amp;E101</f>
        <v>3Mallorca</v>
      </c>
      <c r="C101" s="21">
        <v>45185</v>
      </c>
      <c r="D101" s="89" t="s">
        <v>288</v>
      </c>
      <c r="E101" s="89" t="s">
        <v>284</v>
      </c>
      <c r="F101">
        <v>0</v>
      </c>
      <c r="G101">
        <v>1</v>
      </c>
      <c r="H101" s="89" t="s">
        <v>195</v>
      </c>
      <c r="I101">
        <v>2.06</v>
      </c>
      <c r="J101">
        <v>3.1</v>
      </c>
      <c r="K101">
        <v>4.2</v>
      </c>
      <c r="N101" s="19"/>
    </row>
    <row r="102" spans="1:14" x14ac:dyDescent="0.25">
      <c r="A102" t="str">
        <f>COUNTIF($D$2:D102,D102)&amp;D102</f>
        <v>2FC Barcelona</v>
      </c>
      <c r="B102" t="str">
        <f>COUNTIF($E$2:E102,E102)&amp;E102</f>
        <v>3Real Betis</v>
      </c>
      <c r="C102" s="21">
        <v>45185</v>
      </c>
      <c r="D102" s="89" t="s">
        <v>273</v>
      </c>
      <c r="E102" s="89" t="s">
        <v>278</v>
      </c>
      <c r="F102">
        <v>5</v>
      </c>
      <c r="G102">
        <v>0</v>
      </c>
      <c r="H102" s="89" t="s">
        <v>194</v>
      </c>
      <c r="I102">
        <v>1.3</v>
      </c>
      <c r="J102">
        <v>5.77</v>
      </c>
      <c r="K102">
        <v>9.2200000000000006</v>
      </c>
      <c r="N102" s="18"/>
    </row>
    <row r="103" spans="1:14" x14ac:dyDescent="0.25">
      <c r="A103" t="str">
        <f>COUNTIF($D$2:D103,D103)&amp;D103</f>
        <v>3Huesca</v>
      </c>
      <c r="B103" t="str">
        <f>COUNTIF($E$2:E103,E103)&amp;E103</f>
        <v>4Villarreal B</v>
      </c>
      <c r="C103" s="21">
        <v>45185</v>
      </c>
      <c r="D103" s="89" t="s">
        <v>310</v>
      </c>
      <c r="E103" s="89" t="s">
        <v>304</v>
      </c>
      <c r="F103">
        <v>2</v>
      </c>
      <c r="G103">
        <v>2</v>
      </c>
      <c r="H103" s="89" t="s">
        <v>2</v>
      </c>
      <c r="I103">
        <v>1.9</v>
      </c>
      <c r="J103">
        <v>3.26</v>
      </c>
      <c r="K103">
        <v>4.2300000000000004</v>
      </c>
      <c r="N103" s="19"/>
    </row>
    <row r="104" spans="1:14" x14ac:dyDescent="0.25">
      <c r="A104" t="str">
        <f>COUNTIF($D$2:D104,D104)&amp;D104</f>
        <v>3Valencia</v>
      </c>
      <c r="B104" t="str">
        <f>COUNTIF($E$2:E104,E104)&amp;E104</f>
        <v>3Atletico Madrid</v>
      </c>
      <c r="C104" s="21">
        <v>45185</v>
      </c>
      <c r="D104" s="89" t="s">
        <v>279</v>
      </c>
      <c r="E104" s="89" t="s">
        <v>275</v>
      </c>
      <c r="F104">
        <v>3</v>
      </c>
      <c r="G104">
        <v>0</v>
      </c>
      <c r="H104" s="89" t="s">
        <v>194</v>
      </c>
      <c r="I104">
        <v>3.46</v>
      </c>
      <c r="J104">
        <v>3.24</v>
      </c>
      <c r="K104">
        <v>2.2200000000000002</v>
      </c>
      <c r="N104" s="18"/>
    </row>
    <row r="105" spans="1:14" x14ac:dyDescent="0.25">
      <c r="A105" t="str">
        <f>COUNTIF($D$2:D105,D105)&amp;D105</f>
        <v>4Valladolid</v>
      </c>
      <c r="B105" t="str">
        <f>COUNTIF($E$2:E105,E105)&amp;E105</f>
        <v>3Cartagena</v>
      </c>
      <c r="C105" s="21">
        <v>45185</v>
      </c>
      <c r="D105" s="89" t="s">
        <v>297</v>
      </c>
      <c r="E105" s="89" t="s">
        <v>312</v>
      </c>
      <c r="F105">
        <v>1</v>
      </c>
      <c r="G105">
        <v>0</v>
      </c>
      <c r="H105" s="89" t="s">
        <v>194</v>
      </c>
      <c r="I105">
        <v>1.75</v>
      </c>
      <c r="J105">
        <v>3.55</v>
      </c>
      <c r="K105">
        <v>4.54</v>
      </c>
      <c r="N105" s="19"/>
    </row>
    <row r="106" spans="1:14" x14ac:dyDescent="0.25">
      <c r="A106" t="str">
        <f>COUNTIF($D$2:D106,D106)&amp;D106</f>
        <v>3Amorebieta</v>
      </c>
      <c r="B106" t="str">
        <f>COUNTIF($E$2:E106,E106)&amp;E106</f>
        <v>3Mirandes</v>
      </c>
      <c r="C106" s="21">
        <v>45186</v>
      </c>
      <c r="D106" s="89" t="s">
        <v>308</v>
      </c>
      <c r="E106" s="89" t="s">
        <v>306</v>
      </c>
      <c r="F106">
        <v>2</v>
      </c>
      <c r="G106">
        <v>0</v>
      </c>
      <c r="H106" s="89" t="s">
        <v>194</v>
      </c>
      <c r="I106">
        <v>2.35</v>
      </c>
      <c r="J106">
        <v>3.07</v>
      </c>
      <c r="K106">
        <v>3.13</v>
      </c>
      <c r="N106" s="19"/>
    </row>
    <row r="107" spans="1:14" x14ac:dyDescent="0.25">
      <c r="A107" t="str">
        <f>COUNTIF($D$2:D107,D107)&amp;D107</f>
        <v>3Eibar</v>
      </c>
      <c r="B107" t="str">
        <f>COUNTIF($E$2:E107,E107)&amp;E107</f>
        <v>4Racing Ferrol</v>
      </c>
      <c r="C107" s="21">
        <v>45186</v>
      </c>
      <c r="D107" s="89" t="s">
        <v>298</v>
      </c>
      <c r="E107" s="89" t="s">
        <v>300</v>
      </c>
      <c r="F107">
        <v>2</v>
      </c>
      <c r="G107">
        <v>0</v>
      </c>
      <c r="H107" s="89" t="s">
        <v>194</v>
      </c>
      <c r="I107">
        <v>1.9</v>
      </c>
      <c r="J107">
        <v>3.17</v>
      </c>
      <c r="K107">
        <v>4.32</v>
      </c>
      <c r="N107" s="19"/>
    </row>
    <row r="108" spans="1:14" x14ac:dyDescent="0.25">
      <c r="A108" t="str">
        <f>COUNTIF($D$2:D108,D108)&amp;D108</f>
        <v>4Elche</v>
      </c>
      <c r="B108" t="str">
        <f>COUNTIF($E$2:E108,E108)&amp;E108</f>
        <v>3Leganes</v>
      </c>
      <c r="C108" s="21">
        <v>45186</v>
      </c>
      <c r="D108" s="89" t="s">
        <v>309</v>
      </c>
      <c r="E108" s="89" t="s">
        <v>292</v>
      </c>
      <c r="F108">
        <v>1</v>
      </c>
      <c r="G108">
        <v>0</v>
      </c>
      <c r="H108" s="89" t="s">
        <v>194</v>
      </c>
      <c r="I108">
        <v>1.81</v>
      </c>
      <c r="J108">
        <v>3.29</v>
      </c>
      <c r="K108">
        <v>4.6900000000000004</v>
      </c>
      <c r="N108" s="19"/>
    </row>
    <row r="109" spans="1:14" x14ac:dyDescent="0.25">
      <c r="A109" t="str">
        <f>COUNTIF($D$2:D109,D109)&amp;D109</f>
        <v>3Espanyol</v>
      </c>
      <c r="B109" t="str">
        <f>COUNTIF($E$2:E109,E109)&amp;E109</f>
        <v>4Eldense</v>
      </c>
      <c r="C109" s="21">
        <v>45186</v>
      </c>
      <c r="D109" s="89" t="s">
        <v>291</v>
      </c>
      <c r="E109" s="89" t="s">
        <v>303</v>
      </c>
      <c r="F109">
        <v>3</v>
      </c>
      <c r="G109">
        <v>3</v>
      </c>
      <c r="H109" s="89" t="s">
        <v>2</v>
      </c>
      <c r="I109">
        <v>1.5</v>
      </c>
      <c r="J109">
        <v>3.95</v>
      </c>
      <c r="K109">
        <v>6.55</v>
      </c>
      <c r="N109" s="18"/>
    </row>
    <row r="110" spans="1:14" x14ac:dyDescent="0.25">
      <c r="A110" t="str">
        <f>COUNTIF($D$2:D110,D110)&amp;D110</f>
        <v>3Getafe</v>
      </c>
      <c r="B110" t="str">
        <f>COUNTIF($E$2:E110,E110)&amp;E110</f>
        <v>3Osasuna</v>
      </c>
      <c r="C110" s="21">
        <v>45186</v>
      </c>
      <c r="D110" s="89" t="s">
        <v>281</v>
      </c>
      <c r="E110" s="89" t="s">
        <v>280</v>
      </c>
      <c r="F110">
        <v>3</v>
      </c>
      <c r="G110">
        <v>2</v>
      </c>
      <c r="H110" s="89" t="s">
        <v>194</v>
      </c>
      <c r="I110">
        <v>2.59</v>
      </c>
      <c r="J110">
        <v>2.83</v>
      </c>
      <c r="K110">
        <v>3.24</v>
      </c>
      <c r="N110" s="19"/>
    </row>
    <row r="111" spans="1:14" x14ac:dyDescent="0.25">
      <c r="A111" t="str">
        <f>COUNTIF($D$2:D111,D111)&amp;D111</f>
        <v>3Sporting Gijon</v>
      </c>
      <c r="B111" t="str">
        <f>COUNTIF($E$2:E111,E111)&amp;E111</f>
        <v>3Tenerife</v>
      </c>
      <c r="C111" s="21">
        <v>45186</v>
      </c>
      <c r="D111" s="89" t="s">
        <v>296</v>
      </c>
      <c r="E111" s="89" t="s">
        <v>295</v>
      </c>
      <c r="F111">
        <v>2</v>
      </c>
      <c r="G111">
        <v>1</v>
      </c>
      <c r="H111" s="89" t="s">
        <v>194</v>
      </c>
      <c r="I111">
        <v>2.5299999999999998</v>
      </c>
      <c r="J111">
        <v>2.76</v>
      </c>
      <c r="K111">
        <v>3.16</v>
      </c>
      <c r="N111" s="18"/>
    </row>
    <row r="112" spans="1:14" x14ac:dyDescent="0.25">
      <c r="A112" t="str">
        <f>COUNTIF($D$2:D112,D112)&amp;D112</f>
        <v>2Real Madrid</v>
      </c>
      <c r="B112" t="str">
        <f>COUNTIF($E$2:E112,E112)&amp;E112</f>
        <v>2Real Sociedad</v>
      </c>
      <c r="C112" s="21">
        <v>45186</v>
      </c>
      <c r="D112" s="89" t="s">
        <v>271</v>
      </c>
      <c r="E112" s="89" t="s">
        <v>276</v>
      </c>
      <c r="F112">
        <v>2</v>
      </c>
      <c r="G112">
        <v>1</v>
      </c>
      <c r="H112" s="89" t="s">
        <v>194</v>
      </c>
      <c r="I112">
        <v>1.72</v>
      </c>
      <c r="J112">
        <v>3.78</v>
      </c>
      <c r="K112">
        <v>4.96</v>
      </c>
      <c r="N112" s="19"/>
    </row>
    <row r="113" spans="1:14" x14ac:dyDescent="0.25">
      <c r="A113" t="str">
        <f>COUNTIF($D$2:D113,D113)&amp;D113</f>
        <v>3Sevilla FC</v>
      </c>
      <c r="B113" t="str">
        <f>COUNTIF($E$2:E113,E113)&amp;E113</f>
        <v>3Las Palmas</v>
      </c>
      <c r="C113" s="21">
        <v>45186</v>
      </c>
      <c r="D113" s="89" t="s">
        <v>283</v>
      </c>
      <c r="E113" s="89" t="s">
        <v>286</v>
      </c>
      <c r="F113">
        <v>1</v>
      </c>
      <c r="G113">
        <v>0</v>
      </c>
      <c r="H113" s="89" t="s">
        <v>194</v>
      </c>
      <c r="I113">
        <v>1.59</v>
      </c>
      <c r="J113">
        <v>4.0599999999999996</v>
      </c>
      <c r="K113">
        <v>5.93</v>
      </c>
      <c r="N113" s="19"/>
    </row>
    <row r="114" spans="1:14" x14ac:dyDescent="0.25">
      <c r="A114" t="str">
        <f>COUNTIF($D$2:D114,D114)&amp;D114</f>
        <v>3Villarreal</v>
      </c>
      <c r="B114" t="str">
        <f>COUNTIF($E$2:E114,E114)&amp;E114</f>
        <v>2Almeria</v>
      </c>
      <c r="C114" s="21">
        <v>45186</v>
      </c>
      <c r="D114" s="89" t="s">
        <v>285</v>
      </c>
      <c r="E114" s="89" t="s">
        <v>290</v>
      </c>
      <c r="F114">
        <v>2</v>
      </c>
      <c r="G114">
        <v>1</v>
      </c>
      <c r="H114" s="89" t="s">
        <v>194</v>
      </c>
      <c r="I114">
        <v>1.49</v>
      </c>
      <c r="J114">
        <v>4.84</v>
      </c>
      <c r="K114">
        <v>5.77</v>
      </c>
      <c r="N114" s="19"/>
    </row>
    <row r="115" spans="1:14" x14ac:dyDescent="0.25">
      <c r="A115" t="str">
        <f>COUNTIF($D$2:D115,D115)&amp;D115</f>
        <v>3FC Andorra</v>
      </c>
      <c r="B115" t="str">
        <f>COUNTIF($E$2:E115,E115)&amp;E115</f>
        <v>4Real Oviedo</v>
      </c>
      <c r="C115" s="21">
        <v>45187</v>
      </c>
      <c r="D115" s="89" t="s">
        <v>307</v>
      </c>
      <c r="E115" s="89" t="s">
        <v>305</v>
      </c>
      <c r="F115">
        <v>1</v>
      </c>
      <c r="G115">
        <v>0</v>
      </c>
      <c r="H115" s="89" t="s">
        <v>194</v>
      </c>
      <c r="I115">
        <v>2.15</v>
      </c>
      <c r="J115">
        <v>2.94</v>
      </c>
      <c r="K115">
        <v>3.71</v>
      </c>
      <c r="N115" s="19"/>
    </row>
    <row r="116" spans="1:14" x14ac:dyDescent="0.25">
      <c r="A116" t="str">
        <f>COUNTIF($D$2:D116,D116)&amp;D116</f>
        <v>3Granada</v>
      </c>
      <c r="B116" t="str">
        <f>COUNTIF($E$2:E116,E116)&amp;E116</f>
        <v>3Girona</v>
      </c>
      <c r="C116" s="21">
        <v>45187</v>
      </c>
      <c r="D116" s="89" t="s">
        <v>289</v>
      </c>
      <c r="E116" s="89" t="s">
        <v>272</v>
      </c>
      <c r="F116">
        <v>2</v>
      </c>
      <c r="G116">
        <v>4</v>
      </c>
      <c r="H116" s="89" t="s">
        <v>195</v>
      </c>
      <c r="I116">
        <v>2.86</v>
      </c>
      <c r="J116">
        <v>3.49</v>
      </c>
      <c r="K116">
        <v>2.4</v>
      </c>
      <c r="N116" s="18"/>
    </row>
    <row r="117" spans="1:14" x14ac:dyDescent="0.25">
      <c r="A117" t="str">
        <f>COUNTIF($D$2:D117,D117)&amp;D117</f>
        <v>3Alaves</v>
      </c>
      <c r="B117" t="str">
        <f>COUNTIF($E$2:E117,E117)&amp;E117</f>
        <v>3Athletic Bilbao</v>
      </c>
      <c r="C117" s="21">
        <v>45191</v>
      </c>
      <c r="D117" s="89" t="s">
        <v>287</v>
      </c>
      <c r="E117" s="89" t="s">
        <v>274</v>
      </c>
      <c r="F117">
        <v>0</v>
      </c>
      <c r="G117">
        <v>2</v>
      </c>
      <c r="H117" s="89" t="s">
        <v>195</v>
      </c>
      <c r="I117">
        <v>4.24</v>
      </c>
      <c r="J117">
        <v>3.08</v>
      </c>
      <c r="K117">
        <v>2.0499999999999998</v>
      </c>
      <c r="N117" s="19"/>
    </row>
    <row r="118" spans="1:14" x14ac:dyDescent="0.25">
      <c r="A118" t="str">
        <f>COUNTIF($D$2:D118,D118)&amp;D118</f>
        <v>4Cartagena</v>
      </c>
      <c r="B118" t="str">
        <f>COUNTIF($E$2:E118,E118)&amp;E118</f>
        <v>4Eibar</v>
      </c>
      <c r="C118" s="21">
        <v>45191</v>
      </c>
      <c r="D118" s="89" t="s">
        <v>312</v>
      </c>
      <c r="E118" s="89" t="s">
        <v>298</v>
      </c>
      <c r="F118">
        <v>1</v>
      </c>
      <c r="G118">
        <v>2</v>
      </c>
      <c r="H118" s="89" t="s">
        <v>195</v>
      </c>
      <c r="I118">
        <v>3.3</v>
      </c>
      <c r="J118">
        <v>2.99</v>
      </c>
      <c r="K118">
        <v>2.31</v>
      </c>
      <c r="N118" s="18"/>
    </row>
    <row r="119" spans="1:14" x14ac:dyDescent="0.25">
      <c r="A119" t="str">
        <f>COUNTIF($D$2:D119,D119)&amp;D119</f>
        <v>4Alcorcon</v>
      </c>
      <c r="B119" t="str">
        <f>COUNTIF($E$2:E119,E119)&amp;E119</f>
        <v>4Huesca</v>
      </c>
      <c r="C119" s="21">
        <v>45192</v>
      </c>
      <c r="D119" s="89" t="s">
        <v>311</v>
      </c>
      <c r="E119" s="89" t="s">
        <v>310</v>
      </c>
      <c r="F119">
        <v>0</v>
      </c>
      <c r="G119">
        <v>2</v>
      </c>
      <c r="H119" s="89" t="s">
        <v>195</v>
      </c>
      <c r="I119">
        <v>2.21</v>
      </c>
      <c r="J119">
        <v>2.9</v>
      </c>
      <c r="K119">
        <v>3.64</v>
      </c>
      <c r="N119" s="19"/>
    </row>
    <row r="120" spans="1:14" x14ac:dyDescent="0.25">
      <c r="A120" t="str">
        <f>COUNTIF($D$2:D120,D120)&amp;D120</f>
        <v>4Almeria</v>
      </c>
      <c r="B120" t="str">
        <f>COUNTIF($E$2:E120,E120)&amp;E120</f>
        <v>3Valencia</v>
      </c>
      <c r="C120" s="21">
        <v>45192</v>
      </c>
      <c r="D120" s="89" t="s">
        <v>290</v>
      </c>
      <c r="E120" s="89" t="s">
        <v>279</v>
      </c>
      <c r="F120">
        <v>2</v>
      </c>
      <c r="G120">
        <v>2</v>
      </c>
      <c r="H120" s="89" t="s">
        <v>2</v>
      </c>
      <c r="I120">
        <v>2.76</v>
      </c>
      <c r="J120">
        <v>3.35</v>
      </c>
      <c r="K120">
        <v>2.5499999999999998</v>
      </c>
      <c r="N120" s="19"/>
    </row>
    <row r="121" spans="1:14" x14ac:dyDescent="0.25">
      <c r="A121" t="str">
        <f>COUNTIF($D$2:D121,D121)&amp;D121</f>
        <v>4FC Andorra</v>
      </c>
      <c r="B121" t="str">
        <f>COUNTIF($E$2:E121,E121)&amp;E121</f>
        <v>4Sporting Gijon</v>
      </c>
      <c r="C121" s="21">
        <v>45192</v>
      </c>
      <c r="D121" s="89" t="s">
        <v>307</v>
      </c>
      <c r="E121" s="89" t="s">
        <v>296</v>
      </c>
      <c r="F121">
        <v>0</v>
      </c>
      <c r="G121">
        <v>0</v>
      </c>
      <c r="H121" s="89" t="s">
        <v>2</v>
      </c>
      <c r="I121">
        <v>2.19</v>
      </c>
      <c r="J121">
        <v>3.01</v>
      </c>
      <c r="K121">
        <v>3.56</v>
      </c>
      <c r="N121" s="19"/>
    </row>
    <row r="122" spans="1:14" x14ac:dyDescent="0.25">
      <c r="A122" t="str">
        <f>COUNTIF($D$2:D122,D122)&amp;D122</f>
        <v>4Burgos</v>
      </c>
      <c r="B122" t="str">
        <f>COUNTIF($E$2:E122,E122)&amp;E122</f>
        <v>3Elche</v>
      </c>
      <c r="C122" s="21">
        <v>45192</v>
      </c>
      <c r="D122" s="89" t="s">
        <v>302</v>
      </c>
      <c r="E122" s="89" t="s">
        <v>309</v>
      </c>
      <c r="F122">
        <v>4</v>
      </c>
      <c r="G122">
        <v>0</v>
      </c>
      <c r="H122" s="89" t="s">
        <v>194</v>
      </c>
      <c r="I122">
        <v>2.93</v>
      </c>
      <c r="J122">
        <v>2.98</v>
      </c>
      <c r="K122">
        <v>2.5299999999999998</v>
      </c>
      <c r="N122" s="19"/>
    </row>
    <row r="123" spans="1:14" x14ac:dyDescent="0.25">
      <c r="A123" t="str">
        <f>COUNTIF($D$2:D123,D123)&amp;D123</f>
        <v>3FC Barcelona</v>
      </c>
      <c r="B123" t="str">
        <f>COUNTIF($E$2:E123,E123)&amp;E123</f>
        <v>3Celta Vigo</v>
      </c>
      <c r="C123" s="21">
        <v>45192</v>
      </c>
      <c r="D123" s="89" t="s">
        <v>273</v>
      </c>
      <c r="E123" s="89" t="s">
        <v>288</v>
      </c>
      <c r="F123">
        <v>3</v>
      </c>
      <c r="G123">
        <v>2</v>
      </c>
      <c r="H123" s="89" t="s">
        <v>194</v>
      </c>
      <c r="I123">
        <v>1.24</v>
      </c>
      <c r="J123">
        <v>6.3</v>
      </c>
      <c r="K123">
        <v>11.33</v>
      </c>
      <c r="N123" s="19"/>
    </row>
    <row r="124" spans="1:14" x14ac:dyDescent="0.25">
      <c r="A124" t="str">
        <f>COUNTIF($D$2:D124,D124)&amp;D124</f>
        <v>3Girona</v>
      </c>
      <c r="B124" t="str">
        <f>COUNTIF($E$2:E124,E124)&amp;E124</f>
        <v>4Mallorca</v>
      </c>
      <c r="C124" s="21">
        <v>45192</v>
      </c>
      <c r="D124" s="89" t="s">
        <v>272</v>
      </c>
      <c r="E124" s="89" t="s">
        <v>284</v>
      </c>
      <c r="F124">
        <v>5</v>
      </c>
      <c r="G124">
        <v>3</v>
      </c>
      <c r="H124" s="89" t="s">
        <v>194</v>
      </c>
      <c r="I124">
        <v>1.89</v>
      </c>
      <c r="J124">
        <v>3.33</v>
      </c>
      <c r="K124">
        <v>4.55</v>
      </c>
      <c r="N124" s="18"/>
    </row>
    <row r="125" spans="1:14" x14ac:dyDescent="0.25">
      <c r="A125" t="str">
        <f>COUNTIF($D$2:D125,D125)&amp;D125</f>
        <v>4Levante</v>
      </c>
      <c r="B125" t="str">
        <f>COUNTIF($E$2:E125,E125)&amp;E125</f>
        <v>5Eldense</v>
      </c>
      <c r="C125" s="21">
        <v>45192</v>
      </c>
      <c r="D125" s="89" t="s">
        <v>294</v>
      </c>
      <c r="E125" s="89" t="s">
        <v>303</v>
      </c>
      <c r="F125">
        <v>2</v>
      </c>
      <c r="G125">
        <v>0</v>
      </c>
      <c r="H125" s="89" t="s">
        <v>194</v>
      </c>
      <c r="I125">
        <v>1.72</v>
      </c>
      <c r="J125">
        <v>3.47</v>
      </c>
      <c r="K125">
        <v>5</v>
      </c>
      <c r="N125" s="19"/>
    </row>
    <row r="126" spans="1:14" x14ac:dyDescent="0.25">
      <c r="A126" t="str">
        <f>COUNTIF($D$2:D126,D126)&amp;D126</f>
        <v>3Osasuna</v>
      </c>
      <c r="B126" t="str">
        <f>COUNTIF($E$2:E126,E126)&amp;E126</f>
        <v>2Sevilla FC</v>
      </c>
      <c r="C126" s="21">
        <v>45192</v>
      </c>
      <c r="D126" s="89" t="s">
        <v>280</v>
      </c>
      <c r="E126" s="89" t="s">
        <v>283</v>
      </c>
      <c r="F126">
        <v>0</v>
      </c>
      <c r="G126">
        <v>0</v>
      </c>
      <c r="H126" s="89" t="s">
        <v>2</v>
      </c>
      <c r="I126">
        <v>2.35</v>
      </c>
      <c r="J126">
        <v>3.22</v>
      </c>
      <c r="K126">
        <v>3.23</v>
      </c>
      <c r="N126" s="18"/>
    </row>
    <row r="127" spans="1:14" x14ac:dyDescent="0.25">
      <c r="A127" t="str">
        <f>COUNTIF($D$2:D127,D127)&amp;D127</f>
        <v>4Racing</v>
      </c>
      <c r="B127" t="str">
        <f>COUNTIF($E$2:E127,E127)&amp;E127</f>
        <v>3Albacete</v>
      </c>
      <c r="C127" s="21">
        <v>45192</v>
      </c>
      <c r="D127" s="89" t="s">
        <v>299</v>
      </c>
      <c r="E127" s="89" t="s">
        <v>301</v>
      </c>
      <c r="F127">
        <v>2</v>
      </c>
      <c r="G127">
        <v>1</v>
      </c>
      <c r="H127" s="89" t="s">
        <v>194</v>
      </c>
      <c r="I127">
        <v>2.5</v>
      </c>
      <c r="J127">
        <v>3.02</v>
      </c>
      <c r="K127">
        <v>2.94</v>
      </c>
      <c r="N127" s="19"/>
    </row>
    <row r="128" spans="1:14" x14ac:dyDescent="0.25">
      <c r="A128" t="str">
        <f>COUNTIF($D$2:D128,D128)&amp;D128</f>
        <v>2Atletico Madrid</v>
      </c>
      <c r="B128" t="str">
        <f>COUNTIF($E$2:E128,E128)&amp;E128</f>
        <v>4Real Madrid</v>
      </c>
      <c r="C128" s="21">
        <v>45193</v>
      </c>
      <c r="D128" s="89" t="s">
        <v>275</v>
      </c>
      <c r="E128" s="89" t="s">
        <v>271</v>
      </c>
      <c r="F128">
        <v>3</v>
      </c>
      <c r="G128">
        <v>1</v>
      </c>
      <c r="H128" s="89" t="s">
        <v>194</v>
      </c>
      <c r="I128">
        <v>2.81</v>
      </c>
      <c r="J128">
        <v>3.31</v>
      </c>
      <c r="K128">
        <v>2.56</v>
      </c>
      <c r="N128" s="19"/>
    </row>
    <row r="129" spans="1:14" x14ac:dyDescent="0.25">
      <c r="A129" t="str">
        <f>COUNTIF($D$2:D129,D129)&amp;D129</f>
        <v>3Las Palmas</v>
      </c>
      <c r="B129" t="str">
        <f>COUNTIF($E$2:E129,E129)&amp;E129</f>
        <v>3Granada</v>
      </c>
      <c r="C129" s="21">
        <v>45193</v>
      </c>
      <c r="D129" s="89" t="s">
        <v>286</v>
      </c>
      <c r="E129" s="89" t="s">
        <v>289</v>
      </c>
      <c r="F129">
        <v>1</v>
      </c>
      <c r="G129">
        <v>0</v>
      </c>
      <c r="H129" s="89" t="s">
        <v>194</v>
      </c>
      <c r="I129">
        <v>1.95</v>
      </c>
      <c r="J129">
        <v>3.6</v>
      </c>
      <c r="K129">
        <v>3.86</v>
      </c>
      <c r="N129" s="18"/>
    </row>
    <row r="130" spans="1:14" x14ac:dyDescent="0.25">
      <c r="A130" t="str">
        <f>COUNTIF($D$2:D130,D130)&amp;D130</f>
        <v>4Mirandes</v>
      </c>
      <c r="B130" t="str">
        <f>COUNTIF($E$2:E130,E130)&amp;E130</f>
        <v>4Leganes</v>
      </c>
      <c r="C130" s="21">
        <v>45193</v>
      </c>
      <c r="D130" s="89" t="s">
        <v>306</v>
      </c>
      <c r="E130" s="89" t="s">
        <v>292</v>
      </c>
      <c r="F130">
        <v>1</v>
      </c>
      <c r="G130">
        <v>3</v>
      </c>
      <c r="H130" s="89" t="s">
        <v>195</v>
      </c>
      <c r="I130">
        <v>2.2200000000000002</v>
      </c>
      <c r="J130">
        <v>2.92</v>
      </c>
      <c r="K130">
        <v>3.55</v>
      </c>
      <c r="N130" s="19"/>
    </row>
    <row r="131" spans="1:14" x14ac:dyDescent="0.25">
      <c r="A131" t="str">
        <f>COUNTIF($D$2:D131,D131)&amp;D131</f>
        <v>3Real Oviedo</v>
      </c>
      <c r="B131" t="str">
        <f>COUNTIF($E$2:E131,E131)&amp;E131</f>
        <v>3Valladolid</v>
      </c>
      <c r="C131" s="21">
        <v>45193</v>
      </c>
      <c r="D131" s="89" t="s">
        <v>305</v>
      </c>
      <c r="E131" s="89" t="s">
        <v>297</v>
      </c>
      <c r="F131">
        <v>0</v>
      </c>
      <c r="G131">
        <v>1</v>
      </c>
      <c r="H131" s="89" t="s">
        <v>195</v>
      </c>
      <c r="I131">
        <v>2.4500000000000002</v>
      </c>
      <c r="J131">
        <v>2.84</v>
      </c>
      <c r="K131">
        <v>3.2</v>
      </c>
      <c r="N131" s="18"/>
    </row>
    <row r="132" spans="1:14" x14ac:dyDescent="0.25">
      <c r="A132" t="str">
        <f>COUNTIF($D$2:D132,D132)&amp;D132</f>
        <v>3Rayo Vallecano</v>
      </c>
      <c r="B132" t="str">
        <f>COUNTIF($E$2:E132,E132)&amp;E132</f>
        <v>3Villarreal</v>
      </c>
      <c r="C132" s="21">
        <v>45193</v>
      </c>
      <c r="D132" s="89" t="s">
        <v>277</v>
      </c>
      <c r="E132" s="89" t="s">
        <v>285</v>
      </c>
      <c r="F132">
        <v>1</v>
      </c>
      <c r="G132">
        <v>1</v>
      </c>
      <c r="H132" s="89" t="s">
        <v>2</v>
      </c>
      <c r="I132">
        <v>2.54</v>
      </c>
      <c r="J132">
        <v>3.44</v>
      </c>
      <c r="K132">
        <v>2.74</v>
      </c>
      <c r="N132" s="19"/>
    </row>
    <row r="133" spans="1:14" x14ac:dyDescent="0.25">
      <c r="A133" t="str">
        <f>COUNTIF($D$2:D133,D133)&amp;D133</f>
        <v>3Real Betis</v>
      </c>
      <c r="B133" t="str">
        <f>COUNTIF($E$2:E133,E133)&amp;E133</f>
        <v>3Cadiz</v>
      </c>
      <c r="C133" s="21">
        <v>45193</v>
      </c>
      <c r="D133" s="89" t="s">
        <v>278</v>
      </c>
      <c r="E133" s="89" t="s">
        <v>282</v>
      </c>
      <c r="F133">
        <v>1</v>
      </c>
      <c r="G133">
        <v>1</v>
      </c>
      <c r="H133" s="89" t="s">
        <v>2</v>
      </c>
      <c r="I133">
        <v>1.79</v>
      </c>
      <c r="J133">
        <v>3.54</v>
      </c>
      <c r="K133">
        <v>4.7699999999999996</v>
      </c>
      <c r="N133" s="19"/>
    </row>
    <row r="134" spans="1:14" x14ac:dyDescent="0.25">
      <c r="A134" t="str">
        <f>COUNTIF($D$2:D134,D134)&amp;D134</f>
        <v>4Real Sociedad</v>
      </c>
      <c r="B134" t="str">
        <f>COUNTIF($E$2:E134,E134)&amp;E134</f>
        <v>3Getafe</v>
      </c>
      <c r="C134" s="21">
        <v>45193</v>
      </c>
      <c r="D134" s="89" t="s">
        <v>276</v>
      </c>
      <c r="E134" s="89" t="s">
        <v>281</v>
      </c>
      <c r="F134">
        <v>4</v>
      </c>
      <c r="G134">
        <v>3</v>
      </c>
      <c r="H134" s="89" t="s">
        <v>194</v>
      </c>
      <c r="I134">
        <v>1.67</v>
      </c>
      <c r="J134">
        <v>3.38</v>
      </c>
      <c r="K134">
        <v>6.46</v>
      </c>
      <c r="N134" s="19"/>
    </row>
    <row r="135" spans="1:14" x14ac:dyDescent="0.25">
      <c r="A135" t="str">
        <f>COUNTIF($D$2:D135,D135)&amp;D135</f>
        <v>3Villarreal B</v>
      </c>
      <c r="B135" t="str">
        <f>COUNTIF($E$2:E135,E135)&amp;E135</f>
        <v>4Amorebieta</v>
      </c>
      <c r="C135" s="21">
        <v>45193</v>
      </c>
      <c r="D135" s="89" t="s">
        <v>304</v>
      </c>
      <c r="E135" s="89" t="s">
        <v>308</v>
      </c>
      <c r="F135">
        <v>3</v>
      </c>
      <c r="G135">
        <v>1</v>
      </c>
      <c r="H135" s="89" t="s">
        <v>194</v>
      </c>
      <c r="I135">
        <v>2.23</v>
      </c>
      <c r="J135">
        <v>3.23</v>
      </c>
      <c r="K135">
        <v>3.17</v>
      </c>
      <c r="N135" s="18"/>
    </row>
    <row r="136" spans="1:14" x14ac:dyDescent="0.25">
      <c r="A136" t="str">
        <f>COUNTIF($D$2:D136,D136)&amp;D136</f>
        <v>3Racing Ferrol</v>
      </c>
      <c r="B136" t="str">
        <f>COUNTIF($E$2:E136,E136)&amp;E136</f>
        <v>3Real Zaragoza</v>
      </c>
      <c r="C136" s="21">
        <v>45194</v>
      </c>
      <c r="D136" s="89" t="s">
        <v>300</v>
      </c>
      <c r="E136" s="89" t="s">
        <v>293</v>
      </c>
      <c r="F136">
        <v>1</v>
      </c>
      <c r="G136">
        <v>0</v>
      </c>
      <c r="H136" s="89" t="s">
        <v>194</v>
      </c>
      <c r="I136">
        <v>2.2400000000000002</v>
      </c>
      <c r="J136">
        <v>2.95</v>
      </c>
      <c r="K136">
        <v>3.49</v>
      </c>
      <c r="N136" s="19"/>
    </row>
    <row r="137" spans="1:14" x14ac:dyDescent="0.25">
      <c r="A137" t="str">
        <f>COUNTIF($D$2:D137,D137)&amp;D137</f>
        <v>4Tenerife</v>
      </c>
      <c r="B137" t="str">
        <f>COUNTIF($E$2:E137,E137)&amp;E137</f>
        <v>4Espanyol</v>
      </c>
      <c r="C137" s="21">
        <v>45194</v>
      </c>
      <c r="D137" s="89" t="s">
        <v>295</v>
      </c>
      <c r="E137" s="89" t="s">
        <v>291</v>
      </c>
      <c r="F137">
        <v>1</v>
      </c>
      <c r="G137">
        <v>0</v>
      </c>
      <c r="H137" s="89" t="s">
        <v>194</v>
      </c>
      <c r="I137">
        <v>2.56</v>
      </c>
      <c r="J137">
        <v>2.95</v>
      </c>
      <c r="K137">
        <v>2.93</v>
      </c>
      <c r="N137" s="18"/>
    </row>
    <row r="138" spans="1:14" x14ac:dyDescent="0.25">
      <c r="A138" t="str">
        <f>COUNTIF($D$2:D138,D138)&amp;D138</f>
        <v>3Mallorca</v>
      </c>
      <c r="B138" t="str">
        <f>COUNTIF($E$2:E138,E138)&amp;E138</f>
        <v>4FC Barcelona</v>
      </c>
      <c r="C138" s="21">
        <v>45195</v>
      </c>
      <c r="D138" s="89" t="s">
        <v>284</v>
      </c>
      <c r="E138" s="89" t="s">
        <v>273</v>
      </c>
      <c r="F138">
        <v>2</v>
      </c>
      <c r="G138">
        <v>2</v>
      </c>
      <c r="H138" s="89" t="s">
        <v>2</v>
      </c>
      <c r="I138">
        <v>7.16</v>
      </c>
      <c r="J138">
        <v>4.3600000000000003</v>
      </c>
      <c r="K138">
        <v>1.48</v>
      </c>
      <c r="N138" s="19"/>
    </row>
    <row r="139" spans="1:14" x14ac:dyDescent="0.25">
      <c r="A139" t="str">
        <f>COUNTIF($D$2:D139,D139)&amp;D139</f>
        <v>4Sevilla FC</v>
      </c>
      <c r="B139" t="str">
        <f>COUNTIF($E$2:E139,E139)&amp;E139</f>
        <v>3Almeria</v>
      </c>
      <c r="C139" s="21">
        <v>45195</v>
      </c>
      <c r="D139" s="89" t="s">
        <v>283</v>
      </c>
      <c r="E139" s="89" t="s">
        <v>290</v>
      </c>
      <c r="F139">
        <v>5</v>
      </c>
      <c r="G139">
        <v>1</v>
      </c>
      <c r="H139" s="89" t="s">
        <v>194</v>
      </c>
      <c r="I139">
        <v>1.68</v>
      </c>
      <c r="J139">
        <v>3.98</v>
      </c>
      <c r="K139">
        <v>5.04</v>
      </c>
      <c r="N139" s="19"/>
    </row>
    <row r="140" spans="1:14" x14ac:dyDescent="0.25">
      <c r="A140" t="str">
        <f>COUNTIF($D$2:D140,D140)&amp;D140</f>
        <v>4Athletic Bilbao</v>
      </c>
      <c r="B140" t="str">
        <f>COUNTIF($E$2:E140,E140)&amp;E140</f>
        <v>4Getafe</v>
      </c>
      <c r="C140" s="21">
        <v>45196</v>
      </c>
      <c r="D140" s="89" t="s">
        <v>274</v>
      </c>
      <c r="E140" s="89" t="s">
        <v>281</v>
      </c>
      <c r="F140">
        <v>2</v>
      </c>
      <c r="G140">
        <v>2</v>
      </c>
      <c r="H140" s="89" t="s">
        <v>2</v>
      </c>
      <c r="I140">
        <v>1.52</v>
      </c>
      <c r="J140">
        <v>3.99</v>
      </c>
      <c r="K140">
        <v>7.28</v>
      </c>
      <c r="N140" s="19"/>
    </row>
    <row r="141" spans="1:14" x14ac:dyDescent="0.25">
      <c r="A141" t="str">
        <f>COUNTIF($D$2:D141,D141)&amp;D141</f>
        <v>4Cadiz</v>
      </c>
      <c r="B141" t="str">
        <f>COUNTIF($E$2:E141,E141)&amp;E141</f>
        <v>4Rayo Vallecano</v>
      </c>
      <c r="C141" s="21">
        <v>45196</v>
      </c>
      <c r="D141" s="89" t="s">
        <v>282</v>
      </c>
      <c r="E141" s="89" t="s">
        <v>277</v>
      </c>
      <c r="F141">
        <v>0</v>
      </c>
      <c r="G141">
        <v>0</v>
      </c>
      <c r="H141" s="89" t="s">
        <v>2</v>
      </c>
      <c r="I141">
        <v>2.62</v>
      </c>
      <c r="J141">
        <v>3.08</v>
      </c>
      <c r="K141">
        <v>2.95</v>
      </c>
      <c r="N141" s="19"/>
    </row>
    <row r="142" spans="1:14" x14ac:dyDescent="0.25">
      <c r="A142" t="str">
        <f>COUNTIF($D$2:D142,D142)&amp;D142</f>
        <v>3Real Madrid</v>
      </c>
      <c r="B142" t="str">
        <f>COUNTIF($E$2:E142,E142)&amp;E142</f>
        <v>4Las Palmas</v>
      </c>
      <c r="C142" s="21">
        <v>45196</v>
      </c>
      <c r="D142" s="89" t="s">
        <v>271</v>
      </c>
      <c r="E142" s="89" t="s">
        <v>286</v>
      </c>
      <c r="F142">
        <v>2</v>
      </c>
      <c r="G142">
        <v>0</v>
      </c>
      <c r="H142" s="89" t="s">
        <v>194</v>
      </c>
      <c r="I142">
        <v>1.17</v>
      </c>
      <c r="J142">
        <v>7.65</v>
      </c>
      <c r="K142">
        <v>15.71</v>
      </c>
      <c r="N142" s="18"/>
    </row>
    <row r="143" spans="1:14" x14ac:dyDescent="0.25">
      <c r="A143" t="str">
        <f>COUNTIF($D$2:D143,D143)&amp;D143</f>
        <v>4Valencia</v>
      </c>
      <c r="B143" t="str">
        <f>COUNTIF($E$2:E143,E143)&amp;E143</f>
        <v>3Real Sociedad</v>
      </c>
      <c r="C143" s="21">
        <v>45196</v>
      </c>
      <c r="D143" s="89" t="s">
        <v>279</v>
      </c>
      <c r="E143" s="89" t="s">
        <v>276</v>
      </c>
      <c r="F143">
        <v>0</v>
      </c>
      <c r="G143">
        <v>1</v>
      </c>
      <c r="H143" s="89" t="s">
        <v>195</v>
      </c>
      <c r="I143">
        <v>2.5099999999999998</v>
      </c>
      <c r="J143">
        <v>3.02</v>
      </c>
      <c r="K143">
        <v>3.18</v>
      </c>
      <c r="N143" s="19"/>
    </row>
    <row r="144" spans="1:14" x14ac:dyDescent="0.25">
      <c r="A144" t="str">
        <f>COUNTIF($D$2:D144,D144)&amp;D144</f>
        <v>4Villarreal</v>
      </c>
      <c r="B144" t="str">
        <f>COUNTIF($E$2:E144,E144)&amp;E144</f>
        <v>4Girona</v>
      </c>
      <c r="C144" s="21">
        <v>45196</v>
      </c>
      <c r="D144" s="89" t="s">
        <v>285</v>
      </c>
      <c r="E144" s="89" t="s">
        <v>272</v>
      </c>
      <c r="F144">
        <v>1</v>
      </c>
      <c r="G144">
        <v>2</v>
      </c>
      <c r="H144" s="89" t="s">
        <v>195</v>
      </c>
      <c r="I144">
        <v>2.14</v>
      </c>
      <c r="J144">
        <v>3.66</v>
      </c>
      <c r="K144">
        <v>3.29</v>
      </c>
      <c r="N144" s="18"/>
    </row>
    <row r="145" spans="1:14" x14ac:dyDescent="0.25">
      <c r="A145" t="str">
        <f>COUNTIF($D$2:D145,D145)&amp;D145</f>
        <v>4Celta Vigo</v>
      </c>
      <c r="B145" t="str">
        <f>COUNTIF($E$2:E145,E145)&amp;E145</f>
        <v>4Alaves</v>
      </c>
      <c r="C145" s="21">
        <v>45197</v>
      </c>
      <c r="D145" s="89" t="s">
        <v>288</v>
      </c>
      <c r="E145" s="89" t="s">
        <v>287</v>
      </c>
      <c r="F145">
        <v>1</v>
      </c>
      <c r="G145">
        <v>1</v>
      </c>
      <c r="H145" s="89" t="s">
        <v>2</v>
      </c>
      <c r="I145">
        <v>1.6</v>
      </c>
      <c r="J145">
        <v>3.78</v>
      </c>
      <c r="K145">
        <v>6.46</v>
      </c>
      <c r="N145" s="19"/>
    </row>
    <row r="146" spans="1:14" x14ac:dyDescent="0.25">
      <c r="A146" t="str">
        <f>COUNTIF($D$2:D146,D146)&amp;D146</f>
        <v>4Granada</v>
      </c>
      <c r="B146" t="str">
        <f>COUNTIF($E$2:E146,E146)&amp;E146</f>
        <v>4Real Betis</v>
      </c>
      <c r="C146" s="21">
        <v>45197</v>
      </c>
      <c r="D146" s="89" t="s">
        <v>289</v>
      </c>
      <c r="E146" s="89" t="s">
        <v>278</v>
      </c>
      <c r="F146">
        <v>1</v>
      </c>
      <c r="G146">
        <v>1</v>
      </c>
      <c r="H146" s="89" t="s">
        <v>2</v>
      </c>
      <c r="I146">
        <v>2.78</v>
      </c>
      <c r="J146">
        <v>3.41</v>
      </c>
      <c r="K146">
        <v>2.56</v>
      </c>
      <c r="N146" s="19"/>
    </row>
    <row r="147" spans="1:14" x14ac:dyDescent="0.25">
      <c r="A147" t="str">
        <f>COUNTIF($D$2:D147,D147)&amp;D147</f>
        <v>4Osasuna</v>
      </c>
      <c r="B147" t="str">
        <f>COUNTIF($E$2:E147,E147)&amp;E147</f>
        <v>4Atletico Madrid</v>
      </c>
      <c r="C147" s="21">
        <v>45197</v>
      </c>
      <c r="D147" s="89" t="s">
        <v>280</v>
      </c>
      <c r="E147" s="89" t="s">
        <v>275</v>
      </c>
      <c r="F147">
        <v>0</v>
      </c>
      <c r="G147">
        <v>2</v>
      </c>
      <c r="H147" s="89" t="s">
        <v>195</v>
      </c>
      <c r="I147">
        <v>4.0199999999999996</v>
      </c>
      <c r="J147">
        <v>3.44</v>
      </c>
      <c r="K147">
        <v>1.98</v>
      </c>
      <c r="N147" s="19"/>
    </row>
    <row r="148" spans="1:14" x14ac:dyDescent="0.25">
      <c r="A148" t="str">
        <f>COUNTIF($D$2:D148,D148)&amp;D148</f>
        <v>4FC Barcelona</v>
      </c>
      <c r="B148" t="str">
        <f>COUNTIF($E$2:E148,E148)&amp;E148</f>
        <v>3Sevilla FC</v>
      </c>
      <c r="C148" s="21">
        <v>45198</v>
      </c>
      <c r="D148" s="89" t="s">
        <v>273</v>
      </c>
      <c r="E148" s="89" t="s">
        <v>283</v>
      </c>
      <c r="F148">
        <v>1</v>
      </c>
      <c r="G148">
        <v>0</v>
      </c>
      <c r="H148" s="89" t="s">
        <v>194</v>
      </c>
      <c r="I148">
        <v>1.35</v>
      </c>
      <c r="J148">
        <v>5.46</v>
      </c>
      <c r="K148">
        <v>8.14</v>
      </c>
      <c r="N148" s="19"/>
    </row>
    <row r="149" spans="1:14" x14ac:dyDescent="0.25">
      <c r="A149" t="str">
        <f>COUNTIF($D$2:D149,D149)&amp;D149</f>
        <v>4Leganes</v>
      </c>
      <c r="B149" t="str">
        <f>COUNTIF($E$2:E149,E149)&amp;E149</f>
        <v>4Racing</v>
      </c>
      <c r="C149" s="21">
        <v>45198</v>
      </c>
      <c r="D149" s="89" t="s">
        <v>292</v>
      </c>
      <c r="E149" s="89" t="s">
        <v>299</v>
      </c>
      <c r="F149">
        <v>2</v>
      </c>
      <c r="G149">
        <v>1</v>
      </c>
      <c r="H149" s="89" t="s">
        <v>194</v>
      </c>
      <c r="I149">
        <v>2.2200000000000002</v>
      </c>
      <c r="J149">
        <v>2.93</v>
      </c>
      <c r="K149">
        <v>3.58</v>
      </c>
      <c r="N149" s="18"/>
    </row>
    <row r="150" spans="1:14" x14ac:dyDescent="0.25">
      <c r="A150" t="str">
        <f>COUNTIF($D$2:D150,D150)&amp;D150</f>
        <v>5Albacete</v>
      </c>
      <c r="B150" t="str">
        <f>COUNTIF($E$2:E150,E150)&amp;E150</f>
        <v>4FC Andorra</v>
      </c>
      <c r="C150" s="21">
        <v>45199</v>
      </c>
      <c r="D150" s="89" t="s">
        <v>301</v>
      </c>
      <c r="E150" s="89" t="s">
        <v>307</v>
      </c>
      <c r="F150">
        <v>3</v>
      </c>
      <c r="G150">
        <v>1</v>
      </c>
      <c r="H150" s="89" t="s">
        <v>194</v>
      </c>
      <c r="I150">
        <v>1.88</v>
      </c>
      <c r="J150">
        <v>3.35</v>
      </c>
      <c r="K150">
        <v>4.12</v>
      </c>
      <c r="N150" s="19"/>
    </row>
    <row r="151" spans="1:14" x14ac:dyDescent="0.25">
      <c r="A151" t="str">
        <f>COUNTIF($D$2:D151,D151)&amp;D151</f>
        <v>4Eibar</v>
      </c>
      <c r="B151" t="str">
        <f>COUNTIF($E$2:E151,E151)&amp;E151</f>
        <v>4Tenerife</v>
      </c>
      <c r="C151" s="21">
        <v>45199</v>
      </c>
      <c r="D151" s="89" t="s">
        <v>298</v>
      </c>
      <c r="E151" s="89" t="s">
        <v>295</v>
      </c>
      <c r="F151">
        <v>3</v>
      </c>
      <c r="G151">
        <v>0</v>
      </c>
      <c r="H151" s="89" t="s">
        <v>194</v>
      </c>
      <c r="I151">
        <v>1.77</v>
      </c>
      <c r="J151">
        <v>3.26</v>
      </c>
      <c r="K151">
        <v>4.97</v>
      </c>
      <c r="N151" s="18"/>
    </row>
    <row r="152" spans="1:14" x14ac:dyDescent="0.25">
      <c r="A152" t="str">
        <f>COUNTIF($D$2:D152,D152)&amp;D152</f>
        <v>5Elche</v>
      </c>
      <c r="B152" t="str">
        <f>COUNTIF($E$2:E152,E152)&amp;E152</f>
        <v>4Levante</v>
      </c>
      <c r="C152" s="21">
        <v>45199</v>
      </c>
      <c r="D152" s="89" t="s">
        <v>309</v>
      </c>
      <c r="E152" s="89" t="s">
        <v>294</v>
      </c>
      <c r="F152">
        <v>0</v>
      </c>
      <c r="G152">
        <v>0</v>
      </c>
      <c r="H152" s="89" t="s">
        <v>2</v>
      </c>
      <c r="I152">
        <v>2.2200000000000002</v>
      </c>
      <c r="J152">
        <v>3.25</v>
      </c>
      <c r="K152">
        <v>3.16</v>
      </c>
      <c r="N152" s="19"/>
    </row>
    <row r="153" spans="1:14" x14ac:dyDescent="0.25">
      <c r="A153" t="str">
        <f>COUNTIF($D$2:D153,D153)&amp;D153</f>
        <v>4Getafe</v>
      </c>
      <c r="B153" t="str">
        <f>COUNTIF($E$2:E153,E153)&amp;E153</f>
        <v>4Villarreal</v>
      </c>
      <c r="C153" s="21">
        <v>45199</v>
      </c>
      <c r="D153" s="89" t="s">
        <v>281</v>
      </c>
      <c r="E153" s="89" t="s">
        <v>285</v>
      </c>
      <c r="F153">
        <v>0</v>
      </c>
      <c r="G153">
        <v>0</v>
      </c>
      <c r="H153" s="89" t="s">
        <v>2</v>
      </c>
      <c r="I153">
        <v>2.77</v>
      </c>
      <c r="J153">
        <v>3.11</v>
      </c>
      <c r="K153">
        <v>2.75</v>
      </c>
      <c r="N153" s="19"/>
    </row>
    <row r="154" spans="1:14" x14ac:dyDescent="0.25">
      <c r="A154" t="str">
        <f>COUNTIF($D$2:D154,D154)&amp;D154</f>
        <v>4Girona</v>
      </c>
      <c r="B154" t="str">
        <f>COUNTIF($E$2:E154,E154)&amp;E154</f>
        <v>5Real Madrid</v>
      </c>
      <c r="C154" s="21">
        <v>45199</v>
      </c>
      <c r="D154" s="89" t="s">
        <v>272</v>
      </c>
      <c r="E154" s="89" t="s">
        <v>271</v>
      </c>
      <c r="F154">
        <v>0</v>
      </c>
      <c r="G154">
        <v>3</v>
      </c>
      <c r="H154" s="89" t="s">
        <v>195</v>
      </c>
      <c r="I154">
        <v>3.88</v>
      </c>
      <c r="J154">
        <v>3.99</v>
      </c>
      <c r="K154">
        <v>1.86</v>
      </c>
      <c r="N154" s="19"/>
    </row>
    <row r="155" spans="1:14" x14ac:dyDescent="0.25">
      <c r="A155" t="str">
        <f>COUNTIF($D$2:D155,D155)&amp;D155</f>
        <v>4Rayo Vallecano</v>
      </c>
      <c r="B155" t="str">
        <f>COUNTIF($E$2:E155,E155)&amp;E155</f>
        <v>5Mallorca</v>
      </c>
      <c r="C155" s="21">
        <v>45199</v>
      </c>
      <c r="D155" s="89" t="s">
        <v>277</v>
      </c>
      <c r="E155" s="89" t="s">
        <v>284</v>
      </c>
      <c r="F155">
        <v>2</v>
      </c>
      <c r="G155">
        <v>2</v>
      </c>
      <c r="H155" s="89" t="s">
        <v>2</v>
      </c>
      <c r="I155">
        <v>1.99</v>
      </c>
      <c r="J155">
        <v>3.23</v>
      </c>
      <c r="K155">
        <v>4.2300000000000004</v>
      </c>
      <c r="N155" s="18"/>
    </row>
    <row r="156" spans="1:14" x14ac:dyDescent="0.25">
      <c r="A156" t="str">
        <f>COUNTIF($D$2:D156,D156)&amp;D156</f>
        <v>5Real Sociedad</v>
      </c>
      <c r="B156" t="str">
        <f>COUNTIF($E$2:E156,E156)&amp;E156</f>
        <v>4Athletic Bilbao</v>
      </c>
      <c r="C156" s="21">
        <v>45199</v>
      </c>
      <c r="D156" s="89" t="s">
        <v>276</v>
      </c>
      <c r="E156" s="89" t="s">
        <v>274</v>
      </c>
      <c r="F156">
        <v>3</v>
      </c>
      <c r="G156">
        <v>0</v>
      </c>
      <c r="H156" s="89" t="s">
        <v>194</v>
      </c>
      <c r="I156">
        <v>2.2599999999999998</v>
      </c>
      <c r="J156">
        <v>3.09</v>
      </c>
      <c r="K156">
        <v>3.58</v>
      </c>
      <c r="N156" s="19"/>
    </row>
    <row r="157" spans="1:14" x14ac:dyDescent="0.25">
      <c r="A157" t="str">
        <f>COUNTIF($D$2:D157,D157)&amp;D157</f>
        <v>4Villarreal B</v>
      </c>
      <c r="B157" t="str">
        <f>COUNTIF($E$2:E157,E157)&amp;E157</f>
        <v>4Alcorcon</v>
      </c>
      <c r="C157" s="21">
        <v>45199</v>
      </c>
      <c r="D157" s="89" t="s">
        <v>304</v>
      </c>
      <c r="E157" s="89" t="s">
        <v>311</v>
      </c>
      <c r="F157">
        <v>2</v>
      </c>
      <c r="G157">
        <v>2</v>
      </c>
      <c r="H157" s="89" t="s">
        <v>2</v>
      </c>
      <c r="I157">
        <v>2.48</v>
      </c>
      <c r="J157">
        <v>3.09</v>
      </c>
      <c r="K157">
        <v>2.88</v>
      </c>
      <c r="N157" s="18"/>
    </row>
    <row r="158" spans="1:14" x14ac:dyDescent="0.25">
      <c r="A158" t="str">
        <f>COUNTIF($D$2:D158,D158)&amp;D158</f>
        <v>4Alaves</v>
      </c>
      <c r="B158" t="str">
        <f>COUNTIF($E$2:E158,E158)&amp;E158</f>
        <v>4Osasuna</v>
      </c>
      <c r="C158" s="21">
        <v>45200</v>
      </c>
      <c r="D158" s="89" t="s">
        <v>287</v>
      </c>
      <c r="E158" s="89" t="s">
        <v>280</v>
      </c>
      <c r="F158">
        <v>0</v>
      </c>
      <c r="G158">
        <v>2</v>
      </c>
      <c r="H158" s="89" t="s">
        <v>195</v>
      </c>
      <c r="I158">
        <v>2.5099999999999998</v>
      </c>
      <c r="J158">
        <v>3.02</v>
      </c>
      <c r="K158">
        <v>3.18</v>
      </c>
      <c r="N158" s="19"/>
    </row>
    <row r="159" spans="1:14" x14ac:dyDescent="0.25">
      <c r="A159" t="str">
        <f>COUNTIF($D$2:D159,D159)&amp;D159</f>
        <v>5Almeria</v>
      </c>
      <c r="B159" t="str">
        <f>COUNTIF($E$2:E159,E159)&amp;E159</f>
        <v>4Granada</v>
      </c>
      <c r="C159" s="21">
        <v>45200</v>
      </c>
      <c r="D159" s="89" t="s">
        <v>290</v>
      </c>
      <c r="E159" s="89" t="s">
        <v>289</v>
      </c>
      <c r="F159">
        <v>3</v>
      </c>
      <c r="G159">
        <v>3</v>
      </c>
      <c r="H159" s="89" t="s">
        <v>2</v>
      </c>
      <c r="I159">
        <v>1.94</v>
      </c>
      <c r="J159">
        <v>3.73</v>
      </c>
      <c r="K159">
        <v>3.8</v>
      </c>
      <c r="N159" s="19"/>
    </row>
    <row r="160" spans="1:14" x14ac:dyDescent="0.25">
      <c r="A160" t="str">
        <f>COUNTIF($D$2:D160,D160)&amp;D160</f>
        <v>4Amorebieta</v>
      </c>
      <c r="B160" t="str">
        <f>COUNTIF($E$2:E160,E160)&amp;E160</f>
        <v>4Cartagena</v>
      </c>
      <c r="C160" s="21">
        <v>45200</v>
      </c>
      <c r="D160" s="89" t="s">
        <v>308</v>
      </c>
      <c r="E160" s="89" t="s">
        <v>312</v>
      </c>
      <c r="F160">
        <v>0</v>
      </c>
      <c r="G160">
        <v>0</v>
      </c>
      <c r="H160" s="89" t="s">
        <v>2</v>
      </c>
      <c r="I160">
        <v>2.5499999999999998</v>
      </c>
      <c r="J160">
        <v>3.04</v>
      </c>
      <c r="K160">
        <v>2.85</v>
      </c>
      <c r="N160" s="19"/>
    </row>
    <row r="161" spans="1:14" x14ac:dyDescent="0.25">
      <c r="A161" t="str">
        <f>COUNTIF($D$2:D161,D161)&amp;D161</f>
        <v>3Atletico Madrid</v>
      </c>
      <c r="B161" t="str">
        <f>COUNTIF($E$2:E161,E161)&amp;E161</f>
        <v>4Cadiz</v>
      </c>
      <c r="C161" s="21">
        <v>45200</v>
      </c>
      <c r="D161" s="89" t="s">
        <v>275</v>
      </c>
      <c r="E161" s="89" t="s">
        <v>282</v>
      </c>
      <c r="F161">
        <v>3</v>
      </c>
      <c r="G161">
        <v>2</v>
      </c>
      <c r="H161" s="89" t="s">
        <v>194</v>
      </c>
      <c r="I161">
        <v>1.33</v>
      </c>
      <c r="J161">
        <v>5.27</v>
      </c>
      <c r="K161">
        <v>9.81</v>
      </c>
      <c r="N161" s="18"/>
    </row>
    <row r="162" spans="1:14" x14ac:dyDescent="0.25">
      <c r="A162" t="str">
        <f>COUNTIF($D$2:D162,D162)&amp;D162</f>
        <v>3Eldense</v>
      </c>
      <c r="B162" t="str">
        <f>COUNTIF($E$2:E162,E162)&amp;E162</f>
        <v>5Real Oviedo</v>
      </c>
      <c r="C162" s="21">
        <v>45200</v>
      </c>
      <c r="D162" s="89" t="s">
        <v>303</v>
      </c>
      <c r="E162" s="89" t="s">
        <v>305</v>
      </c>
      <c r="F162">
        <v>1</v>
      </c>
      <c r="G162">
        <v>3</v>
      </c>
      <c r="H162" s="89" t="s">
        <v>195</v>
      </c>
      <c r="I162">
        <v>2.79</v>
      </c>
      <c r="J162">
        <v>2.77</v>
      </c>
      <c r="K162">
        <v>2.83</v>
      </c>
      <c r="N162" s="19"/>
    </row>
    <row r="163" spans="1:14" x14ac:dyDescent="0.25">
      <c r="A163" t="str">
        <f>COUNTIF($D$2:D163,D163)&amp;D163</f>
        <v>4Huesca</v>
      </c>
      <c r="B163" t="str">
        <f>COUNTIF($E$2:E163,E163)&amp;E163</f>
        <v>5Sporting Gijon</v>
      </c>
      <c r="C163" s="21">
        <v>45200</v>
      </c>
      <c r="D163" s="89" t="s">
        <v>310</v>
      </c>
      <c r="E163" s="89" t="s">
        <v>296</v>
      </c>
      <c r="F163">
        <v>0</v>
      </c>
      <c r="G163">
        <v>1</v>
      </c>
      <c r="H163" s="89" t="s">
        <v>195</v>
      </c>
      <c r="I163">
        <v>2.62</v>
      </c>
      <c r="J163">
        <v>2.79</v>
      </c>
      <c r="K163">
        <v>2.99</v>
      </c>
      <c r="N163" s="18"/>
    </row>
    <row r="164" spans="1:14" x14ac:dyDescent="0.25">
      <c r="A164" t="str">
        <f>COUNTIF($D$2:D164,D164)&amp;D164</f>
        <v>4Real Betis</v>
      </c>
      <c r="B164" t="str">
        <f>COUNTIF($E$2:E164,E164)&amp;E164</f>
        <v>4Valencia</v>
      </c>
      <c r="C164" s="21">
        <v>45200</v>
      </c>
      <c r="D164" s="89" t="s">
        <v>278</v>
      </c>
      <c r="E164" s="89" t="s">
        <v>279</v>
      </c>
      <c r="F164">
        <v>3</v>
      </c>
      <c r="G164">
        <v>0</v>
      </c>
      <c r="H164" s="89" t="s">
        <v>194</v>
      </c>
      <c r="I164">
        <v>2.08</v>
      </c>
      <c r="J164">
        <v>3.26</v>
      </c>
      <c r="K164">
        <v>3.87</v>
      </c>
      <c r="N164" s="19"/>
    </row>
    <row r="165" spans="1:14" x14ac:dyDescent="0.25">
      <c r="A165" t="str">
        <f>COUNTIF($D$2:D165,D165)&amp;D165</f>
        <v>5Valladolid</v>
      </c>
      <c r="B165" t="str">
        <f>COUNTIF($E$2:E165,E165)&amp;E165</f>
        <v>4Burgos</v>
      </c>
      <c r="C165" s="21">
        <v>45200</v>
      </c>
      <c r="D165" s="89" t="s">
        <v>297</v>
      </c>
      <c r="E165" s="89" t="s">
        <v>302</v>
      </c>
      <c r="F165">
        <v>3</v>
      </c>
      <c r="G165">
        <v>0</v>
      </c>
      <c r="H165" s="89" t="s">
        <v>194</v>
      </c>
      <c r="I165">
        <v>1.81</v>
      </c>
      <c r="J165">
        <v>3.34</v>
      </c>
      <c r="K165">
        <v>4.51</v>
      </c>
      <c r="N165" s="19"/>
    </row>
    <row r="166" spans="1:14" x14ac:dyDescent="0.25">
      <c r="A166" t="str">
        <f>COUNTIF($D$2:D166,D166)&amp;D166</f>
        <v>5Real Zaragoza</v>
      </c>
      <c r="B166" t="str">
        <f>COUNTIF($E$2:E166,E166)&amp;E166</f>
        <v>4Mirandes</v>
      </c>
      <c r="C166" s="21">
        <v>45200</v>
      </c>
      <c r="D166" s="89" t="s">
        <v>293</v>
      </c>
      <c r="E166" s="89" t="s">
        <v>306</v>
      </c>
      <c r="F166">
        <v>0</v>
      </c>
      <c r="G166">
        <v>1</v>
      </c>
      <c r="H166" s="89" t="s">
        <v>195</v>
      </c>
      <c r="I166">
        <v>1.79</v>
      </c>
      <c r="J166">
        <v>3.34</v>
      </c>
      <c r="K166">
        <v>4.5999999999999996</v>
      </c>
      <c r="N166" s="19"/>
    </row>
    <row r="167" spans="1:14" x14ac:dyDescent="0.25">
      <c r="A167" t="str">
        <f>COUNTIF($D$2:D167,D167)&amp;D167</f>
        <v>4Espanyol</v>
      </c>
      <c r="B167" t="str">
        <f>COUNTIF($E$2:E167,E167)&amp;E167</f>
        <v>5Racing Ferrol</v>
      </c>
      <c r="C167" s="21">
        <v>45201</v>
      </c>
      <c r="D167" s="89" t="s">
        <v>291</v>
      </c>
      <c r="E167" s="89" t="s">
        <v>300</v>
      </c>
      <c r="F167">
        <v>3</v>
      </c>
      <c r="G167">
        <v>0</v>
      </c>
      <c r="H167" s="89" t="s">
        <v>194</v>
      </c>
      <c r="I167">
        <v>1.52</v>
      </c>
      <c r="J167">
        <v>3.96</v>
      </c>
      <c r="K167">
        <v>6.26</v>
      </c>
      <c r="N167" s="18"/>
    </row>
    <row r="168" spans="1:14" x14ac:dyDescent="0.25">
      <c r="A168" t="str">
        <f>COUNTIF($D$2:D168,D168)&amp;D168</f>
        <v>4Las Palmas</v>
      </c>
      <c r="B168" t="str">
        <f>COUNTIF($E$2:E168,E168)&amp;E168</f>
        <v>4Celta Vigo</v>
      </c>
      <c r="C168" s="21">
        <v>45201</v>
      </c>
      <c r="D168" s="89" t="s">
        <v>286</v>
      </c>
      <c r="E168" s="89" t="s">
        <v>288</v>
      </c>
      <c r="F168">
        <v>2</v>
      </c>
      <c r="G168">
        <v>1</v>
      </c>
      <c r="H168" s="89" t="s">
        <v>194</v>
      </c>
      <c r="I168">
        <v>2.92</v>
      </c>
      <c r="J168">
        <v>3.13</v>
      </c>
      <c r="K168">
        <v>2.62</v>
      </c>
      <c r="N168" s="19"/>
    </row>
    <row r="169" spans="1:14" x14ac:dyDescent="0.25">
      <c r="A169" t="str">
        <f>COUNTIF($D$2:D169,D169)&amp;D169</f>
        <v>5Alcorcon</v>
      </c>
      <c r="B169" t="str">
        <f>COUNTIF($E$2:E169,E169)&amp;E169</f>
        <v>4Albacete</v>
      </c>
      <c r="C169" s="21">
        <v>45202</v>
      </c>
      <c r="D169" s="89" t="s">
        <v>311</v>
      </c>
      <c r="E169" s="89" t="s">
        <v>301</v>
      </c>
      <c r="F169">
        <v>1</v>
      </c>
      <c r="G169">
        <v>2</v>
      </c>
      <c r="H169" s="89" t="s">
        <v>195</v>
      </c>
      <c r="I169">
        <v>3</v>
      </c>
      <c r="J169">
        <v>2.96</v>
      </c>
      <c r="K169">
        <v>2.48</v>
      </c>
      <c r="N169" s="18"/>
    </row>
    <row r="170" spans="1:14" x14ac:dyDescent="0.25">
      <c r="A170" t="str">
        <f>COUNTIF($D$2:D170,D170)&amp;D170</f>
        <v>5Levante</v>
      </c>
      <c r="B170" t="str">
        <f>COUNTIF($E$2:E170,E170)&amp;E170</f>
        <v>5Villarreal B</v>
      </c>
      <c r="C170" s="21">
        <v>45202</v>
      </c>
      <c r="D170" s="89" t="s">
        <v>294</v>
      </c>
      <c r="E170" s="89" t="s">
        <v>304</v>
      </c>
      <c r="F170">
        <v>1</v>
      </c>
      <c r="G170">
        <v>1</v>
      </c>
      <c r="H170" s="89" t="s">
        <v>2</v>
      </c>
      <c r="I170">
        <v>1.67</v>
      </c>
      <c r="J170">
        <v>3.79</v>
      </c>
      <c r="K170">
        <v>4.79</v>
      </c>
      <c r="N170" s="19"/>
    </row>
    <row r="171" spans="1:14" x14ac:dyDescent="0.25">
      <c r="A171" t="str">
        <f>COUNTIF($D$2:D171,D171)&amp;D171</f>
        <v>5Tenerife</v>
      </c>
      <c r="B171" t="str">
        <f>COUNTIF($E$2:E171,E171)&amp;E171</f>
        <v>5Racing</v>
      </c>
      <c r="C171" s="21">
        <v>45202</v>
      </c>
      <c r="D171" s="89" t="s">
        <v>295</v>
      </c>
      <c r="E171" s="89" t="s">
        <v>299</v>
      </c>
      <c r="F171">
        <v>2</v>
      </c>
      <c r="G171">
        <v>0</v>
      </c>
      <c r="H171" s="89" t="s">
        <v>194</v>
      </c>
      <c r="I171">
        <v>1.91</v>
      </c>
      <c r="J171">
        <v>3.15</v>
      </c>
      <c r="K171">
        <v>4.38</v>
      </c>
      <c r="N171" s="19"/>
    </row>
    <row r="172" spans="1:14" x14ac:dyDescent="0.25">
      <c r="A172" t="str">
        <f>COUNTIF($D$2:D172,D172)&amp;D172</f>
        <v>5Burgos</v>
      </c>
      <c r="B172" t="str">
        <f>COUNTIF($E$2:E172,E172)&amp;E172</f>
        <v>5Leganes</v>
      </c>
      <c r="C172" s="21">
        <v>45203</v>
      </c>
      <c r="D172" s="89" t="s">
        <v>302</v>
      </c>
      <c r="E172" s="89" t="s">
        <v>292</v>
      </c>
      <c r="F172">
        <v>1</v>
      </c>
      <c r="G172">
        <v>0</v>
      </c>
      <c r="H172" s="89" t="s">
        <v>194</v>
      </c>
      <c r="I172">
        <v>2.25</v>
      </c>
      <c r="J172">
        <v>2.86</v>
      </c>
      <c r="K172">
        <v>3.59</v>
      </c>
      <c r="N172" s="19"/>
    </row>
    <row r="173" spans="1:14" x14ac:dyDescent="0.25">
      <c r="A173" t="str">
        <f>COUNTIF($D$2:D173,D173)&amp;D173</f>
        <v>4Eldense</v>
      </c>
      <c r="B173" t="str">
        <f>COUNTIF($E$2:E173,E173)&amp;E173</f>
        <v>4Valladolid</v>
      </c>
      <c r="C173" s="21">
        <v>45203</v>
      </c>
      <c r="D173" s="89" t="s">
        <v>303</v>
      </c>
      <c r="E173" s="89" t="s">
        <v>297</v>
      </c>
      <c r="F173">
        <v>0</v>
      </c>
      <c r="G173">
        <v>1</v>
      </c>
      <c r="H173" s="89" t="s">
        <v>195</v>
      </c>
      <c r="I173">
        <v>3.45</v>
      </c>
      <c r="J173">
        <v>3.13</v>
      </c>
      <c r="K173">
        <v>2.14</v>
      </c>
      <c r="N173" s="18"/>
    </row>
    <row r="174" spans="1:14" x14ac:dyDescent="0.25">
      <c r="A174" t="str">
        <f>COUNTIF($D$2:D174,D174)&amp;D174</f>
        <v>4Sporting Gijon</v>
      </c>
      <c r="B174" t="str">
        <f>COUNTIF($E$2:E174,E174)&amp;E174</f>
        <v>4Elche</v>
      </c>
      <c r="C174" s="21">
        <v>45203</v>
      </c>
      <c r="D174" s="89" t="s">
        <v>296</v>
      </c>
      <c r="E174" s="89" t="s">
        <v>309</v>
      </c>
      <c r="F174">
        <v>2</v>
      </c>
      <c r="G174">
        <v>0</v>
      </c>
      <c r="H174" s="89" t="s">
        <v>194</v>
      </c>
      <c r="I174">
        <v>2.31</v>
      </c>
      <c r="J174">
        <v>3.02</v>
      </c>
      <c r="K174">
        <v>3.24</v>
      </c>
      <c r="N174" s="19"/>
    </row>
    <row r="175" spans="1:14" x14ac:dyDescent="0.25">
      <c r="A175" t="str">
        <f>COUNTIF($D$2:D175,D175)&amp;D175</f>
        <v>4Real Oviedo</v>
      </c>
      <c r="B175" t="str">
        <f>COUNTIF($E$2:E175,E175)&amp;E175</f>
        <v>5Huesca</v>
      </c>
      <c r="C175" s="21">
        <v>45203</v>
      </c>
      <c r="D175" s="89" t="s">
        <v>305</v>
      </c>
      <c r="E175" s="89" t="s">
        <v>310</v>
      </c>
      <c r="F175">
        <v>1</v>
      </c>
      <c r="G175">
        <v>0</v>
      </c>
      <c r="H175" s="89" t="s">
        <v>194</v>
      </c>
      <c r="I175">
        <v>1.81</v>
      </c>
      <c r="J175">
        <v>2.99</v>
      </c>
      <c r="K175">
        <v>5.28</v>
      </c>
      <c r="N175" s="18"/>
    </row>
    <row r="176" spans="1:14" x14ac:dyDescent="0.25">
      <c r="A176" t="str">
        <f>COUNTIF($D$2:D176,D176)&amp;D176</f>
        <v>5FC Andorra</v>
      </c>
      <c r="B176" t="str">
        <f>COUNTIF($E$2:E176,E176)&amp;E176</f>
        <v>4Real Zaragoza</v>
      </c>
      <c r="C176" s="21">
        <v>45204</v>
      </c>
      <c r="D176" s="89" t="s">
        <v>307</v>
      </c>
      <c r="E176" s="89" t="s">
        <v>293</v>
      </c>
      <c r="F176">
        <v>0</v>
      </c>
      <c r="G176">
        <v>1</v>
      </c>
      <c r="H176" s="89" t="s">
        <v>195</v>
      </c>
      <c r="I176">
        <v>2.4300000000000002</v>
      </c>
      <c r="J176">
        <v>2.97</v>
      </c>
      <c r="K176">
        <v>3.08</v>
      </c>
      <c r="N176" s="19"/>
    </row>
    <row r="177" spans="1:14" x14ac:dyDescent="0.25">
      <c r="A177" t="str">
        <f>COUNTIF($D$2:D177,D177)&amp;D177</f>
        <v>5Cartagena</v>
      </c>
      <c r="B177" t="str">
        <f>COUNTIF($E$2:E177,E177)&amp;E177</f>
        <v>5Espanyol</v>
      </c>
      <c r="C177" s="21">
        <v>45204</v>
      </c>
      <c r="D177" s="89" t="s">
        <v>312</v>
      </c>
      <c r="E177" s="89" t="s">
        <v>291</v>
      </c>
      <c r="F177">
        <v>0</v>
      </c>
      <c r="G177">
        <v>2</v>
      </c>
      <c r="H177" s="89" t="s">
        <v>195</v>
      </c>
      <c r="I177">
        <v>3.56</v>
      </c>
      <c r="J177">
        <v>3.33</v>
      </c>
      <c r="K177">
        <v>2.0299999999999998</v>
      </c>
      <c r="N177" s="19"/>
    </row>
    <row r="178" spans="1:14" x14ac:dyDescent="0.25">
      <c r="A178" t="str">
        <f>COUNTIF($D$2:D178,D178)&amp;D178</f>
        <v>5Mirandes</v>
      </c>
      <c r="B178" t="str">
        <f>COUNTIF($E$2:E178,E178)&amp;E178</f>
        <v>5Eibar</v>
      </c>
      <c r="C178" s="21">
        <v>45204</v>
      </c>
      <c r="D178" s="89" t="s">
        <v>306</v>
      </c>
      <c r="E178" s="89" t="s">
        <v>298</v>
      </c>
      <c r="F178">
        <v>1</v>
      </c>
      <c r="G178">
        <v>3</v>
      </c>
      <c r="H178" s="89" t="s">
        <v>195</v>
      </c>
      <c r="I178">
        <v>3.65</v>
      </c>
      <c r="J178">
        <v>3.07</v>
      </c>
      <c r="K178">
        <v>2.12</v>
      </c>
      <c r="N178" s="19"/>
    </row>
    <row r="179" spans="1:14" x14ac:dyDescent="0.25">
      <c r="A179" t="str">
        <f>COUNTIF($D$2:D179,D179)&amp;D179</f>
        <v>4Racing Ferrol</v>
      </c>
      <c r="B179" t="str">
        <f>COUNTIF($E$2:E179,E179)&amp;E179</f>
        <v>5Amorebieta</v>
      </c>
      <c r="C179" s="21">
        <v>45204</v>
      </c>
      <c r="D179" s="89" t="s">
        <v>300</v>
      </c>
      <c r="E179" s="89" t="s">
        <v>308</v>
      </c>
      <c r="F179">
        <v>1</v>
      </c>
      <c r="G179">
        <v>0</v>
      </c>
      <c r="H179" s="89" t="s">
        <v>194</v>
      </c>
      <c r="I179">
        <v>1.69</v>
      </c>
      <c r="J179">
        <v>3.42</v>
      </c>
      <c r="K179">
        <v>5.38</v>
      </c>
      <c r="N179" s="18"/>
    </row>
    <row r="180" spans="1:14" x14ac:dyDescent="0.25">
      <c r="A180" t="str">
        <f>COUNTIF($D$2:D180,D180)&amp;D180</f>
        <v>6Albacete</v>
      </c>
      <c r="B180" t="str">
        <f>COUNTIF($E$2:E180,E180)&amp;E180</f>
        <v>5Levante</v>
      </c>
      <c r="C180" s="21">
        <v>45205</v>
      </c>
      <c r="D180" s="89" t="s">
        <v>301</v>
      </c>
      <c r="E180" s="89" t="s">
        <v>294</v>
      </c>
      <c r="F180">
        <v>0</v>
      </c>
      <c r="G180">
        <v>2</v>
      </c>
      <c r="H180" s="89" t="s">
        <v>195</v>
      </c>
      <c r="I180">
        <v>2.02</v>
      </c>
      <c r="J180">
        <v>3.18</v>
      </c>
      <c r="K180">
        <v>3.79</v>
      </c>
      <c r="N180" s="19"/>
    </row>
    <row r="181" spans="1:14" x14ac:dyDescent="0.25">
      <c r="A181" t="str">
        <f>COUNTIF($D$2:D181,D181)&amp;D181</f>
        <v>5Athletic Bilbao</v>
      </c>
      <c r="B181" t="str">
        <f>COUNTIF($E$2:E181,E181)&amp;E181</f>
        <v>4Almeria</v>
      </c>
      <c r="C181" s="21">
        <v>45205</v>
      </c>
      <c r="D181" s="89" t="s">
        <v>274</v>
      </c>
      <c r="E181" s="89" t="s">
        <v>290</v>
      </c>
      <c r="F181">
        <v>3</v>
      </c>
      <c r="G181">
        <v>0</v>
      </c>
      <c r="H181" s="89" t="s">
        <v>194</v>
      </c>
      <c r="I181">
        <v>1.31</v>
      </c>
      <c r="J181">
        <v>5.63</v>
      </c>
      <c r="K181">
        <v>9.57</v>
      </c>
      <c r="N181" s="18"/>
    </row>
    <row r="182" spans="1:14" x14ac:dyDescent="0.25">
      <c r="A182" t="str">
        <f>COUNTIF($D$2:D182,D182)&amp;D182</f>
        <v>5Cadiz</v>
      </c>
      <c r="B182" t="str">
        <f>COUNTIF($E$2:E182,E182)&amp;E182</f>
        <v>5Girona</v>
      </c>
      <c r="C182" s="21">
        <v>45206</v>
      </c>
      <c r="D182" s="89" t="s">
        <v>282</v>
      </c>
      <c r="E182" s="89" t="s">
        <v>272</v>
      </c>
      <c r="F182">
        <v>0</v>
      </c>
      <c r="G182">
        <v>1</v>
      </c>
      <c r="H182" s="89" t="s">
        <v>195</v>
      </c>
      <c r="I182">
        <v>3.27</v>
      </c>
      <c r="J182">
        <v>3.39</v>
      </c>
      <c r="K182">
        <v>2.2400000000000002</v>
      </c>
      <c r="N182" s="19"/>
    </row>
    <row r="183" spans="1:14" x14ac:dyDescent="0.25">
      <c r="A183" t="str">
        <f>COUNTIF($D$2:D183,D183)&amp;D183</f>
        <v>5Huesca</v>
      </c>
      <c r="B183" t="str">
        <f>COUNTIF($E$2:E183,E183)&amp;E183</f>
        <v>6Eldense</v>
      </c>
      <c r="C183" s="21">
        <v>45206</v>
      </c>
      <c r="D183" s="89" t="s">
        <v>310</v>
      </c>
      <c r="E183" s="89" t="s">
        <v>303</v>
      </c>
      <c r="F183">
        <v>0</v>
      </c>
      <c r="G183">
        <v>1</v>
      </c>
      <c r="H183" s="89" t="s">
        <v>195</v>
      </c>
      <c r="I183">
        <v>2.0699999999999998</v>
      </c>
      <c r="J183">
        <v>2.98</v>
      </c>
      <c r="K183">
        <v>3.96</v>
      </c>
      <c r="N183" s="19"/>
    </row>
    <row r="184" spans="1:14" x14ac:dyDescent="0.25">
      <c r="A184" t="str">
        <f>COUNTIF($D$2:D184,D184)&amp;D184</f>
        <v>5Leganes</v>
      </c>
      <c r="B184" t="str">
        <f>COUNTIF($E$2:E184,E184)&amp;E184</f>
        <v>6Real Oviedo</v>
      </c>
      <c r="C184" s="21">
        <v>45206</v>
      </c>
      <c r="D184" s="89" t="s">
        <v>292</v>
      </c>
      <c r="E184" s="89" t="s">
        <v>305</v>
      </c>
      <c r="F184">
        <v>0</v>
      </c>
      <c r="G184">
        <v>0</v>
      </c>
      <c r="H184" s="89" t="s">
        <v>2</v>
      </c>
      <c r="I184">
        <v>2.41</v>
      </c>
      <c r="J184">
        <v>2.73</v>
      </c>
      <c r="K184">
        <v>3.44</v>
      </c>
      <c r="N184" s="18"/>
    </row>
    <row r="185" spans="1:14" x14ac:dyDescent="0.25">
      <c r="A185" t="str">
        <f>COUNTIF($D$2:D185,D185)&amp;D185</f>
        <v>4Mallorca</v>
      </c>
      <c r="B185" t="str">
        <f>COUNTIF($E$2:E185,E185)&amp;E185</f>
        <v>5Valencia</v>
      </c>
      <c r="C185" s="21">
        <v>45206</v>
      </c>
      <c r="D185" s="89" t="s">
        <v>284</v>
      </c>
      <c r="E185" s="89" t="s">
        <v>279</v>
      </c>
      <c r="F185">
        <v>1</v>
      </c>
      <c r="G185">
        <v>1</v>
      </c>
      <c r="H185" s="89" t="s">
        <v>2</v>
      </c>
      <c r="I185">
        <v>2.4900000000000002</v>
      </c>
      <c r="J185">
        <v>2.98</v>
      </c>
      <c r="K185">
        <v>3.2</v>
      </c>
      <c r="N185" s="19"/>
    </row>
    <row r="186" spans="1:14" x14ac:dyDescent="0.25">
      <c r="A186" t="str">
        <f>COUNTIF($D$2:D186,D186)&amp;D186</f>
        <v>5Racing</v>
      </c>
      <c r="B186" t="str">
        <f>COUNTIF($E$2:E186,E186)&amp;E186</f>
        <v>6Sporting Gijon</v>
      </c>
      <c r="C186" s="21">
        <v>45206</v>
      </c>
      <c r="D186" s="89" t="s">
        <v>299</v>
      </c>
      <c r="E186" s="89" t="s">
        <v>296</v>
      </c>
      <c r="F186">
        <v>3</v>
      </c>
      <c r="G186">
        <v>2</v>
      </c>
      <c r="H186" s="89" t="s">
        <v>194</v>
      </c>
      <c r="I186">
        <v>2.65</v>
      </c>
      <c r="J186">
        <v>2.95</v>
      </c>
      <c r="K186">
        <v>2.82</v>
      </c>
      <c r="N186" s="18"/>
    </row>
    <row r="187" spans="1:14" x14ac:dyDescent="0.25">
      <c r="A187" t="str">
        <f>COUNTIF($D$2:D187,D187)&amp;D187</f>
        <v>4Real Madrid</v>
      </c>
      <c r="B187" t="str">
        <f>COUNTIF($E$2:E187,E187)&amp;E187</f>
        <v>5Osasuna</v>
      </c>
      <c r="C187" s="21">
        <v>45206</v>
      </c>
      <c r="D187" s="89" t="s">
        <v>271</v>
      </c>
      <c r="E187" s="89" t="s">
        <v>280</v>
      </c>
      <c r="F187">
        <v>4</v>
      </c>
      <c r="G187">
        <v>0</v>
      </c>
      <c r="H187" s="89" t="s">
        <v>194</v>
      </c>
      <c r="I187">
        <v>1.27</v>
      </c>
      <c r="J187">
        <v>6.04</v>
      </c>
      <c r="K187">
        <v>10.89</v>
      </c>
      <c r="N187" s="19"/>
    </row>
    <row r="188" spans="1:14" x14ac:dyDescent="0.25">
      <c r="A188" t="str">
        <f>COUNTIF($D$2:D188,D188)&amp;D188</f>
        <v>5Sevilla FC</v>
      </c>
      <c r="B188" t="str">
        <f>COUNTIF($E$2:E188,E188)&amp;E188</f>
        <v>5Rayo Vallecano</v>
      </c>
      <c r="C188" s="21">
        <v>45206</v>
      </c>
      <c r="D188" s="89" t="s">
        <v>283</v>
      </c>
      <c r="E188" s="89" t="s">
        <v>277</v>
      </c>
      <c r="F188">
        <v>2</v>
      </c>
      <c r="G188">
        <v>2</v>
      </c>
      <c r="H188" s="89" t="s">
        <v>2</v>
      </c>
      <c r="I188">
        <v>1.84</v>
      </c>
      <c r="J188">
        <v>3.67</v>
      </c>
      <c r="K188">
        <v>4.3899999999999997</v>
      </c>
      <c r="N188" s="18"/>
    </row>
    <row r="189" spans="1:14" x14ac:dyDescent="0.25">
      <c r="A189" t="str">
        <f>COUNTIF($D$2:D189,D189)&amp;D189</f>
        <v>5Alaves</v>
      </c>
      <c r="B189" t="str">
        <f>COUNTIF($E$2:E189,E189)&amp;E189</f>
        <v>5Real Betis</v>
      </c>
      <c r="C189" s="21">
        <v>45207</v>
      </c>
      <c r="D189" s="89" t="s">
        <v>287</v>
      </c>
      <c r="E189" s="89" t="s">
        <v>278</v>
      </c>
      <c r="F189">
        <v>1</v>
      </c>
      <c r="G189">
        <v>1</v>
      </c>
      <c r="H189" s="89" t="s">
        <v>2</v>
      </c>
      <c r="I189">
        <v>2.5499999999999998</v>
      </c>
      <c r="J189">
        <v>3.21</v>
      </c>
      <c r="K189">
        <v>2.91</v>
      </c>
      <c r="N189" s="19"/>
    </row>
    <row r="190" spans="1:14" x14ac:dyDescent="0.25">
      <c r="A190" t="str">
        <f>COUNTIF($D$2:D190,D190)&amp;D190</f>
        <v>5Amorebieta</v>
      </c>
      <c r="B190" t="str">
        <f>COUNTIF($E$2:E190,E190)&amp;E190</f>
        <v>6Eibar</v>
      </c>
      <c r="C190" s="21">
        <v>45207</v>
      </c>
      <c r="D190" s="89" t="s">
        <v>308</v>
      </c>
      <c r="E190" s="89" t="s">
        <v>298</v>
      </c>
      <c r="F190">
        <v>1</v>
      </c>
      <c r="G190">
        <v>2</v>
      </c>
      <c r="H190" s="89" t="s">
        <v>195</v>
      </c>
      <c r="I190">
        <v>4.2300000000000004</v>
      </c>
      <c r="J190">
        <v>3.09</v>
      </c>
      <c r="K190">
        <v>1.95</v>
      </c>
      <c r="N190" s="19"/>
    </row>
    <row r="191" spans="1:14" x14ac:dyDescent="0.25">
      <c r="A191" t="str">
        <f>COUNTIF($D$2:D191,D191)&amp;D191</f>
        <v>4Atletico Madrid</v>
      </c>
      <c r="B191" t="str">
        <f>COUNTIF($E$2:E191,E191)&amp;E191</f>
        <v>4Real Sociedad</v>
      </c>
      <c r="C191" s="21">
        <v>45207</v>
      </c>
      <c r="D191" s="89" t="s">
        <v>275</v>
      </c>
      <c r="E191" s="89" t="s">
        <v>276</v>
      </c>
      <c r="F191">
        <v>2</v>
      </c>
      <c r="G191">
        <v>1</v>
      </c>
      <c r="H191" s="89" t="s">
        <v>194</v>
      </c>
      <c r="I191">
        <v>1.99</v>
      </c>
      <c r="J191">
        <v>3.33</v>
      </c>
      <c r="K191">
        <v>4.1500000000000004</v>
      </c>
      <c r="N191" s="18"/>
    </row>
    <row r="192" spans="1:14" x14ac:dyDescent="0.25">
      <c r="A192" t="str">
        <f>COUNTIF($D$2:D192,D192)&amp;D192</f>
        <v>5Celta Vigo</v>
      </c>
      <c r="B192" t="str">
        <f>COUNTIF($E$2:E192,E192)&amp;E192</f>
        <v>5Getafe</v>
      </c>
      <c r="C192" s="21">
        <v>45207</v>
      </c>
      <c r="D192" s="89" t="s">
        <v>288</v>
      </c>
      <c r="E192" s="89" t="s">
        <v>281</v>
      </c>
      <c r="F192">
        <v>2</v>
      </c>
      <c r="G192">
        <v>2</v>
      </c>
      <c r="H192" s="89" t="s">
        <v>2</v>
      </c>
      <c r="I192">
        <v>2.02</v>
      </c>
      <c r="J192">
        <v>3.25</v>
      </c>
      <c r="K192">
        <v>4.1100000000000003</v>
      </c>
      <c r="N192" s="19"/>
    </row>
    <row r="193" spans="1:14" x14ac:dyDescent="0.25">
      <c r="A193" t="str">
        <f>COUNTIF($D$2:D193,D193)&amp;D193</f>
        <v>5Granada</v>
      </c>
      <c r="B193" t="str">
        <f>COUNTIF($E$2:E193,E193)&amp;E193</f>
        <v>5FC Barcelona</v>
      </c>
      <c r="C193" s="21">
        <v>45207</v>
      </c>
      <c r="D193" s="89" t="s">
        <v>289</v>
      </c>
      <c r="E193" s="89" t="s">
        <v>273</v>
      </c>
      <c r="F193">
        <v>2</v>
      </c>
      <c r="G193">
        <v>2</v>
      </c>
      <c r="H193" s="89" t="s">
        <v>2</v>
      </c>
      <c r="I193">
        <v>6.97</v>
      </c>
      <c r="J193">
        <v>5.0999999999999996</v>
      </c>
      <c r="K193">
        <v>1.41</v>
      </c>
      <c r="N193" s="18"/>
    </row>
    <row r="194" spans="1:14" x14ac:dyDescent="0.25">
      <c r="A194" t="str">
        <f>COUNTIF($D$2:D194,D194)&amp;D194</f>
        <v>5Racing Ferrol</v>
      </c>
      <c r="B194" t="str">
        <f>COUNTIF($E$2:E194,E194)&amp;E194</f>
        <v>5Cartagena</v>
      </c>
      <c r="C194" s="21">
        <v>45207</v>
      </c>
      <c r="D194" s="89" t="s">
        <v>300</v>
      </c>
      <c r="E194" s="89" t="s">
        <v>312</v>
      </c>
      <c r="F194">
        <v>1</v>
      </c>
      <c r="G194">
        <v>1</v>
      </c>
      <c r="H194" s="89" t="s">
        <v>2</v>
      </c>
      <c r="I194">
        <v>1.86</v>
      </c>
      <c r="J194">
        <v>3.24</v>
      </c>
      <c r="K194">
        <v>4.4400000000000004</v>
      </c>
      <c r="N194" s="19"/>
    </row>
    <row r="195" spans="1:14" x14ac:dyDescent="0.25">
      <c r="A195" t="str">
        <f>COUNTIF($D$2:D195,D195)&amp;D195</f>
        <v>6Tenerife</v>
      </c>
      <c r="B195" t="str">
        <f>COUNTIF($E$2:E195,E195)&amp;E195</f>
        <v>5Burgos</v>
      </c>
      <c r="C195" s="21">
        <v>45207</v>
      </c>
      <c r="D195" s="89" t="s">
        <v>295</v>
      </c>
      <c r="E195" s="89" t="s">
        <v>302</v>
      </c>
      <c r="F195">
        <v>2</v>
      </c>
      <c r="G195">
        <v>1</v>
      </c>
      <c r="H195" s="89" t="s">
        <v>194</v>
      </c>
      <c r="I195">
        <v>1.75</v>
      </c>
      <c r="J195">
        <v>3.18</v>
      </c>
      <c r="K195">
        <v>5.35</v>
      </c>
      <c r="N195" s="18"/>
    </row>
    <row r="196" spans="1:14" x14ac:dyDescent="0.25">
      <c r="A196" t="str">
        <f>COUNTIF($D$2:D196,D196)&amp;D196</f>
        <v>6Valladolid</v>
      </c>
      <c r="B196" t="str">
        <f>COUNTIF($E$2:E196,E196)&amp;E196</f>
        <v>5Mirandes</v>
      </c>
      <c r="C196" s="21">
        <v>45207</v>
      </c>
      <c r="D196" s="89" t="s">
        <v>297</v>
      </c>
      <c r="E196" s="89" t="s">
        <v>306</v>
      </c>
      <c r="F196">
        <v>3</v>
      </c>
      <c r="G196">
        <v>2</v>
      </c>
      <c r="H196" s="89" t="s">
        <v>194</v>
      </c>
      <c r="I196">
        <v>1.58</v>
      </c>
      <c r="J196">
        <v>3.69</v>
      </c>
      <c r="K196">
        <v>5.94</v>
      </c>
      <c r="N196" s="19"/>
    </row>
    <row r="197" spans="1:14" x14ac:dyDescent="0.25">
      <c r="A197" t="str">
        <f>COUNTIF($D$2:D197,D197)&amp;D197</f>
        <v>5Villarreal</v>
      </c>
      <c r="B197" t="str">
        <f>COUNTIF($E$2:E197,E197)&amp;E197</f>
        <v>5Las Palmas</v>
      </c>
      <c r="C197" s="21">
        <v>45207</v>
      </c>
      <c r="D197" s="89" t="s">
        <v>285</v>
      </c>
      <c r="E197" s="89" t="s">
        <v>286</v>
      </c>
      <c r="F197">
        <v>1</v>
      </c>
      <c r="G197">
        <v>2</v>
      </c>
      <c r="H197" s="89" t="s">
        <v>195</v>
      </c>
      <c r="I197">
        <v>1.64</v>
      </c>
      <c r="J197">
        <v>4.07</v>
      </c>
      <c r="K197">
        <v>5.36</v>
      </c>
      <c r="N197" s="19"/>
    </row>
    <row r="198" spans="1:14" x14ac:dyDescent="0.25">
      <c r="A198" t="str">
        <f>COUNTIF($D$2:D198,D198)&amp;D198</f>
        <v>6Real Zaragoza</v>
      </c>
      <c r="B198" t="str">
        <f>COUNTIF($E$2:E198,E198)&amp;E198</f>
        <v>5Alcorcon</v>
      </c>
      <c r="C198" s="21">
        <v>45207</v>
      </c>
      <c r="D198" s="89" t="s">
        <v>293</v>
      </c>
      <c r="E198" s="89" t="s">
        <v>311</v>
      </c>
      <c r="F198">
        <v>0</v>
      </c>
      <c r="G198">
        <v>2</v>
      </c>
      <c r="H198" s="89" t="s">
        <v>195</v>
      </c>
      <c r="I198">
        <v>1.91</v>
      </c>
      <c r="J198">
        <v>3.08</v>
      </c>
      <c r="K198">
        <v>4.4400000000000004</v>
      </c>
      <c r="N198" s="18"/>
    </row>
    <row r="199" spans="1:14" x14ac:dyDescent="0.25">
      <c r="A199" t="str">
        <f>COUNTIF($D$2:D199,D199)&amp;D199</f>
        <v>6Elche</v>
      </c>
      <c r="B199" t="str">
        <f>COUNTIF($E$2:E199,E199)&amp;E199</f>
        <v>5FC Andorra</v>
      </c>
      <c r="C199" s="21">
        <v>45208</v>
      </c>
      <c r="D199" s="89" t="s">
        <v>309</v>
      </c>
      <c r="E199" s="89" t="s">
        <v>307</v>
      </c>
      <c r="F199">
        <v>2</v>
      </c>
      <c r="G199">
        <v>1</v>
      </c>
      <c r="H199" s="89" t="s">
        <v>194</v>
      </c>
      <c r="I199">
        <v>1.82</v>
      </c>
      <c r="J199">
        <v>3.36</v>
      </c>
      <c r="K199">
        <v>4.47</v>
      </c>
      <c r="N199" s="19"/>
    </row>
    <row r="200" spans="1:14" x14ac:dyDescent="0.25">
      <c r="A200" t="str">
        <f>COUNTIF($D$2:D200,D200)&amp;D200</f>
        <v>5Villarreal B</v>
      </c>
      <c r="B200" t="str">
        <f>COUNTIF($E$2:E200,E200)&amp;E200</f>
        <v>6Espanyol</v>
      </c>
      <c r="C200" s="21">
        <v>45208</v>
      </c>
      <c r="D200" s="89" t="s">
        <v>304</v>
      </c>
      <c r="E200" s="89" t="s">
        <v>291</v>
      </c>
      <c r="F200">
        <v>3</v>
      </c>
      <c r="G200">
        <v>1</v>
      </c>
      <c r="H200" s="89" t="s">
        <v>194</v>
      </c>
      <c r="I200">
        <v>4.24</v>
      </c>
      <c r="J200">
        <v>3.71</v>
      </c>
      <c r="K200">
        <v>1.77</v>
      </c>
      <c r="N200" s="18"/>
    </row>
    <row r="201" spans="1:14" x14ac:dyDescent="0.25">
      <c r="A201" t="str">
        <f>COUNTIF($D$2:D201,D201)&amp;D201</f>
        <v>5Real Oviedo</v>
      </c>
      <c r="B201" t="str">
        <f>COUNTIF($E$2:E201,E201)&amp;E201</f>
        <v>5Albacete</v>
      </c>
      <c r="C201" s="21">
        <v>45212</v>
      </c>
      <c r="D201" s="89" t="s">
        <v>305</v>
      </c>
      <c r="E201" s="89" t="s">
        <v>301</v>
      </c>
      <c r="F201">
        <v>3</v>
      </c>
      <c r="G201">
        <v>0</v>
      </c>
      <c r="H201" s="89" t="s">
        <v>194</v>
      </c>
      <c r="I201">
        <v>2.44</v>
      </c>
      <c r="J201">
        <v>2.87</v>
      </c>
      <c r="K201">
        <v>3.19</v>
      </c>
      <c r="N201" s="19"/>
    </row>
    <row r="202" spans="1:14" x14ac:dyDescent="0.25">
      <c r="A202" t="str">
        <f>COUNTIF($D$2:D202,D202)&amp;D202</f>
        <v>5Espanyol</v>
      </c>
      <c r="B202" t="str">
        <f>COUNTIF($E$2:E202,E202)&amp;E202</f>
        <v>5Valladolid</v>
      </c>
      <c r="C202" s="21">
        <v>45213</v>
      </c>
      <c r="D202" s="89" t="s">
        <v>291</v>
      </c>
      <c r="E202" s="89" t="s">
        <v>297</v>
      </c>
      <c r="F202">
        <v>2</v>
      </c>
      <c r="G202">
        <v>0</v>
      </c>
      <c r="H202" s="89" t="s">
        <v>194</v>
      </c>
      <c r="I202">
        <v>1.84</v>
      </c>
      <c r="J202">
        <v>3.47</v>
      </c>
      <c r="K202">
        <v>4.1900000000000004</v>
      </c>
      <c r="N202" s="19"/>
    </row>
    <row r="203" spans="1:14" x14ac:dyDescent="0.25">
      <c r="A203" t="str">
        <f>COUNTIF($D$2:D203,D203)&amp;D203</f>
        <v>6Cartagena</v>
      </c>
      <c r="B203" t="str">
        <f>COUNTIF($E$2:E203,E203)&amp;E203</f>
        <v>6Racing</v>
      </c>
      <c r="C203" s="21">
        <v>45213</v>
      </c>
      <c r="D203" s="89" t="s">
        <v>312</v>
      </c>
      <c r="E203" s="89" t="s">
        <v>299</v>
      </c>
      <c r="F203">
        <v>2</v>
      </c>
      <c r="G203">
        <v>3</v>
      </c>
      <c r="H203" s="89" t="s">
        <v>195</v>
      </c>
      <c r="I203">
        <v>2.35</v>
      </c>
      <c r="J203">
        <v>3.01</v>
      </c>
      <c r="K203">
        <v>3.18</v>
      </c>
      <c r="N203" s="18"/>
    </row>
    <row r="204" spans="1:14" x14ac:dyDescent="0.25">
      <c r="A204" t="str">
        <f>COUNTIF($D$2:D204,D204)&amp;D204</f>
        <v>5Sporting Gijon</v>
      </c>
      <c r="B204" t="str">
        <f>COUNTIF($E$2:E204,E204)&amp;E204</f>
        <v>5Real Zaragoza</v>
      </c>
      <c r="C204" s="21">
        <v>45213</v>
      </c>
      <c r="D204" s="89" t="s">
        <v>296</v>
      </c>
      <c r="E204" s="89" t="s">
        <v>293</v>
      </c>
      <c r="F204">
        <v>2</v>
      </c>
      <c r="G204">
        <v>2</v>
      </c>
      <c r="H204" s="89" t="s">
        <v>2</v>
      </c>
      <c r="I204">
        <v>1.95</v>
      </c>
      <c r="J204">
        <v>3.16</v>
      </c>
      <c r="K204">
        <v>4.1100000000000003</v>
      </c>
      <c r="N204" s="19"/>
    </row>
    <row r="205" spans="1:14" x14ac:dyDescent="0.25">
      <c r="A205" t="str">
        <f>COUNTIF($D$2:D205,D205)&amp;D205</f>
        <v>6Mirandes</v>
      </c>
      <c r="B205" t="str">
        <f>COUNTIF($E$2:E205,E205)&amp;E205</f>
        <v>5Tenerife</v>
      </c>
      <c r="C205" s="21">
        <v>45213</v>
      </c>
      <c r="D205" s="89" t="s">
        <v>306</v>
      </c>
      <c r="E205" s="89" t="s">
        <v>295</v>
      </c>
      <c r="F205">
        <v>1</v>
      </c>
      <c r="G205">
        <v>1</v>
      </c>
      <c r="H205" s="89" t="s">
        <v>2</v>
      </c>
      <c r="I205">
        <v>3.13</v>
      </c>
      <c r="J205">
        <v>2.93</v>
      </c>
      <c r="K205">
        <v>2.4300000000000002</v>
      </c>
      <c r="N205" s="18"/>
    </row>
    <row r="206" spans="1:14" x14ac:dyDescent="0.25">
      <c r="A206" t="str">
        <f>COUNTIF($D$2:D206,D206)&amp;D206</f>
        <v>6FC Andorra</v>
      </c>
      <c r="B206" t="str">
        <f>COUNTIF($E$2:E206,E206)&amp;E206</f>
        <v>6Alcorcon</v>
      </c>
      <c r="C206" s="21">
        <v>45214</v>
      </c>
      <c r="D206" s="89" t="s">
        <v>307</v>
      </c>
      <c r="E206" s="89" t="s">
        <v>311</v>
      </c>
      <c r="F206">
        <v>2</v>
      </c>
      <c r="G206">
        <v>0</v>
      </c>
      <c r="H206" s="89" t="s">
        <v>194</v>
      </c>
      <c r="I206">
        <v>2.1800000000000002</v>
      </c>
      <c r="J206">
        <v>2.94</v>
      </c>
      <c r="K206">
        <v>3.69</v>
      </c>
      <c r="N206" s="19"/>
    </row>
    <row r="207" spans="1:14" x14ac:dyDescent="0.25">
      <c r="A207" t="str">
        <f>COUNTIF($D$2:D207,D207)&amp;D207</f>
        <v>6Burgos</v>
      </c>
      <c r="B207" t="str">
        <f>COUNTIF($E$2:E207,E207)&amp;E207</f>
        <v>6Villarreal B</v>
      </c>
      <c r="C207" s="21">
        <v>45214</v>
      </c>
      <c r="D207" s="89" t="s">
        <v>302</v>
      </c>
      <c r="E207" s="89" t="s">
        <v>304</v>
      </c>
      <c r="F207">
        <v>3</v>
      </c>
      <c r="G207">
        <v>2</v>
      </c>
      <c r="H207" s="89" t="s">
        <v>194</v>
      </c>
      <c r="I207">
        <v>1.85</v>
      </c>
      <c r="J207">
        <v>3.32</v>
      </c>
      <c r="K207">
        <v>4.33</v>
      </c>
      <c r="N207" s="18"/>
    </row>
    <row r="208" spans="1:14" x14ac:dyDescent="0.25">
      <c r="A208" t="str">
        <f>COUNTIF($D$2:D208,D208)&amp;D208</f>
        <v>5Eibar</v>
      </c>
      <c r="B208" t="str">
        <f>COUNTIF($E$2:E208,E208)&amp;E208</f>
        <v>6Huesca</v>
      </c>
      <c r="C208" s="21">
        <v>45214</v>
      </c>
      <c r="D208" s="89" t="s">
        <v>298</v>
      </c>
      <c r="E208" s="89" t="s">
        <v>310</v>
      </c>
      <c r="F208">
        <v>1</v>
      </c>
      <c r="G208">
        <v>1</v>
      </c>
      <c r="H208" s="89" t="s">
        <v>2</v>
      </c>
      <c r="I208">
        <v>1.55</v>
      </c>
      <c r="J208">
        <v>3.61</v>
      </c>
      <c r="K208">
        <v>6.64</v>
      </c>
      <c r="N208" s="19"/>
    </row>
    <row r="209" spans="1:14" x14ac:dyDescent="0.25">
      <c r="A209" t="str">
        <f>COUNTIF($D$2:D209,D209)&amp;D209</f>
        <v>5Eldense</v>
      </c>
      <c r="B209" t="str">
        <f>COUNTIF($E$2:E209,E209)&amp;E209</f>
        <v>5Elche</v>
      </c>
      <c r="C209" s="21">
        <v>45214</v>
      </c>
      <c r="D209" s="89" t="s">
        <v>303</v>
      </c>
      <c r="E209" s="89" t="s">
        <v>309</v>
      </c>
      <c r="F209">
        <v>1</v>
      </c>
      <c r="G209">
        <v>1</v>
      </c>
      <c r="H209" s="89" t="s">
        <v>2</v>
      </c>
      <c r="I209">
        <v>3.35</v>
      </c>
      <c r="J209">
        <v>3.11</v>
      </c>
      <c r="K209">
        <v>2.2200000000000002</v>
      </c>
      <c r="N209" s="19"/>
    </row>
    <row r="210" spans="1:14" x14ac:dyDescent="0.25">
      <c r="A210" t="str">
        <f>COUNTIF($D$2:D210,D210)&amp;D210</f>
        <v>6Leganes</v>
      </c>
      <c r="B210" t="str">
        <f>COUNTIF($E$2:E210,E210)&amp;E210</f>
        <v>6Amorebieta</v>
      </c>
      <c r="C210" s="21">
        <v>45214</v>
      </c>
      <c r="D210" s="89" t="s">
        <v>292</v>
      </c>
      <c r="E210" s="89" t="s">
        <v>308</v>
      </c>
      <c r="F210">
        <v>6</v>
      </c>
      <c r="G210">
        <v>0</v>
      </c>
      <c r="H210" s="89" t="s">
        <v>194</v>
      </c>
      <c r="I210">
        <v>1.7</v>
      </c>
      <c r="J210">
        <v>3.42</v>
      </c>
      <c r="K210">
        <v>5.26</v>
      </c>
      <c r="N210" s="18"/>
    </row>
    <row r="211" spans="1:14" x14ac:dyDescent="0.25">
      <c r="A211" t="str">
        <f>COUNTIF($D$2:D211,D211)&amp;D211</f>
        <v>6Levante</v>
      </c>
      <c r="B211" t="str">
        <f>COUNTIF($E$2:E211,E211)&amp;E211</f>
        <v>6Racing Ferrol</v>
      </c>
      <c r="C211" s="21">
        <v>45215</v>
      </c>
      <c r="D211" s="89" t="s">
        <v>294</v>
      </c>
      <c r="E211" s="89" t="s">
        <v>300</v>
      </c>
      <c r="F211">
        <v>1</v>
      </c>
      <c r="G211">
        <v>0</v>
      </c>
      <c r="H211" s="89" t="s">
        <v>194</v>
      </c>
      <c r="I211">
        <v>1.95</v>
      </c>
      <c r="J211">
        <v>3.21</v>
      </c>
      <c r="K211">
        <v>4.05</v>
      </c>
      <c r="N211" s="19"/>
    </row>
    <row r="212" spans="1:14" x14ac:dyDescent="0.25">
      <c r="A212" t="str">
        <f>COUNTIF($D$2:D212,D212)&amp;D212</f>
        <v>6Espanyol</v>
      </c>
      <c r="B212" t="str">
        <f>COUNTIF($E$2:E212,E212)&amp;E212</f>
        <v>6Leganes</v>
      </c>
      <c r="C212" s="21">
        <v>45219</v>
      </c>
      <c r="D212" s="89" t="s">
        <v>291</v>
      </c>
      <c r="E212" s="89" t="s">
        <v>292</v>
      </c>
      <c r="F212">
        <v>0</v>
      </c>
      <c r="G212">
        <v>1</v>
      </c>
      <c r="H212" s="89" t="s">
        <v>195</v>
      </c>
      <c r="I212">
        <v>1.7</v>
      </c>
      <c r="J212">
        <v>3.55</v>
      </c>
      <c r="K212">
        <v>5.01</v>
      </c>
      <c r="N212" s="18"/>
    </row>
    <row r="213" spans="1:14" x14ac:dyDescent="0.25">
      <c r="A213" t="str">
        <f>COUNTIF($D$2:D213,D213)&amp;D213</f>
        <v>5Osasuna</v>
      </c>
      <c r="B213" t="str">
        <f>COUNTIF($E$2:E213,E213)&amp;E213</f>
        <v>5Granada</v>
      </c>
      <c r="C213" s="21">
        <v>45219</v>
      </c>
      <c r="D213" s="89" t="s">
        <v>280</v>
      </c>
      <c r="E213" s="89" t="s">
        <v>289</v>
      </c>
      <c r="F213">
        <v>2</v>
      </c>
      <c r="G213">
        <v>0</v>
      </c>
      <c r="H213" s="89" t="s">
        <v>194</v>
      </c>
      <c r="I213">
        <v>1.66</v>
      </c>
      <c r="J213">
        <v>3.89</v>
      </c>
      <c r="K213">
        <v>5.35</v>
      </c>
      <c r="N213" s="19"/>
    </row>
    <row r="214" spans="1:14" x14ac:dyDescent="0.25">
      <c r="A214" t="str">
        <f>COUNTIF($D$2:D214,D214)&amp;D214</f>
        <v>6Amorebieta</v>
      </c>
      <c r="B214" t="str">
        <f>COUNTIF($E$2:E214,E214)&amp;E214</f>
        <v>7Real Oviedo</v>
      </c>
      <c r="C214" s="21">
        <v>45220</v>
      </c>
      <c r="D214" s="89" t="s">
        <v>308</v>
      </c>
      <c r="E214" s="89" t="s">
        <v>305</v>
      </c>
      <c r="F214">
        <v>0</v>
      </c>
      <c r="G214">
        <v>0</v>
      </c>
      <c r="H214" s="89" t="s">
        <v>2</v>
      </c>
      <c r="I214">
        <v>3.53</v>
      </c>
      <c r="J214">
        <v>2.89</v>
      </c>
      <c r="K214">
        <v>2.27</v>
      </c>
      <c r="N214" s="19"/>
    </row>
    <row r="215" spans="1:14" x14ac:dyDescent="0.25">
      <c r="A215" t="str">
        <f>COUNTIF($D$2:D215,D215)&amp;D215</f>
        <v>6Celta Vigo</v>
      </c>
      <c r="B215" t="str">
        <f>COUNTIF($E$2:E215,E215)&amp;E215</f>
        <v>5Atletico Madrid</v>
      </c>
      <c r="C215" s="21">
        <v>45220</v>
      </c>
      <c r="D215" s="89" t="s">
        <v>288</v>
      </c>
      <c r="E215" s="89" t="s">
        <v>275</v>
      </c>
      <c r="F215">
        <v>0</v>
      </c>
      <c r="G215">
        <v>3</v>
      </c>
      <c r="H215" s="89" t="s">
        <v>195</v>
      </c>
      <c r="I215">
        <v>3.46</v>
      </c>
      <c r="J215">
        <v>3.46</v>
      </c>
      <c r="K215">
        <v>2.13</v>
      </c>
      <c r="N215" s="19"/>
    </row>
    <row r="216" spans="1:14" x14ac:dyDescent="0.25">
      <c r="A216" t="str">
        <f>COUNTIF($D$2:D216,D216)&amp;D216</f>
        <v>5Getafe</v>
      </c>
      <c r="B216" t="str">
        <f>COUNTIF($E$2:E216,E216)&amp;E216</f>
        <v>6Real Betis</v>
      </c>
      <c r="C216" s="21">
        <v>45220</v>
      </c>
      <c r="D216" s="89" t="s">
        <v>281</v>
      </c>
      <c r="E216" s="89" t="s">
        <v>278</v>
      </c>
      <c r="F216">
        <v>1</v>
      </c>
      <c r="G216">
        <v>1</v>
      </c>
      <c r="H216" s="89" t="s">
        <v>2</v>
      </c>
      <c r="I216">
        <v>2.38</v>
      </c>
      <c r="J216">
        <v>3.12</v>
      </c>
      <c r="K216">
        <v>3.3</v>
      </c>
      <c r="N216" s="18"/>
    </row>
    <row r="217" spans="1:14" x14ac:dyDescent="0.25">
      <c r="A217" t="str">
        <f>COUNTIF($D$2:D217,D217)&amp;D217</f>
        <v>6Real Sociedad</v>
      </c>
      <c r="B217" t="str">
        <f>COUNTIF($E$2:E217,E217)&amp;E217</f>
        <v>6Mallorca</v>
      </c>
      <c r="C217" s="21">
        <v>45220</v>
      </c>
      <c r="D217" s="89" t="s">
        <v>276</v>
      </c>
      <c r="E217" s="89" t="s">
        <v>284</v>
      </c>
      <c r="F217">
        <v>1</v>
      </c>
      <c r="G217">
        <v>0</v>
      </c>
      <c r="H217" s="89" t="s">
        <v>194</v>
      </c>
      <c r="I217">
        <v>1.63</v>
      </c>
      <c r="J217">
        <v>3.61</v>
      </c>
      <c r="K217">
        <v>6.55</v>
      </c>
      <c r="N217" s="19"/>
    </row>
    <row r="218" spans="1:14" x14ac:dyDescent="0.25">
      <c r="A218" t="str">
        <f>COUNTIF($D$2:D218,D218)&amp;D218</f>
        <v>6Sevilla FC</v>
      </c>
      <c r="B218" t="str">
        <f>COUNTIF($E$2:E218,E218)&amp;E218</f>
        <v>6Real Madrid</v>
      </c>
      <c r="C218" s="21">
        <v>45220</v>
      </c>
      <c r="D218" s="89" t="s">
        <v>283</v>
      </c>
      <c r="E218" s="89" t="s">
        <v>271</v>
      </c>
      <c r="F218">
        <v>1</v>
      </c>
      <c r="G218">
        <v>1</v>
      </c>
      <c r="H218" s="89" t="s">
        <v>2</v>
      </c>
      <c r="I218">
        <v>4.6100000000000003</v>
      </c>
      <c r="J218">
        <v>4.03</v>
      </c>
      <c r="K218">
        <v>1.73</v>
      </c>
      <c r="N218" s="18"/>
    </row>
    <row r="219" spans="1:14" x14ac:dyDescent="0.25">
      <c r="A219" t="str">
        <f>COUNTIF($D$2:D219,D219)&amp;D219</f>
        <v>7Tenerife</v>
      </c>
      <c r="B219" t="str">
        <f>COUNTIF($E$2:E219,E219)&amp;E219</f>
        <v>6Levante</v>
      </c>
      <c r="C219" s="21">
        <v>45220</v>
      </c>
      <c r="D219" s="89" t="s">
        <v>295</v>
      </c>
      <c r="E219" s="89" t="s">
        <v>294</v>
      </c>
      <c r="F219">
        <v>0</v>
      </c>
      <c r="G219">
        <v>0</v>
      </c>
      <c r="H219" s="89" t="s">
        <v>2</v>
      </c>
      <c r="I219">
        <v>2.13</v>
      </c>
      <c r="J219">
        <v>3.08</v>
      </c>
      <c r="K219">
        <v>3.59</v>
      </c>
      <c r="N219" s="19"/>
    </row>
    <row r="220" spans="1:14" x14ac:dyDescent="0.25">
      <c r="A220" t="str">
        <f>COUNTIF($D$2:D220,D220)&amp;D220</f>
        <v>6Villarreal B</v>
      </c>
      <c r="B220" t="str">
        <f>COUNTIF($E$2:E220,E220)&amp;E220</f>
        <v>6Mirandes</v>
      </c>
      <c r="C220" s="21">
        <v>45220</v>
      </c>
      <c r="D220" s="89" t="s">
        <v>304</v>
      </c>
      <c r="E220" s="89" t="s">
        <v>306</v>
      </c>
      <c r="F220">
        <v>0</v>
      </c>
      <c r="G220">
        <v>3</v>
      </c>
      <c r="H220" s="89" t="s">
        <v>195</v>
      </c>
      <c r="I220">
        <v>2</v>
      </c>
      <c r="J220">
        <v>3.34</v>
      </c>
      <c r="K220">
        <v>3.67</v>
      </c>
      <c r="N220" s="19"/>
    </row>
    <row r="221" spans="1:14" x14ac:dyDescent="0.25">
      <c r="A221" t="str">
        <f>COUNTIF($D$2:D221,D221)&amp;D221</f>
        <v>7Real Zaragoza</v>
      </c>
      <c r="B221" t="str">
        <f>COUNTIF($E$2:E221,E221)&amp;E221</f>
        <v>7Eibar</v>
      </c>
      <c r="C221" s="21">
        <v>45220</v>
      </c>
      <c r="D221" s="89" t="s">
        <v>293</v>
      </c>
      <c r="E221" s="89" t="s">
        <v>298</v>
      </c>
      <c r="F221">
        <v>2</v>
      </c>
      <c r="G221">
        <v>3</v>
      </c>
      <c r="H221" s="89" t="s">
        <v>195</v>
      </c>
      <c r="I221">
        <v>2.87</v>
      </c>
      <c r="J221">
        <v>2.78</v>
      </c>
      <c r="K221">
        <v>2.75</v>
      </c>
      <c r="N221" s="19"/>
    </row>
    <row r="222" spans="1:14" x14ac:dyDescent="0.25">
      <c r="A222" t="str">
        <f>COUNTIF($D$2:D222,D222)&amp;D222</f>
        <v>7Albacete</v>
      </c>
      <c r="B222" t="str">
        <f>COUNTIF($E$2:E222,E222)&amp;E222</f>
        <v>7Sporting Gijon</v>
      </c>
      <c r="C222" s="21">
        <v>45221</v>
      </c>
      <c r="D222" s="89" t="s">
        <v>301</v>
      </c>
      <c r="E222" s="89" t="s">
        <v>296</v>
      </c>
      <c r="F222">
        <v>1</v>
      </c>
      <c r="G222">
        <v>3</v>
      </c>
      <c r="H222" s="89" t="s">
        <v>195</v>
      </c>
      <c r="I222">
        <v>2.11</v>
      </c>
      <c r="J222">
        <v>3.1</v>
      </c>
      <c r="K222">
        <v>3.63</v>
      </c>
      <c r="N222" s="18"/>
    </row>
    <row r="223" spans="1:14" x14ac:dyDescent="0.25">
      <c r="A223" t="str">
        <f>COUNTIF($D$2:D223,D223)&amp;D223</f>
        <v>5FC Barcelona</v>
      </c>
      <c r="B223" t="str">
        <f>COUNTIF($E$2:E223,E223)&amp;E223</f>
        <v>5Athletic Bilbao</v>
      </c>
      <c r="C223" s="21">
        <v>45221</v>
      </c>
      <c r="D223" s="89" t="s">
        <v>273</v>
      </c>
      <c r="E223" s="89" t="s">
        <v>274</v>
      </c>
      <c r="F223">
        <v>1</v>
      </c>
      <c r="G223">
        <v>0</v>
      </c>
      <c r="H223" s="89" t="s">
        <v>194</v>
      </c>
      <c r="I223">
        <v>1.83</v>
      </c>
      <c r="J223">
        <v>3.75</v>
      </c>
      <c r="K223">
        <v>4.22</v>
      </c>
      <c r="N223" s="19"/>
    </row>
    <row r="224" spans="1:14" x14ac:dyDescent="0.25">
      <c r="A224" t="str">
        <f>COUNTIF($D$2:D224,D224)&amp;D224</f>
        <v>5Girona</v>
      </c>
      <c r="B224" t="str">
        <f>COUNTIF($E$2:E224,E224)&amp;E224</f>
        <v>5Almeria</v>
      </c>
      <c r="C224" s="21">
        <v>45221</v>
      </c>
      <c r="D224" s="89" t="s">
        <v>272</v>
      </c>
      <c r="E224" s="89" t="s">
        <v>290</v>
      </c>
      <c r="F224">
        <v>5</v>
      </c>
      <c r="G224">
        <v>2</v>
      </c>
      <c r="H224" s="89" t="s">
        <v>194</v>
      </c>
      <c r="I224">
        <v>1.38</v>
      </c>
      <c r="J224">
        <v>5.05</v>
      </c>
      <c r="K224">
        <v>7.85</v>
      </c>
      <c r="N224" s="18"/>
    </row>
    <row r="225" spans="1:14" x14ac:dyDescent="0.25">
      <c r="A225" t="str">
        <f>COUNTIF($D$2:D225,D225)&amp;D225</f>
        <v>6Huesca</v>
      </c>
      <c r="B225" t="str">
        <f>COUNTIF($E$2:E225,E225)&amp;E225</f>
        <v>6Elche</v>
      </c>
      <c r="C225" s="21">
        <v>45221</v>
      </c>
      <c r="D225" s="89" t="s">
        <v>310</v>
      </c>
      <c r="E225" s="89" t="s">
        <v>309</v>
      </c>
      <c r="F225">
        <v>0</v>
      </c>
      <c r="G225">
        <v>1</v>
      </c>
      <c r="H225" s="89" t="s">
        <v>195</v>
      </c>
      <c r="I225">
        <v>2.96</v>
      </c>
      <c r="J225">
        <v>2.95</v>
      </c>
      <c r="K225">
        <v>2.52</v>
      </c>
      <c r="N225" s="19"/>
    </row>
    <row r="226" spans="1:14" x14ac:dyDescent="0.25">
      <c r="A226" t="str">
        <f>COUNTIF($D$2:D226,D226)&amp;D226</f>
        <v>5Las Palmas</v>
      </c>
      <c r="B226" t="str">
        <f>COUNTIF($E$2:E226,E226)&amp;E226</f>
        <v>6Rayo Vallecano</v>
      </c>
      <c r="C226" s="21">
        <v>45221</v>
      </c>
      <c r="D226" s="89" t="s">
        <v>286</v>
      </c>
      <c r="E226" s="89" t="s">
        <v>277</v>
      </c>
      <c r="F226">
        <v>0</v>
      </c>
      <c r="G226">
        <v>1</v>
      </c>
      <c r="H226" s="89" t="s">
        <v>195</v>
      </c>
      <c r="I226">
        <v>2.63</v>
      </c>
      <c r="J226">
        <v>3.02</v>
      </c>
      <c r="K226">
        <v>2.99</v>
      </c>
      <c r="N226" s="19"/>
    </row>
    <row r="227" spans="1:14" x14ac:dyDescent="0.25">
      <c r="A227" t="str">
        <f>COUNTIF($D$2:D227,D227)&amp;D227</f>
        <v>6Racing</v>
      </c>
      <c r="B227" t="str">
        <f>COUNTIF($E$2:E227,E227)&amp;E227</f>
        <v>6Burgos</v>
      </c>
      <c r="C227" s="21">
        <v>45221</v>
      </c>
      <c r="D227" s="89" t="s">
        <v>299</v>
      </c>
      <c r="E227" s="89" t="s">
        <v>302</v>
      </c>
      <c r="F227">
        <v>3</v>
      </c>
      <c r="G227">
        <v>0</v>
      </c>
      <c r="H227" s="89" t="s">
        <v>194</v>
      </c>
      <c r="I227">
        <v>2.0499999999999998</v>
      </c>
      <c r="J227">
        <v>3.22</v>
      </c>
      <c r="K227">
        <v>3.66</v>
      </c>
      <c r="N227" s="19"/>
    </row>
    <row r="228" spans="1:14" x14ac:dyDescent="0.25">
      <c r="A228" t="str">
        <f>COUNTIF($D$2:D228,D228)&amp;D228</f>
        <v>6Racing Ferrol</v>
      </c>
      <c r="B228" t="str">
        <f>COUNTIF($E$2:E228,E228)&amp;E228</f>
        <v>7Eldense</v>
      </c>
      <c r="C228" s="21">
        <v>45221</v>
      </c>
      <c r="D228" s="89" t="s">
        <v>300</v>
      </c>
      <c r="E228" s="89" t="s">
        <v>303</v>
      </c>
      <c r="F228">
        <v>1</v>
      </c>
      <c r="G228">
        <v>1</v>
      </c>
      <c r="H228" s="89" t="s">
        <v>2</v>
      </c>
      <c r="I228">
        <v>1.88</v>
      </c>
      <c r="J228">
        <v>3.2</v>
      </c>
      <c r="K228">
        <v>4.4000000000000004</v>
      </c>
      <c r="N228" s="19"/>
    </row>
    <row r="229" spans="1:14" x14ac:dyDescent="0.25">
      <c r="A229" t="str">
        <f>COUNTIF($D$2:D229,D229)&amp;D229</f>
        <v>7Valladolid</v>
      </c>
      <c r="B229" t="str">
        <f>COUNTIF($E$2:E229,E229)&amp;E229</f>
        <v>6FC Andorra</v>
      </c>
      <c r="C229" s="21">
        <v>45221</v>
      </c>
      <c r="D229" s="89" t="s">
        <v>297</v>
      </c>
      <c r="E229" s="89" t="s">
        <v>307</v>
      </c>
      <c r="F229">
        <v>2</v>
      </c>
      <c r="G229">
        <v>0</v>
      </c>
      <c r="H229" s="89" t="s">
        <v>194</v>
      </c>
      <c r="I229">
        <v>1.65</v>
      </c>
      <c r="J229">
        <v>3.57</v>
      </c>
      <c r="K229">
        <v>5.36</v>
      </c>
      <c r="N229" s="18"/>
    </row>
    <row r="230" spans="1:14" x14ac:dyDescent="0.25">
      <c r="A230" t="str">
        <f>COUNTIF($D$2:D230,D230)&amp;D230</f>
        <v>6Villarreal</v>
      </c>
      <c r="B230" t="str">
        <f>COUNTIF($E$2:E230,E230)&amp;E230</f>
        <v>5Alaves</v>
      </c>
      <c r="C230" s="21">
        <v>45221</v>
      </c>
      <c r="D230" s="89" t="s">
        <v>285</v>
      </c>
      <c r="E230" s="89" t="s">
        <v>287</v>
      </c>
      <c r="F230">
        <v>1</v>
      </c>
      <c r="G230">
        <v>1</v>
      </c>
      <c r="H230" s="89" t="s">
        <v>2</v>
      </c>
      <c r="I230">
        <v>2.02</v>
      </c>
      <c r="J230">
        <v>3.43</v>
      </c>
      <c r="K230">
        <v>3.9</v>
      </c>
      <c r="N230" s="19"/>
    </row>
    <row r="231" spans="1:14" x14ac:dyDescent="0.25">
      <c r="A231" t="str">
        <f>COUNTIF($D$2:D231,D231)&amp;D231</f>
        <v>6Alcorcon</v>
      </c>
      <c r="B231" t="str">
        <f>COUNTIF($E$2:E231,E231)&amp;E231</f>
        <v>6Cartagena</v>
      </c>
      <c r="C231" s="21">
        <v>45222</v>
      </c>
      <c r="D231" s="89" t="s">
        <v>311</v>
      </c>
      <c r="E231" s="89" t="s">
        <v>312</v>
      </c>
      <c r="F231">
        <v>1</v>
      </c>
      <c r="G231">
        <v>1</v>
      </c>
      <c r="H231" s="89" t="s">
        <v>2</v>
      </c>
      <c r="I231">
        <v>2.09</v>
      </c>
      <c r="J231">
        <v>3.15</v>
      </c>
      <c r="K231">
        <v>3.61</v>
      </c>
      <c r="N231" s="18"/>
    </row>
    <row r="232" spans="1:14" x14ac:dyDescent="0.25">
      <c r="A232" t="str">
        <f>COUNTIF($D$2:D232,D232)&amp;D232</f>
        <v>5Valencia</v>
      </c>
      <c r="B232" t="str">
        <f>COUNTIF($E$2:E232,E232)&amp;E232</f>
        <v>5Cadiz</v>
      </c>
      <c r="C232" s="21">
        <v>45222</v>
      </c>
      <c r="D232" s="89" t="s">
        <v>279</v>
      </c>
      <c r="E232" s="89" t="s">
        <v>282</v>
      </c>
      <c r="F232">
        <v>2</v>
      </c>
      <c r="G232">
        <v>0</v>
      </c>
      <c r="H232" s="89" t="s">
        <v>194</v>
      </c>
      <c r="I232">
        <v>1.68</v>
      </c>
      <c r="J232">
        <v>3.59</v>
      </c>
      <c r="K232">
        <v>5.71</v>
      </c>
      <c r="N232" s="19"/>
    </row>
    <row r="233" spans="1:14" x14ac:dyDescent="0.25">
      <c r="A233" t="str">
        <f>COUNTIF($D$2:D233,D233)&amp;D233</f>
        <v>6Eibar</v>
      </c>
      <c r="B233" t="str">
        <f>COUNTIF($E$2:E233,E233)&amp;E233</f>
        <v>6Valladolid</v>
      </c>
      <c r="C233" s="21">
        <v>45226</v>
      </c>
      <c r="D233" s="89" t="s">
        <v>298</v>
      </c>
      <c r="E233" s="89" t="s">
        <v>297</v>
      </c>
      <c r="F233">
        <v>5</v>
      </c>
      <c r="G233">
        <v>1</v>
      </c>
      <c r="H233" s="89" t="s">
        <v>194</v>
      </c>
      <c r="I233">
        <v>2.0099999999999998</v>
      </c>
      <c r="J233">
        <v>3.05</v>
      </c>
      <c r="K233">
        <v>4.05</v>
      </c>
      <c r="N233" s="19"/>
    </row>
    <row r="234" spans="1:14" x14ac:dyDescent="0.25">
      <c r="A234" t="str">
        <f>COUNTIF($D$2:D234,D234)&amp;D234</f>
        <v>6Girona</v>
      </c>
      <c r="B234" t="str">
        <f>COUNTIF($E$2:E234,E234)&amp;E234</f>
        <v>5Celta Vigo</v>
      </c>
      <c r="C234" s="21">
        <v>45226</v>
      </c>
      <c r="D234" s="89" t="s">
        <v>272</v>
      </c>
      <c r="E234" s="89" t="s">
        <v>288</v>
      </c>
      <c r="F234">
        <v>1</v>
      </c>
      <c r="G234">
        <v>0</v>
      </c>
      <c r="H234" s="89" t="s">
        <v>194</v>
      </c>
      <c r="I234">
        <v>1.72</v>
      </c>
      <c r="J234">
        <v>4.04</v>
      </c>
      <c r="K234">
        <v>4.5599999999999996</v>
      </c>
      <c r="N234" s="19"/>
    </row>
    <row r="235" spans="1:14" x14ac:dyDescent="0.25">
      <c r="A235" t="str">
        <f>COUNTIF($D$2:D235,D235)&amp;D235</f>
        <v>6Almeria</v>
      </c>
      <c r="B235" t="str">
        <f>COUNTIF($E$2:E235,E235)&amp;E235</f>
        <v>6Las Palmas</v>
      </c>
      <c r="C235" s="21">
        <v>45227</v>
      </c>
      <c r="D235" s="89" t="s">
        <v>290</v>
      </c>
      <c r="E235" s="89" t="s">
        <v>286</v>
      </c>
      <c r="F235">
        <v>1</v>
      </c>
      <c r="G235">
        <v>2</v>
      </c>
      <c r="H235" s="89" t="s">
        <v>195</v>
      </c>
      <c r="I235">
        <v>2.2999999999999998</v>
      </c>
      <c r="J235">
        <v>3.32</v>
      </c>
      <c r="K235">
        <v>3.24</v>
      </c>
      <c r="N235" s="19"/>
    </row>
    <row r="236" spans="1:14" x14ac:dyDescent="0.25">
      <c r="A236" t="str">
        <f>COUNTIF($D$2:D236,D236)&amp;D236</f>
        <v>7FC Andorra</v>
      </c>
      <c r="B236" t="str">
        <f>COUNTIF($E$2:E236,E236)&amp;E236</f>
        <v>7Levante</v>
      </c>
      <c r="C236" s="21">
        <v>45227</v>
      </c>
      <c r="D236" s="89" t="s">
        <v>307</v>
      </c>
      <c r="E236" s="89" t="s">
        <v>294</v>
      </c>
      <c r="F236">
        <v>2</v>
      </c>
      <c r="G236">
        <v>0</v>
      </c>
      <c r="H236" s="89" t="s">
        <v>194</v>
      </c>
      <c r="I236">
        <v>2.3199999999999998</v>
      </c>
      <c r="J236">
        <v>3.03</v>
      </c>
      <c r="K236">
        <v>3.2</v>
      </c>
      <c r="N236" s="18"/>
    </row>
    <row r="237" spans="1:14" x14ac:dyDescent="0.25">
      <c r="A237" t="str">
        <f>COUNTIF($D$2:D237,D237)&amp;D237</f>
        <v>6Cadiz</v>
      </c>
      <c r="B237" t="str">
        <f>COUNTIF($E$2:E237,E237)&amp;E237</f>
        <v>4Sevilla FC</v>
      </c>
      <c r="C237" s="21">
        <v>45227</v>
      </c>
      <c r="D237" s="89" t="s">
        <v>282</v>
      </c>
      <c r="E237" s="89" t="s">
        <v>283</v>
      </c>
      <c r="F237">
        <v>2</v>
      </c>
      <c r="G237">
        <v>2</v>
      </c>
      <c r="H237" s="89" t="s">
        <v>2</v>
      </c>
      <c r="I237">
        <v>3.83</v>
      </c>
      <c r="J237">
        <v>3.35</v>
      </c>
      <c r="K237">
        <v>2.06</v>
      </c>
      <c r="N237" s="19"/>
    </row>
    <row r="238" spans="1:14" x14ac:dyDescent="0.25">
      <c r="A238" t="str">
        <f>COUNTIF($D$2:D238,D238)&amp;D238</f>
        <v>7Elche</v>
      </c>
      <c r="B238" t="str">
        <f>COUNTIF($E$2:E238,E238)&amp;E238</f>
        <v>6Tenerife</v>
      </c>
      <c r="C238" s="21">
        <v>45227</v>
      </c>
      <c r="D238" s="89" t="s">
        <v>309</v>
      </c>
      <c r="E238" s="89" t="s">
        <v>295</v>
      </c>
      <c r="F238">
        <v>2</v>
      </c>
      <c r="G238">
        <v>1</v>
      </c>
      <c r="H238" s="89" t="s">
        <v>194</v>
      </c>
      <c r="I238">
        <v>2</v>
      </c>
      <c r="J238">
        <v>3.12</v>
      </c>
      <c r="K238">
        <v>3.98</v>
      </c>
      <c r="N238" s="18"/>
    </row>
    <row r="239" spans="1:14" x14ac:dyDescent="0.25">
      <c r="A239" t="str">
        <f>COUNTIF($D$2:D239,D239)&amp;D239</f>
        <v>6Eldense</v>
      </c>
      <c r="B239" t="str">
        <f>COUNTIF($E$2:E239,E239)&amp;E239</f>
        <v>7Amorebieta</v>
      </c>
      <c r="C239" s="21">
        <v>45227</v>
      </c>
      <c r="D239" s="89" t="s">
        <v>303</v>
      </c>
      <c r="E239" s="89" t="s">
        <v>308</v>
      </c>
      <c r="F239">
        <v>2</v>
      </c>
      <c r="G239">
        <v>0</v>
      </c>
      <c r="H239" s="89" t="s">
        <v>194</v>
      </c>
      <c r="I239">
        <v>1.76</v>
      </c>
      <c r="J239">
        <v>3.47</v>
      </c>
      <c r="K239">
        <v>4.6900000000000004</v>
      </c>
      <c r="N239" s="19"/>
    </row>
    <row r="240" spans="1:14" x14ac:dyDescent="0.25">
      <c r="A240" t="str">
        <f>COUNTIF($D$2:D240,D240)&amp;D240</f>
        <v>6FC Barcelona</v>
      </c>
      <c r="B240" t="str">
        <f>COUNTIF($E$2:E240,E240)&amp;E240</f>
        <v>7Real Madrid</v>
      </c>
      <c r="C240" s="21">
        <v>45227</v>
      </c>
      <c r="D240" s="89" t="s">
        <v>273</v>
      </c>
      <c r="E240" s="89" t="s">
        <v>271</v>
      </c>
      <c r="F240">
        <v>1</v>
      </c>
      <c r="G240">
        <v>2</v>
      </c>
      <c r="H240" s="89" t="s">
        <v>195</v>
      </c>
      <c r="I240">
        <v>2.6</v>
      </c>
      <c r="J240">
        <v>3.52</v>
      </c>
      <c r="K240">
        <v>2.67</v>
      </c>
      <c r="N240" s="19"/>
    </row>
    <row r="241" spans="1:14" x14ac:dyDescent="0.25">
      <c r="A241" t="str">
        <f>COUNTIF($D$2:D241,D241)&amp;D241</f>
        <v>6Sporting Gijon</v>
      </c>
      <c r="B241" t="str">
        <f>COUNTIF($E$2:E241,E241)&amp;E241</f>
        <v>7Espanyol</v>
      </c>
      <c r="C241" s="21">
        <v>45227</v>
      </c>
      <c r="D241" s="89" t="s">
        <v>296</v>
      </c>
      <c r="E241" s="89" t="s">
        <v>291</v>
      </c>
      <c r="F241">
        <v>2</v>
      </c>
      <c r="G241">
        <v>0</v>
      </c>
      <c r="H241" s="89" t="s">
        <v>194</v>
      </c>
      <c r="I241">
        <v>2.4</v>
      </c>
      <c r="J241">
        <v>3.16</v>
      </c>
      <c r="K241">
        <v>2.95</v>
      </c>
      <c r="N241" s="19"/>
    </row>
    <row r="242" spans="1:14" x14ac:dyDescent="0.25">
      <c r="A242" t="str">
        <f>COUNTIF($D$2:D242,D242)&amp;D242</f>
        <v>5Mallorca</v>
      </c>
      <c r="B242" t="str">
        <f>COUNTIF($E$2:E242,E242)&amp;E242</f>
        <v>6Getafe</v>
      </c>
      <c r="C242" s="21">
        <v>45227</v>
      </c>
      <c r="D242" s="89" t="s">
        <v>284</v>
      </c>
      <c r="E242" s="89" t="s">
        <v>281</v>
      </c>
      <c r="F242">
        <v>0</v>
      </c>
      <c r="G242">
        <v>0</v>
      </c>
      <c r="H242" s="89" t="s">
        <v>2</v>
      </c>
      <c r="I242">
        <v>2.29</v>
      </c>
      <c r="J242">
        <v>2.98</v>
      </c>
      <c r="K242">
        <v>3.66</v>
      </c>
      <c r="N242" s="18"/>
    </row>
    <row r="243" spans="1:14" x14ac:dyDescent="0.25">
      <c r="A243" t="str">
        <f>COUNTIF($D$2:D243,D243)&amp;D243</f>
        <v>6Athletic Bilbao</v>
      </c>
      <c r="B243" t="str">
        <f>COUNTIF($E$2:E243,E243)&amp;E243</f>
        <v>6Valencia</v>
      </c>
      <c r="C243" s="21">
        <v>45228</v>
      </c>
      <c r="D243" s="89" t="s">
        <v>274</v>
      </c>
      <c r="E243" s="89" t="s">
        <v>279</v>
      </c>
      <c r="F243">
        <v>2</v>
      </c>
      <c r="G243">
        <v>2</v>
      </c>
      <c r="H243" s="89" t="s">
        <v>2</v>
      </c>
      <c r="I243">
        <v>1.6</v>
      </c>
      <c r="J243">
        <v>3.95</v>
      </c>
      <c r="K243">
        <v>5.92</v>
      </c>
      <c r="N243" s="19"/>
    </row>
    <row r="244" spans="1:14" x14ac:dyDescent="0.25">
      <c r="A244" t="str">
        <f>COUNTIF($D$2:D244,D244)&amp;D244</f>
        <v>5Atletico Madrid</v>
      </c>
      <c r="B244" t="str">
        <f>COUNTIF($E$2:E244,E244)&amp;E244</f>
        <v>6Alaves</v>
      </c>
      <c r="C244" s="21">
        <v>45228</v>
      </c>
      <c r="D244" s="89" t="s">
        <v>275</v>
      </c>
      <c r="E244" s="89" t="s">
        <v>287</v>
      </c>
      <c r="F244">
        <v>2</v>
      </c>
      <c r="G244">
        <v>1</v>
      </c>
      <c r="H244" s="89" t="s">
        <v>194</v>
      </c>
      <c r="I244">
        <v>1.42</v>
      </c>
      <c r="J244">
        <v>4.54</v>
      </c>
      <c r="K244">
        <v>7.99</v>
      </c>
      <c r="N244" s="18"/>
    </row>
    <row r="245" spans="1:14" x14ac:dyDescent="0.25">
      <c r="A245" t="str">
        <f>COUNTIF($D$2:D245,D245)&amp;D245</f>
        <v>7Huesca</v>
      </c>
      <c r="B245" t="str">
        <f>COUNTIF($E$2:E245,E245)&amp;E245</f>
        <v>6Albacete</v>
      </c>
      <c r="C245" s="21">
        <v>45228</v>
      </c>
      <c r="D245" s="89" t="s">
        <v>310</v>
      </c>
      <c r="E245" s="89" t="s">
        <v>301</v>
      </c>
      <c r="F245">
        <v>0</v>
      </c>
      <c r="G245">
        <v>0</v>
      </c>
      <c r="H245" s="89" t="s">
        <v>2</v>
      </c>
      <c r="I245">
        <v>3.1</v>
      </c>
      <c r="J245">
        <v>2.79</v>
      </c>
      <c r="K245">
        <v>2.5499999999999998</v>
      </c>
      <c r="N245" s="19"/>
    </row>
    <row r="246" spans="1:14" x14ac:dyDescent="0.25">
      <c r="A246" t="str">
        <f>COUNTIF($D$2:D246,D246)&amp;D246</f>
        <v>7Leganes</v>
      </c>
      <c r="B246" t="str">
        <f>COUNTIF($E$2:E246,E246)&amp;E246</f>
        <v>7Villarreal B</v>
      </c>
      <c r="C246" s="21">
        <v>45228</v>
      </c>
      <c r="D246" s="89" t="s">
        <v>292</v>
      </c>
      <c r="E246" s="89" t="s">
        <v>304</v>
      </c>
      <c r="F246">
        <v>1</v>
      </c>
      <c r="G246">
        <v>0</v>
      </c>
      <c r="H246" s="89" t="s">
        <v>194</v>
      </c>
      <c r="I246">
        <v>1.74</v>
      </c>
      <c r="J246">
        <v>3.53</v>
      </c>
      <c r="K246">
        <v>4.66</v>
      </c>
      <c r="N246" s="19"/>
    </row>
    <row r="247" spans="1:14" x14ac:dyDescent="0.25">
      <c r="A247" t="str">
        <f>COUNTIF($D$2:D247,D247)&amp;D247</f>
        <v>7Mirandes</v>
      </c>
      <c r="B247" t="str">
        <f>COUNTIF($E$2:E247,E247)&amp;E247</f>
        <v>7Cartagena</v>
      </c>
      <c r="C247" s="21">
        <v>45228</v>
      </c>
      <c r="D247" s="89" t="s">
        <v>306</v>
      </c>
      <c r="E247" s="89" t="s">
        <v>312</v>
      </c>
      <c r="F247">
        <v>2</v>
      </c>
      <c r="G247">
        <v>1</v>
      </c>
      <c r="H247" s="89" t="s">
        <v>194</v>
      </c>
      <c r="I247">
        <v>2.2000000000000002</v>
      </c>
      <c r="J247">
        <v>3.12</v>
      </c>
      <c r="K247">
        <v>3.35</v>
      </c>
      <c r="N247" s="19"/>
    </row>
    <row r="248" spans="1:14" x14ac:dyDescent="0.25">
      <c r="A248" t="str">
        <f>COUNTIF($D$2:D248,D248)&amp;D248</f>
        <v>6Real Oviedo</v>
      </c>
      <c r="B248" t="str">
        <f>COUNTIF($E$2:E248,E248)&amp;E248</f>
        <v>7Alcorcon</v>
      </c>
      <c r="C248" s="21">
        <v>45228</v>
      </c>
      <c r="D248" s="89" t="s">
        <v>305</v>
      </c>
      <c r="E248" s="89" t="s">
        <v>311</v>
      </c>
      <c r="F248">
        <v>2</v>
      </c>
      <c r="G248">
        <v>0</v>
      </c>
      <c r="H248" s="89" t="s">
        <v>194</v>
      </c>
      <c r="I248">
        <v>1.8</v>
      </c>
      <c r="J248">
        <v>3.16</v>
      </c>
      <c r="K248">
        <v>5.03</v>
      </c>
      <c r="N248" s="19"/>
    </row>
    <row r="249" spans="1:14" x14ac:dyDescent="0.25">
      <c r="A249" t="str">
        <f>COUNTIF($D$2:D249,D249)&amp;D249</f>
        <v>7Racing</v>
      </c>
      <c r="B249" t="str">
        <f>COUNTIF($E$2:E249,E249)&amp;E249</f>
        <v>7Racing Ferrol</v>
      </c>
      <c r="C249" s="21">
        <v>45228</v>
      </c>
      <c r="D249" s="89" t="s">
        <v>299</v>
      </c>
      <c r="E249" s="89" t="s">
        <v>300</v>
      </c>
      <c r="F249">
        <v>1</v>
      </c>
      <c r="G249">
        <v>3</v>
      </c>
      <c r="H249" s="89" t="s">
        <v>195</v>
      </c>
      <c r="I249">
        <v>2.11</v>
      </c>
      <c r="J249">
        <v>3.09</v>
      </c>
      <c r="K249">
        <v>3.6</v>
      </c>
      <c r="N249" s="18"/>
    </row>
    <row r="250" spans="1:14" x14ac:dyDescent="0.25">
      <c r="A250" t="str">
        <f>COUNTIF($D$2:D250,D250)&amp;D250</f>
        <v>5Rayo Vallecano</v>
      </c>
      <c r="B250" t="str">
        <f>COUNTIF($E$2:E250,E250)&amp;E250</f>
        <v>5Real Sociedad</v>
      </c>
      <c r="C250" s="21">
        <v>45228</v>
      </c>
      <c r="D250" s="89" t="s">
        <v>277</v>
      </c>
      <c r="E250" s="89" t="s">
        <v>276</v>
      </c>
      <c r="F250">
        <v>2</v>
      </c>
      <c r="G250">
        <v>2</v>
      </c>
      <c r="H250" s="89" t="s">
        <v>2</v>
      </c>
      <c r="I250">
        <v>3.31</v>
      </c>
      <c r="J250">
        <v>3.14</v>
      </c>
      <c r="K250">
        <v>2.34</v>
      </c>
      <c r="N250" s="19"/>
    </row>
    <row r="251" spans="1:14" x14ac:dyDescent="0.25">
      <c r="A251" t="str">
        <f>COUNTIF($D$2:D251,D251)&amp;D251</f>
        <v>5Real Betis</v>
      </c>
      <c r="B251" t="str">
        <f>COUNTIF($E$2:E251,E251)&amp;E251</f>
        <v>6Osasuna</v>
      </c>
      <c r="C251" s="21">
        <v>45228</v>
      </c>
      <c r="D251" s="89" t="s">
        <v>278</v>
      </c>
      <c r="E251" s="89" t="s">
        <v>280</v>
      </c>
      <c r="F251">
        <v>2</v>
      </c>
      <c r="G251">
        <v>1</v>
      </c>
      <c r="H251" s="89" t="s">
        <v>194</v>
      </c>
      <c r="I251">
        <v>1.98</v>
      </c>
      <c r="J251">
        <v>3.4</v>
      </c>
      <c r="K251">
        <v>4.05</v>
      </c>
      <c r="N251" s="18"/>
    </row>
    <row r="252" spans="1:14" x14ac:dyDescent="0.25">
      <c r="A252" t="str">
        <f>COUNTIF($D$2:D252,D252)&amp;D252</f>
        <v>7Burgos</v>
      </c>
      <c r="B252" t="str">
        <f>COUNTIF($E$2:E252,E252)&amp;E252</f>
        <v>6Real Zaragoza</v>
      </c>
      <c r="C252" s="21">
        <v>45229</v>
      </c>
      <c r="D252" s="89" t="s">
        <v>302</v>
      </c>
      <c r="E252" s="89" t="s">
        <v>293</v>
      </c>
      <c r="F252">
        <v>1</v>
      </c>
      <c r="G252">
        <v>1</v>
      </c>
      <c r="H252" s="89" t="s">
        <v>2</v>
      </c>
      <c r="I252">
        <v>2.41</v>
      </c>
      <c r="J252">
        <v>2.82</v>
      </c>
      <c r="K252">
        <v>3.31</v>
      </c>
      <c r="N252" s="19"/>
    </row>
    <row r="253" spans="1:14" x14ac:dyDescent="0.25">
      <c r="A253" t="str">
        <f>COUNTIF($D$2:D253,D253)&amp;D253</f>
        <v>6Granada</v>
      </c>
      <c r="B253" t="str">
        <f>COUNTIF($E$2:E253,E253)&amp;E253</f>
        <v>5Villarreal</v>
      </c>
      <c r="C253" s="21">
        <v>45229</v>
      </c>
      <c r="D253" s="89" t="s">
        <v>289</v>
      </c>
      <c r="E253" s="89" t="s">
        <v>285</v>
      </c>
      <c r="F253">
        <v>2</v>
      </c>
      <c r="G253">
        <v>3</v>
      </c>
      <c r="H253" s="89" t="s">
        <v>195</v>
      </c>
      <c r="I253">
        <v>2.97</v>
      </c>
      <c r="J253">
        <v>3.57</v>
      </c>
      <c r="K253">
        <v>2.34</v>
      </c>
      <c r="N253" s="19"/>
    </row>
    <row r="254" spans="1:14" x14ac:dyDescent="0.25">
      <c r="A254" t="str">
        <f>COUNTIF($D$2:D254,D254)&amp;D254</f>
        <v>7Espanyol</v>
      </c>
      <c r="B254" t="str">
        <f>COUNTIF($E$2:E254,E254)&amp;E254</f>
        <v>8Eibar</v>
      </c>
      <c r="C254" s="21">
        <v>45233</v>
      </c>
      <c r="D254" s="89" t="s">
        <v>291</v>
      </c>
      <c r="E254" s="89" t="s">
        <v>298</v>
      </c>
      <c r="F254">
        <v>2</v>
      </c>
      <c r="G254">
        <v>2</v>
      </c>
      <c r="H254" s="89" t="s">
        <v>2</v>
      </c>
      <c r="I254">
        <v>2.36</v>
      </c>
      <c r="J254">
        <v>3.18</v>
      </c>
      <c r="K254">
        <v>3</v>
      </c>
      <c r="N254" s="19"/>
    </row>
    <row r="255" spans="1:14" x14ac:dyDescent="0.25">
      <c r="A255" t="str">
        <f>COUNTIF($D$2:D255,D255)&amp;D255</f>
        <v>6Las Palmas</v>
      </c>
      <c r="B255" t="str">
        <f>COUNTIF($E$2:E255,E255)&amp;E255</f>
        <v>6Atletico Madrid</v>
      </c>
      <c r="C255" s="21">
        <v>45233</v>
      </c>
      <c r="D255" s="89" t="s">
        <v>286</v>
      </c>
      <c r="E255" s="89" t="s">
        <v>275</v>
      </c>
      <c r="F255">
        <v>2</v>
      </c>
      <c r="G255">
        <v>1</v>
      </c>
      <c r="H255" s="89" t="s">
        <v>194</v>
      </c>
      <c r="I255">
        <v>5.49</v>
      </c>
      <c r="J255">
        <v>3.72</v>
      </c>
      <c r="K255">
        <v>1.68</v>
      </c>
      <c r="N255" s="19"/>
    </row>
    <row r="256" spans="1:14" x14ac:dyDescent="0.25">
      <c r="A256" t="str">
        <f>COUNTIF($D$2:D256,D256)&amp;D256</f>
        <v>8Albacete</v>
      </c>
      <c r="B256" t="str">
        <f>COUNTIF($E$2:E256,E256)&amp;E256</f>
        <v>7Elche</v>
      </c>
      <c r="C256" s="21">
        <v>45234</v>
      </c>
      <c r="D256" s="89" t="s">
        <v>301</v>
      </c>
      <c r="E256" s="89" t="s">
        <v>309</v>
      </c>
      <c r="F256">
        <v>1</v>
      </c>
      <c r="G256">
        <v>1</v>
      </c>
      <c r="H256" s="89" t="s">
        <v>2</v>
      </c>
      <c r="I256">
        <v>2.08</v>
      </c>
      <c r="J256">
        <v>3.21</v>
      </c>
      <c r="K256">
        <v>3.59</v>
      </c>
      <c r="N256" s="18"/>
    </row>
    <row r="257" spans="1:14" x14ac:dyDescent="0.25">
      <c r="A257" t="str">
        <f>COUNTIF($D$2:D257,D257)&amp;D257</f>
        <v>7Celta Vigo</v>
      </c>
      <c r="B257" t="str">
        <f>COUNTIF($E$2:E257,E257)&amp;E257</f>
        <v>5Sevilla FC</v>
      </c>
      <c r="C257" s="21">
        <v>45234</v>
      </c>
      <c r="D257" s="89" t="s">
        <v>288</v>
      </c>
      <c r="E257" s="89" t="s">
        <v>283</v>
      </c>
      <c r="F257">
        <v>1</v>
      </c>
      <c r="G257">
        <v>1</v>
      </c>
      <c r="H257" s="89" t="s">
        <v>2</v>
      </c>
      <c r="I257">
        <v>2.39</v>
      </c>
      <c r="J257">
        <v>3.36</v>
      </c>
      <c r="K257">
        <v>3.01</v>
      </c>
      <c r="N257" s="19"/>
    </row>
    <row r="258" spans="1:14" x14ac:dyDescent="0.25">
      <c r="A258" t="str">
        <f>COUNTIF($D$2:D258,D258)&amp;D258</f>
        <v>7Levante</v>
      </c>
      <c r="B258" t="str">
        <f>COUNTIF($E$2:E258,E258)&amp;E258</f>
        <v>7Mirandes</v>
      </c>
      <c r="C258" s="21">
        <v>45234</v>
      </c>
      <c r="D258" s="89" t="s">
        <v>294</v>
      </c>
      <c r="E258" s="89" t="s">
        <v>306</v>
      </c>
      <c r="F258">
        <v>2</v>
      </c>
      <c r="G258">
        <v>2</v>
      </c>
      <c r="H258" s="89" t="s">
        <v>2</v>
      </c>
      <c r="I258">
        <v>1.87</v>
      </c>
      <c r="J258">
        <v>3.37</v>
      </c>
      <c r="K258">
        <v>4.1500000000000004</v>
      </c>
      <c r="N258" s="18"/>
    </row>
    <row r="259" spans="1:14" x14ac:dyDescent="0.25">
      <c r="A259" t="str">
        <f>COUNTIF($D$2:D259,D259)&amp;D259</f>
        <v>6Osasuna</v>
      </c>
      <c r="B259" t="str">
        <f>COUNTIF($E$2:E259,E259)&amp;E259</f>
        <v>6Girona</v>
      </c>
      <c r="C259" s="21">
        <v>45234</v>
      </c>
      <c r="D259" s="89" t="s">
        <v>280</v>
      </c>
      <c r="E259" s="89" t="s">
        <v>272</v>
      </c>
      <c r="F259">
        <v>2</v>
      </c>
      <c r="G259">
        <v>4</v>
      </c>
      <c r="H259" s="89" t="s">
        <v>195</v>
      </c>
      <c r="I259">
        <v>2.89</v>
      </c>
      <c r="J259">
        <v>3.32</v>
      </c>
      <c r="K259">
        <v>2.5</v>
      </c>
      <c r="N259" s="19"/>
    </row>
    <row r="260" spans="1:14" x14ac:dyDescent="0.25">
      <c r="A260" t="str">
        <f>COUNTIF($D$2:D260,D260)&amp;D260</f>
        <v>6Real Betis</v>
      </c>
      <c r="B260" t="str">
        <f>COUNTIF($E$2:E260,E260)&amp;E260</f>
        <v>7Mallorca</v>
      </c>
      <c r="C260" s="21">
        <v>45234</v>
      </c>
      <c r="D260" s="89" t="s">
        <v>278</v>
      </c>
      <c r="E260" s="89" t="s">
        <v>284</v>
      </c>
      <c r="F260">
        <v>2</v>
      </c>
      <c r="G260">
        <v>0</v>
      </c>
      <c r="H260" s="89" t="s">
        <v>194</v>
      </c>
      <c r="I260">
        <v>1.88</v>
      </c>
      <c r="J260">
        <v>3.37</v>
      </c>
      <c r="K260">
        <v>4.62</v>
      </c>
      <c r="N260" s="19"/>
    </row>
    <row r="261" spans="1:14" x14ac:dyDescent="0.25">
      <c r="A261" t="str">
        <f>COUNTIF($D$2:D261,D261)&amp;D261</f>
        <v>7Real Sociedad</v>
      </c>
      <c r="B261" t="str">
        <f>COUNTIF($E$2:E261,E261)&amp;E261</f>
        <v>6FC Barcelona</v>
      </c>
      <c r="C261" s="21">
        <v>45234</v>
      </c>
      <c r="D261" s="89" t="s">
        <v>276</v>
      </c>
      <c r="E261" s="89" t="s">
        <v>273</v>
      </c>
      <c r="F261">
        <v>0</v>
      </c>
      <c r="G261">
        <v>1</v>
      </c>
      <c r="H261" s="89" t="s">
        <v>195</v>
      </c>
      <c r="I261">
        <v>3.32</v>
      </c>
      <c r="J261">
        <v>3.34</v>
      </c>
      <c r="K261">
        <v>2.25</v>
      </c>
      <c r="N261" s="19"/>
    </row>
    <row r="262" spans="1:14" x14ac:dyDescent="0.25">
      <c r="A262" t="str">
        <f>COUNTIF($D$2:D262,D262)&amp;D262</f>
        <v>8Valladolid</v>
      </c>
      <c r="B262" t="str">
        <f>COUNTIF($E$2:E262,E262)&amp;E262</f>
        <v>7Tenerife</v>
      </c>
      <c r="C262" s="21">
        <v>45234</v>
      </c>
      <c r="D262" s="89" t="s">
        <v>297</v>
      </c>
      <c r="E262" s="89" t="s">
        <v>295</v>
      </c>
      <c r="F262">
        <v>2</v>
      </c>
      <c r="G262">
        <v>0</v>
      </c>
      <c r="H262" s="89" t="s">
        <v>194</v>
      </c>
      <c r="I262">
        <v>2.12</v>
      </c>
      <c r="J262">
        <v>3.02</v>
      </c>
      <c r="K262">
        <v>3.75</v>
      </c>
      <c r="N262" s="19"/>
    </row>
    <row r="263" spans="1:14" x14ac:dyDescent="0.25">
      <c r="A263" t="str">
        <f>COUNTIF($D$2:D263,D263)&amp;D263</f>
        <v>7Villarreal B</v>
      </c>
      <c r="B263" t="str">
        <f>COUNTIF($E$2:E263,E263)&amp;E263</f>
        <v>8Sporting Gijon</v>
      </c>
      <c r="C263" s="21">
        <v>45234</v>
      </c>
      <c r="D263" s="89" t="s">
        <v>304</v>
      </c>
      <c r="E263" s="89" t="s">
        <v>296</v>
      </c>
      <c r="F263">
        <v>0</v>
      </c>
      <c r="G263">
        <v>3</v>
      </c>
      <c r="H263" s="89" t="s">
        <v>195</v>
      </c>
      <c r="I263">
        <v>2.95</v>
      </c>
      <c r="J263">
        <v>3.26</v>
      </c>
      <c r="K263">
        <v>2.34</v>
      </c>
      <c r="N263" s="18"/>
    </row>
    <row r="264" spans="1:14" x14ac:dyDescent="0.25">
      <c r="A264" t="str">
        <f>COUNTIF($D$2:D264,D264)&amp;D264</f>
        <v>6Alaves</v>
      </c>
      <c r="B264" t="str">
        <f>COUNTIF($E$2:E264,E264)&amp;E264</f>
        <v>6Almeria</v>
      </c>
      <c r="C264" s="21">
        <v>45235</v>
      </c>
      <c r="D264" s="89" t="s">
        <v>287</v>
      </c>
      <c r="E264" s="89" t="s">
        <v>290</v>
      </c>
      <c r="F264">
        <v>1</v>
      </c>
      <c r="G264">
        <v>0</v>
      </c>
      <c r="H264" s="89" t="s">
        <v>194</v>
      </c>
      <c r="I264">
        <v>1.74</v>
      </c>
      <c r="J264">
        <v>3.75</v>
      </c>
      <c r="K264">
        <v>4.8600000000000003</v>
      </c>
      <c r="N264" s="19"/>
    </row>
    <row r="265" spans="1:14" x14ac:dyDescent="0.25">
      <c r="A265" t="str">
        <f>COUNTIF($D$2:D265,D265)&amp;D265</f>
        <v>7Alcorcon</v>
      </c>
      <c r="B265" t="str">
        <f>COUNTIF($E$2:E265,E265)&amp;E265</f>
        <v>7Racing</v>
      </c>
      <c r="C265" s="21">
        <v>45235</v>
      </c>
      <c r="D265" s="89" t="s">
        <v>311</v>
      </c>
      <c r="E265" s="89" t="s">
        <v>299</v>
      </c>
      <c r="F265">
        <v>3</v>
      </c>
      <c r="G265">
        <v>1</v>
      </c>
      <c r="H265" s="89" t="s">
        <v>194</v>
      </c>
      <c r="I265">
        <v>2.5099999999999998</v>
      </c>
      <c r="J265">
        <v>3.08</v>
      </c>
      <c r="K265">
        <v>2.85</v>
      </c>
      <c r="N265" s="18"/>
    </row>
    <row r="266" spans="1:14" x14ac:dyDescent="0.25">
      <c r="A266" t="str">
        <f>COUNTIF($D$2:D266,D266)&amp;D266</f>
        <v>7Amorebieta</v>
      </c>
      <c r="B266" t="str">
        <f>COUNTIF($E$2:E266,E266)&amp;E266</f>
        <v>7Huesca</v>
      </c>
      <c r="C266" s="21">
        <v>45235</v>
      </c>
      <c r="D266" s="89" t="s">
        <v>308</v>
      </c>
      <c r="E266" s="89" t="s">
        <v>310</v>
      </c>
      <c r="F266">
        <v>0</v>
      </c>
      <c r="G266">
        <v>1</v>
      </c>
      <c r="H266" s="89" t="s">
        <v>195</v>
      </c>
      <c r="I266">
        <v>2.73</v>
      </c>
      <c r="J266">
        <v>2.84</v>
      </c>
      <c r="K266">
        <v>2.82</v>
      </c>
      <c r="N266" s="19"/>
    </row>
    <row r="267" spans="1:14" x14ac:dyDescent="0.25">
      <c r="A267" t="str">
        <f>COUNTIF($D$2:D267,D267)&amp;D267</f>
        <v>7Eldense</v>
      </c>
      <c r="B267" t="str">
        <f>COUNTIF($E$2:E267,E267)&amp;E267</f>
        <v>7Burgos</v>
      </c>
      <c r="C267" s="21">
        <v>45235</v>
      </c>
      <c r="D267" s="89" t="s">
        <v>303</v>
      </c>
      <c r="E267" s="89" t="s">
        <v>302</v>
      </c>
      <c r="F267">
        <v>2</v>
      </c>
      <c r="G267">
        <v>0</v>
      </c>
      <c r="H267" s="89" t="s">
        <v>194</v>
      </c>
      <c r="I267">
        <v>2.2000000000000002</v>
      </c>
      <c r="J267">
        <v>2.96</v>
      </c>
      <c r="K267">
        <v>3.55</v>
      </c>
      <c r="N267" s="19"/>
    </row>
    <row r="268" spans="1:14" x14ac:dyDescent="0.25">
      <c r="A268" t="str">
        <f>COUNTIF($D$2:D268,D268)&amp;D268</f>
        <v>7Cartagena</v>
      </c>
      <c r="B268" t="str">
        <f>COUNTIF($E$2:E268,E268)&amp;E268</f>
        <v>7Leganes</v>
      </c>
      <c r="C268" s="21">
        <v>45235</v>
      </c>
      <c r="D268" s="89" t="s">
        <v>312</v>
      </c>
      <c r="E268" s="89" t="s">
        <v>292</v>
      </c>
      <c r="F268">
        <v>0</v>
      </c>
      <c r="G268">
        <v>3</v>
      </c>
      <c r="H268" s="89" t="s">
        <v>195</v>
      </c>
      <c r="I268">
        <v>2.8</v>
      </c>
      <c r="J268">
        <v>2.97</v>
      </c>
      <c r="K268">
        <v>2.64</v>
      </c>
      <c r="N268" s="19"/>
    </row>
    <row r="269" spans="1:14" x14ac:dyDescent="0.25">
      <c r="A269" t="str">
        <f>COUNTIF($D$2:D269,D269)&amp;D269</f>
        <v>7Racing Ferrol</v>
      </c>
      <c r="B269" t="str">
        <f>COUNTIF($E$2:E269,E269)&amp;E269</f>
        <v>7FC Andorra</v>
      </c>
      <c r="C269" s="21">
        <v>45235</v>
      </c>
      <c r="D269" s="89" t="s">
        <v>300</v>
      </c>
      <c r="E269" s="89" t="s">
        <v>307</v>
      </c>
      <c r="F269">
        <v>1</v>
      </c>
      <c r="G269">
        <v>0</v>
      </c>
      <c r="H269" s="89" t="s">
        <v>194</v>
      </c>
      <c r="I269">
        <v>2.17</v>
      </c>
      <c r="J269">
        <v>3.04</v>
      </c>
      <c r="K269">
        <v>3.51</v>
      </c>
      <c r="N269" s="18"/>
    </row>
    <row r="270" spans="1:14" x14ac:dyDescent="0.25">
      <c r="A270" t="str">
        <f>COUNTIF($D$2:D270,D270)&amp;D270</f>
        <v>5Real Madrid</v>
      </c>
      <c r="B270" t="str">
        <f>COUNTIF($E$2:E270,E270)&amp;E270</f>
        <v>7Rayo Vallecano</v>
      </c>
      <c r="C270" s="21">
        <v>45235</v>
      </c>
      <c r="D270" s="89" t="s">
        <v>271</v>
      </c>
      <c r="E270" s="89" t="s">
        <v>277</v>
      </c>
      <c r="F270">
        <v>0</v>
      </c>
      <c r="G270">
        <v>0</v>
      </c>
      <c r="H270" s="89" t="s">
        <v>2</v>
      </c>
      <c r="I270">
        <v>1.22</v>
      </c>
      <c r="J270">
        <v>6.66</v>
      </c>
      <c r="K270">
        <v>13.52</v>
      </c>
      <c r="N270" s="19"/>
    </row>
    <row r="271" spans="1:14" x14ac:dyDescent="0.25">
      <c r="A271" t="str">
        <f>COUNTIF($D$2:D271,D271)&amp;D271</f>
        <v>6Valencia</v>
      </c>
      <c r="B271" t="str">
        <f>COUNTIF($E$2:E271,E271)&amp;E271</f>
        <v>6Granada</v>
      </c>
      <c r="C271" s="21">
        <v>45235</v>
      </c>
      <c r="D271" s="89" t="s">
        <v>279</v>
      </c>
      <c r="E271" s="89" t="s">
        <v>289</v>
      </c>
      <c r="F271">
        <v>1</v>
      </c>
      <c r="G271">
        <v>0</v>
      </c>
      <c r="H271" s="89" t="s">
        <v>194</v>
      </c>
      <c r="I271">
        <v>1.62</v>
      </c>
      <c r="J271">
        <v>4.1399999999999997</v>
      </c>
      <c r="K271">
        <v>5.34</v>
      </c>
      <c r="N271" s="18"/>
    </row>
    <row r="272" spans="1:14" x14ac:dyDescent="0.25">
      <c r="A272" t="str">
        <f>COUNTIF($D$2:D272,D272)&amp;D272</f>
        <v>7Villarreal</v>
      </c>
      <c r="B272" t="str">
        <f>COUNTIF($E$2:E272,E272)&amp;E272</f>
        <v>6Athletic Bilbao</v>
      </c>
      <c r="C272" s="21">
        <v>45235</v>
      </c>
      <c r="D272" s="89" t="s">
        <v>285</v>
      </c>
      <c r="E272" s="89" t="s">
        <v>274</v>
      </c>
      <c r="F272">
        <v>2</v>
      </c>
      <c r="G272">
        <v>3</v>
      </c>
      <c r="H272" s="89" t="s">
        <v>195</v>
      </c>
      <c r="I272">
        <v>3.61</v>
      </c>
      <c r="J272">
        <v>3.76</v>
      </c>
      <c r="K272">
        <v>1.99</v>
      </c>
      <c r="N272" s="19"/>
    </row>
    <row r="273" spans="1:14" x14ac:dyDescent="0.25">
      <c r="A273" t="str">
        <f>COUNTIF($D$2:D273,D273)&amp;D273</f>
        <v>6Getafe</v>
      </c>
      <c r="B273" t="str">
        <f>COUNTIF($E$2:E273,E273)&amp;E273</f>
        <v>6Cadiz</v>
      </c>
      <c r="C273" s="21">
        <v>45236</v>
      </c>
      <c r="D273" s="89" t="s">
        <v>281</v>
      </c>
      <c r="E273" s="89" t="s">
        <v>282</v>
      </c>
      <c r="F273">
        <v>1</v>
      </c>
      <c r="G273">
        <v>0</v>
      </c>
      <c r="H273" s="89" t="s">
        <v>194</v>
      </c>
      <c r="I273">
        <v>1.99</v>
      </c>
      <c r="J273">
        <v>3.13</v>
      </c>
      <c r="K273">
        <v>4.4400000000000004</v>
      </c>
      <c r="N273" s="18"/>
    </row>
    <row r="274" spans="1:14" x14ac:dyDescent="0.25">
      <c r="A274" t="str">
        <f>COUNTIF($D$2:D274,D274)&amp;D274</f>
        <v>8Real Zaragoza</v>
      </c>
      <c r="B274" t="str">
        <f>COUNTIF($E$2:E274,E274)&amp;E274</f>
        <v>8Real Oviedo</v>
      </c>
      <c r="C274" s="21">
        <v>45236</v>
      </c>
      <c r="D274" s="89" t="s">
        <v>293</v>
      </c>
      <c r="E274" s="89" t="s">
        <v>305</v>
      </c>
      <c r="F274">
        <v>0</v>
      </c>
      <c r="G274">
        <v>0</v>
      </c>
      <c r="H274" s="89" t="s">
        <v>2</v>
      </c>
      <c r="I274">
        <v>2.62</v>
      </c>
      <c r="J274">
        <v>2.72</v>
      </c>
      <c r="K274">
        <v>3.1</v>
      </c>
      <c r="N274" s="19"/>
    </row>
    <row r="275" spans="1:14" x14ac:dyDescent="0.25">
      <c r="A275" t="str">
        <f>COUNTIF($D$2:D275,D275)&amp;D275</f>
        <v>7Athletic Bilbao</v>
      </c>
      <c r="B275" t="str">
        <f>COUNTIF($E$2:E275,E275)&amp;E275</f>
        <v>6Celta Vigo</v>
      </c>
      <c r="C275" s="21">
        <v>45240</v>
      </c>
      <c r="D275" s="89" t="s">
        <v>274</v>
      </c>
      <c r="E275" s="89" t="s">
        <v>288</v>
      </c>
      <c r="F275">
        <v>4</v>
      </c>
      <c r="G275">
        <v>3</v>
      </c>
      <c r="H275" s="89" t="s">
        <v>194</v>
      </c>
      <c r="I275">
        <v>1.67</v>
      </c>
      <c r="J275">
        <v>4.04</v>
      </c>
      <c r="K275">
        <v>4.95</v>
      </c>
      <c r="N275" s="19"/>
    </row>
    <row r="276" spans="1:14" x14ac:dyDescent="0.25">
      <c r="A276" t="str">
        <f>COUNTIF($D$2:D276,D276)&amp;D276</f>
        <v>8Leganes</v>
      </c>
      <c r="B276" t="str">
        <f>COUNTIF($E$2:E276,E276)&amp;E276</f>
        <v>8Levante</v>
      </c>
      <c r="C276" s="21">
        <v>45240</v>
      </c>
      <c r="D276" s="89" t="s">
        <v>292</v>
      </c>
      <c r="E276" s="89" t="s">
        <v>294</v>
      </c>
      <c r="F276">
        <v>2</v>
      </c>
      <c r="G276">
        <v>1</v>
      </c>
      <c r="H276" s="89" t="s">
        <v>194</v>
      </c>
      <c r="I276">
        <v>1.86</v>
      </c>
      <c r="J276">
        <v>3.13</v>
      </c>
      <c r="K276">
        <v>4.62</v>
      </c>
      <c r="N276" s="19"/>
    </row>
    <row r="277" spans="1:14" x14ac:dyDescent="0.25">
      <c r="A277" t="str">
        <f>COUNTIF($D$2:D277,D277)&amp;D277</f>
        <v>7Almeria</v>
      </c>
      <c r="B277" t="str">
        <f>COUNTIF($E$2:E277,E277)&amp;E277</f>
        <v>6Real Sociedad</v>
      </c>
      <c r="C277" s="21">
        <v>45241</v>
      </c>
      <c r="D277" s="89" t="s">
        <v>290</v>
      </c>
      <c r="E277" s="89" t="s">
        <v>276</v>
      </c>
      <c r="F277">
        <v>1</v>
      </c>
      <c r="G277">
        <v>3</v>
      </c>
      <c r="H277" s="89" t="s">
        <v>195</v>
      </c>
      <c r="I277">
        <v>4.33</v>
      </c>
      <c r="J277">
        <v>3.73</v>
      </c>
      <c r="K277">
        <v>1.82</v>
      </c>
      <c r="N277" s="18"/>
    </row>
    <row r="278" spans="1:14" x14ac:dyDescent="0.25">
      <c r="A278" t="str">
        <f>COUNTIF($D$2:D278,D278)&amp;D278</f>
        <v>8Elche</v>
      </c>
      <c r="B278" t="str">
        <f>COUNTIF($E$2:E278,E278)&amp;E278</f>
        <v>7Real Zaragoza</v>
      </c>
      <c r="C278" s="21">
        <v>45241</v>
      </c>
      <c r="D278" s="89" t="s">
        <v>309</v>
      </c>
      <c r="E278" s="89" t="s">
        <v>293</v>
      </c>
      <c r="F278">
        <v>2</v>
      </c>
      <c r="G278">
        <v>0</v>
      </c>
      <c r="H278" s="89" t="s">
        <v>194</v>
      </c>
      <c r="I278">
        <v>2.0099999999999998</v>
      </c>
      <c r="J278">
        <v>3.16</v>
      </c>
      <c r="K278">
        <v>3.87</v>
      </c>
      <c r="N278" s="19"/>
    </row>
    <row r="279" spans="1:14" x14ac:dyDescent="0.25">
      <c r="A279" t="str">
        <f>COUNTIF($D$2:D279,D279)&amp;D279</f>
        <v>7Sporting Gijon</v>
      </c>
      <c r="B279" t="str">
        <f>COUNTIF($E$2:E279,E279)&amp;E279</f>
        <v>8Amorebieta</v>
      </c>
      <c r="C279" s="21">
        <v>45241</v>
      </c>
      <c r="D279" s="89" t="s">
        <v>296</v>
      </c>
      <c r="E279" s="89" t="s">
        <v>308</v>
      </c>
      <c r="F279">
        <v>1</v>
      </c>
      <c r="G279">
        <v>1</v>
      </c>
      <c r="H279" s="89" t="s">
        <v>2</v>
      </c>
      <c r="I279">
        <v>1.4</v>
      </c>
      <c r="J279">
        <v>4.28</v>
      </c>
      <c r="K279">
        <v>8.1</v>
      </c>
      <c r="N279" s="18"/>
    </row>
    <row r="280" spans="1:14" x14ac:dyDescent="0.25">
      <c r="A280" t="str">
        <f>COUNTIF($D$2:D280,D280)&amp;D280</f>
        <v>7Granada</v>
      </c>
      <c r="B280" t="str">
        <f>COUNTIF($E$2:E280,E280)&amp;E280</f>
        <v>7Getafe</v>
      </c>
      <c r="C280" s="21">
        <v>45241</v>
      </c>
      <c r="D280" s="89" t="s">
        <v>289</v>
      </c>
      <c r="E280" s="89" t="s">
        <v>281</v>
      </c>
      <c r="F280">
        <v>1</v>
      </c>
      <c r="G280">
        <v>1</v>
      </c>
      <c r="H280" s="89" t="s">
        <v>2</v>
      </c>
      <c r="I280">
        <v>2.48</v>
      </c>
      <c r="J280">
        <v>3.13</v>
      </c>
      <c r="K280">
        <v>3.1</v>
      </c>
      <c r="N280" s="19"/>
    </row>
    <row r="281" spans="1:14" x14ac:dyDescent="0.25">
      <c r="A281" t="str">
        <f>COUNTIF($D$2:D281,D281)&amp;D281</f>
        <v>8Mirandes</v>
      </c>
      <c r="B281" t="str">
        <f>COUNTIF($E$2:E281,E281)&amp;E281</f>
        <v>8Racing Ferrol</v>
      </c>
      <c r="C281" s="21">
        <v>45241</v>
      </c>
      <c r="D281" s="89" t="s">
        <v>306</v>
      </c>
      <c r="E281" s="89" t="s">
        <v>300</v>
      </c>
      <c r="F281">
        <v>1</v>
      </c>
      <c r="G281">
        <v>2</v>
      </c>
      <c r="H281" s="89" t="s">
        <v>195</v>
      </c>
      <c r="I281">
        <v>2.39</v>
      </c>
      <c r="J281">
        <v>2.98</v>
      </c>
      <c r="K281">
        <v>3.15</v>
      </c>
      <c r="N281" s="18"/>
    </row>
    <row r="282" spans="1:14" x14ac:dyDescent="0.25">
      <c r="A282" t="str">
        <f>COUNTIF($D$2:D282,D282)&amp;D282</f>
        <v>7Osasuna</v>
      </c>
      <c r="B282" t="str">
        <f>COUNTIF($E$2:E282,E282)&amp;E282</f>
        <v>7Las Palmas</v>
      </c>
      <c r="C282" s="21">
        <v>45241</v>
      </c>
      <c r="D282" s="89" t="s">
        <v>280</v>
      </c>
      <c r="E282" s="89" t="s">
        <v>286</v>
      </c>
      <c r="F282">
        <v>1</v>
      </c>
      <c r="G282">
        <v>1</v>
      </c>
      <c r="H282" s="89" t="s">
        <v>2</v>
      </c>
      <c r="I282">
        <v>1.95</v>
      </c>
      <c r="J282">
        <v>3.29</v>
      </c>
      <c r="K282">
        <v>4.3600000000000003</v>
      </c>
      <c r="N282" s="19"/>
    </row>
    <row r="283" spans="1:14" x14ac:dyDescent="0.25">
      <c r="A283" t="str">
        <f>COUNTIF($D$2:D283,D283)&amp;D283</f>
        <v>8Racing</v>
      </c>
      <c r="B283" t="str">
        <f>COUNTIF($E$2:E283,E283)&amp;E283</f>
        <v>7Valladolid</v>
      </c>
      <c r="C283" s="21">
        <v>45241</v>
      </c>
      <c r="D283" s="89" t="s">
        <v>299</v>
      </c>
      <c r="E283" s="89" t="s">
        <v>297</v>
      </c>
      <c r="F283">
        <v>2</v>
      </c>
      <c r="G283">
        <v>3</v>
      </c>
      <c r="H283" s="89" t="s">
        <v>195</v>
      </c>
      <c r="I283">
        <v>2.5</v>
      </c>
      <c r="J283">
        <v>3.11</v>
      </c>
      <c r="K283">
        <v>2.84</v>
      </c>
      <c r="N283" s="19"/>
    </row>
    <row r="284" spans="1:14" x14ac:dyDescent="0.25">
      <c r="A284" t="str">
        <f>COUNTIF($D$2:D284,D284)&amp;D284</f>
        <v>6Rayo Vallecano</v>
      </c>
      <c r="B284" t="str">
        <f>COUNTIF($E$2:E284,E284)&amp;E284</f>
        <v>7Girona</v>
      </c>
      <c r="C284" s="21">
        <v>45241</v>
      </c>
      <c r="D284" s="89" t="s">
        <v>277</v>
      </c>
      <c r="E284" s="89" t="s">
        <v>272</v>
      </c>
      <c r="F284">
        <v>1</v>
      </c>
      <c r="G284">
        <v>2</v>
      </c>
      <c r="H284" s="89" t="s">
        <v>195</v>
      </c>
      <c r="I284">
        <v>2.99</v>
      </c>
      <c r="J284">
        <v>3.44</v>
      </c>
      <c r="K284">
        <v>2.38</v>
      </c>
      <c r="N284" s="19"/>
    </row>
    <row r="285" spans="1:14" x14ac:dyDescent="0.25">
      <c r="A285" t="str">
        <f>COUNTIF($D$2:D285,D285)&amp;D285</f>
        <v>6Real Madrid</v>
      </c>
      <c r="B285" t="str">
        <f>COUNTIF($E$2:E285,E285)&amp;E285</f>
        <v>7Valencia</v>
      </c>
      <c r="C285" s="21">
        <v>45241</v>
      </c>
      <c r="D285" s="89" t="s">
        <v>271</v>
      </c>
      <c r="E285" s="89" t="s">
        <v>279</v>
      </c>
      <c r="F285">
        <v>5</v>
      </c>
      <c r="G285">
        <v>1</v>
      </c>
      <c r="H285" s="89" t="s">
        <v>194</v>
      </c>
      <c r="I285">
        <v>1.33</v>
      </c>
      <c r="J285">
        <v>5.4</v>
      </c>
      <c r="K285">
        <v>8.9700000000000006</v>
      </c>
      <c r="N285" s="18"/>
    </row>
    <row r="286" spans="1:14" x14ac:dyDescent="0.25">
      <c r="A286" t="str">
        <f>COUNTIF($D$2:D286,D286)&amp;D286</f>
        <v>8FC Andorra</v>
      </c>
      <c r="B286" t="str">
        <f>COUNTIF($E$2:E286,E286)&amp;E286</f>
        <v>8Eldense</v>
      </c>
      <c r="C286" s="21">
        <v>45242</v>
      </c>
      <c r="D286" s="89" t="s">
        <v>307</v>
      </c>
      <c r="E286" s="89" t="s">
        <v>303</v>
      </c>
      <c r="F286">
        <v>1</v>
      </c>
      <c r="G286">
        <v>3</v>
      </c>
      <c r="H286" s="89" t="s">
        <v>195</v>
      </c>
      <c r="I286">
        <v>1.89</v>
      </c>
      <c r="J286">
        <v>3.27</v>
      </c>
      <c r="K286">
        <v>4.17</v>
      </c>
      <c r="N286" s="19"/>
    </row>
    <row r="287" spans="1:14" x14ac:dyDescent="0.25">
      <c r="A287" t="str">
        <f>COUNTIF($D$2:D287,D287)&amp;D287</f>
        <v>6Atletico Madrid</v>
      </c>
      <c r="B287" t="str">
        <f>COUNTIF($E$2:E287,E287)&amp;E287</f>
        <v>6Villarreal</v>
      </c>
      <c r="C287" s="21">
        <v>45242</v>
      </c>
      <c r="D287" s="89" t="s">
        <v>275</v>
      </c>
      <c r="E287" s="89" t="s">
        <v>285</v>
      </c>
      <c r="F287">
        <v>3</v>
      </c>
      <c r="G287">
        <v>1</v>
      </c>
      <c r="H287" s="89" t="s">
        <v>194</v>
      </c>
      <c r="I287">
        <v>1.33</v>
      </c>
      <c r="J287">
        <v>5.57</v>
      </c>
      <c r="K287">
        <v>8.32</v>
      </c>
      <c r="N287" s="18"/>
    </row>
    <row r="288" spans="1:14" x14ac:dyDescent="0.25">
      <c r="A288" t="str">
        <f>COUNTIF($D$2:D288,D288)&amp;D288</f>
        <v>8Burgos</v>
      </c>
      <c r="B288" t="str">
        <f>COUNTIF($E$2:E288,E288)&amp;E288</f>
        <v>8Alcorcon</v>
      </c>
      <c r="C288" s="21">
        <v>45242</v>
      </c>
      <c r="D288" s="89" t="s">
        <v>302</v>
      </c>
      <c r="E288" s="89" t="s">
        <v>311</v>
      </c>
      <c r="F288">
        <v>4</v>
      </c>
      <c r="G288">
        <v>2</v>
      </c>
      <c r="H288" s="89" t="s">
        <v>194</v>
      </c>
      <c r="I288">
        <v>1.99</v>
      </c>
      <c r="J288">
        <v>3.1</v>
      </c>
      <c r="K288">
        <v>4.0199999999999996</v>
      </c>
      <c r="N288" s="19"/>
    </row>
    <row r="289" spans="1:14" x14ac:dyDescent="0.25">
      <c r="A289" t="str">
        <f>COUNTIF($D$2:D289,D289)&amp;D289</f>
        <v>7Eibar</v>
      </c>
      <c r="B289" t="str">
        <f>COUNTIF($E$2:E289,E289)&amp;E289</f>
        <v>7Albacete</v>
      </c>
      <c r="C289" s="21">
        <v>45242</v>
      </c>
      <c r="D289" s="89" t="s">
        <v>298</v>
      </c>
      <c r="E289" s="89" t="s">
        <v>301</v>
      </c>
      <c r="F289">
        <v>1</v>
      </c>
      <c r="G289">
        <v>1</v>
      </c>
      <c r="H289" s="89" t="s">
        <v>2</v>
      </c>
      <c r="I289">
        <v>1.76</v>
      </c>
      <c r="J289">
        <v>3.33</v>
      </c>
      <c r="K289">
        <v>4.8099999999999996</v>
      </c>
      <c r="N289" s="19"/>
    </row>
    <row r="290" spans="1:14" x14ac:dyDescent="0.25">
      <c r="A290" t="str">
        <f>COUNTIF($D$2:D290,D290)&amp;D290</f>
        <v>7FC Barcelona</v>
      </c>
      <c r="B290" t="str">
        <f>COUNTIF($E$2:E290,E290)&amp;E290</f>
        <v>7Alaves</v>
      </c>
      <c r="C290" s="21">
        <v>45242</v>
      </c>
      <c r="D290" s="89" t="s">
        <v>273</v>
      </c>
      <c r="E290" s="89" t="s">
        <v>287</v>
      </c>
      <c r="F290">
        <v>2</v>
      </c>
      <c r="G290">
        <v>1</v>
      </c>
      <c r="H290" s="89" t="s">
        <v>194</v>
      </c>
      <c r="I290">
        <v>1.25</v>
      </c>
      <c r="J290">
        <v>6.17</v>
      </c>
      <c r="K290">
        <v>11.59</v>
      </c>
      <c r="N290" s="19"/>
    </row>
    <row r="291" spans="1:14" x14ac:dyDescent="0.25">
      <c r="A291" t="str">
        <f>COUNTIF($D$2:D291,D291)&amp;D291</f>
        <v>8Huesca</v>
      </c>
      <c r="B291" t="str">
        <f>COUNTIF($E$2:E291,E291)&amp;E291</f>
        <v>8Espanyol</v>
      </c>
      <c r="C291" s="21">
        <v>45242</v>
      </c>
      <c r="D291" s="89" t="s">
        <v>310</v>
      </c>
      <c r="E291" s="89" t="s">
        <v>291</v>
      </c>
      <c r="F291">
        <v>1</v>
      </c>
      <c r="G291">
        <v>1</v>
      </c>
      <c r="H291" s="89" t="s">
        <v>2</v>
      </c>
      <c r="I291">
        <v>3.35</v>
      </c>
      <c r="J291">
        <v>3</v>
      </c>
      <c r="K291">
        <v>2.27</v>
      </c>
      <c r="N291" s="18"/>
    </row>
    <row r="292" spans="1:14" x14ac:dyDescent="0.25">
      <c r="A292" t="str">
        <f>COUNTIF($D$2:D292,D292)&amp;D292</f>
        <v>7Sevilla FC</v>
      </c>
      <c r="B292" t="str">
        <f>COUNTIF($E$2:E292,E292)&amp;E292</f>
        <v>7Real Betis</v>
      </c>
      <c r="C292" s="21">
        <v>45242</v>
      </c>
      <c r="D292" s="89" t="s">
        <v>283</v>
      </c>
      <c r="E292" s="89" t="s">
        <v>278</v>
      </c>
      <c r="F292">
        <v>1</v>
      </c>
      <c r="G292">
        <v>1</v>
      </c>
      <c r="H292" s="89" t="s">
        <v>2</v>
      </c>
      <c r="I292">
        <v>2.17</v>
      </c>
      <c r="J292">
        <v>3.48</v>
      </c>
      <c r="K292">
        <v>3.3</v>
      </c>
      <c r="N292" s="19"/>
    </row>
    <row r="293" spans="1:14" x14ac:dyDescent="0.25">
      <c r="A293" t="str">
        <f>COUNTIF($D$2:D293,D293)&amp;D293</f>
        <v>8Tenerife</v>
      </c>
      <c r="B293" t="str">
        <f>COUNTIF($E$2:E293,E293)&amp;E293</f>
        <v>8Villarreal B</v>
      </c>
      <c r="C293" s="21">
        <v>45242</v>
      </c>
      <c r="D293" s="89" t="s">
        <v>295</v>
      </c>
      <c r="E293" s="89" t="s">
        <v>304</v>
      </c>
      <c r="F293">
        <v>0</v>
      </c>
      <c r="G293">
        <v>1</v>
      </c>
      <c r="H293" s="89" t="s">
        <v>195</v>
      </c>
      <c r="I293">
        <v>1.69</v>
      </c>
      <c r="J293">
        <v>3.49</v>
      </c>
      <c r="K293">
        <v>5.21</v>
      </c>
      <c r="N293" s="18"/>
    </row>
    <row r="294" spans="1:14" x14ac:dyDescent="0.25">
      <c r="A294" t="str">
        <f>COUNTIF($D$2:D294,D294)&amp;D294</f>
        <v>7Real Oviedo</v>
      </c>
      <c r="B294" t="str">
        <f>COUNTIF($E$2:E294,E294)&amp;E294</f>
        <v>8Cartagena</v>
      </c>
      <c r="C294" s="21">
        <v>45243</v>
      </c>
      <c r="D294" s="89" t="s">
        <v>305</v>
      </c>
      <c r="E294" s="89" t="s">
        <v>312</v>
      </c>
      <c r="F294">
        <v>1</v>
      </c>
      <c r="G294">
        <v>1</v>
      </c>
      <c r="H294" s="89" t="s">
        <v>2</v>
      </c>
      <c r="I294">
        <v>1.78</v>
      </c>
      <c r="J294">
        <v>3.18</v>
      </c>
      <c r="K294">
        <v>5.16</v>
      </c>
      <c r="N294" s="19"/>
    </row>
    <row r="295" spans="1:14" x14ac:dyDescent="0.25">
      <c r="A295" t="str">
        <f>COUNTIF($D$2:D295,D295)&amp;D295</f>
        <v>9Valladolid</v>
      </c>
      <c r="B295" t="str">
        <f>COUNTIF($E$2:E295,E295)&amp;E295</f>
        <v>8Leganes</v>
      </c>
      <c r="C295" s="21">
        <v>45247</v>
      </c>
      <c r="D295" s="89" t="s">
        <v>297</v>
      </c>
      <c r="E295" s="89" t="s">
        <v>292</v>
      </c>
      <c r="F295">
        <v>1</v>
      </c>
      <c r="G295">
        <v>1</v>
      </c>
      <c r="H295" s="89" t="s">
        <v>2</v>
      </c>
      <c r="I295">
        <v>2.1</v>
      </c>
      <c r="J295">
        <v>2.91</v>
      </c>
      <c r="K295">
        <v>3.92</v>
      </c>
      <c r="N295" s="19"/>
    </row>
    <row r="296" spans="1:14" x14ac:dyDescent="0.25">
      <c r="A296" t="str">
        <f>COUNTIF($D$2:D296,D296)&amp;D296</f>
        <v>8Alcorcon</v>
      </c>
      <c r="B296" t="str">
        <f>COUNTIF($E$2:E296,E296)&amp;E296</f>
        <v>9Sporting Gijon</v>
      </c>
      <c r="C296" s="21">
        <v>45248</v>
      </c>
      <c r="D296" s="89" t="s">
        <v>311</v>
      </c>
      <c r="E296" s="89" t="s">
        <v>296</v>
      </c>
      <c r="F296">
        <v>0</v>
      </c>
      <c r="G296">
        <v>0</v>
      </c>
      <c r="H296" s="89" t="s">
        <v>2</v>
      </c>
      <c r="I296">
        <v>3.12</v>
      </c>
      <c r="J296">
        <v>2.98</v>
      </c>
      <c r="K296">
        <v>2.39</v>
      </c>
      <c r="N296" s="19"/>
    </row>
    <row r="297" spans="1:14" x14ac:dyDescent="0.25">
      <c r="A297" t="str">
        <f>COUNTIF($D$2:D297,D297)&amp;D297</f>
        <v>8Amorebieta</v>
      </c>
      <c r="B297" t="str">
        <f>COUNTIF($E$2:E297,E297)&amp;E297</f>
        <v>8Tenerife</v>
      </c>
      <c r="C297" s="21">
        <v>45248</v>
      </c>
      <c r="D297" s="89" t="s">
        <v>308</v>
      </c>
      <c r="E297" s="89" t="s">
        <v>295</v>
      </c>
      <c r="F297">
        <v>2</v>
      </c>
      <c r="G297">
        <v>0</v>
      </c>
      <c r="H297" s="89" t="s">
        <v>194</v>
      </c>
      <c r="I297">
        <v>3.01</v>
      </c>
      <c r="J297">
        <v>2.87</v>
      </c>
      <c r="K297">
        <v>2.58</v>
      </c>
      <c r="N297" s="19"/>
    </row>
    <row r="298" spans="1:14" x14ac:dyDescent="0.25">
      <c r="A298" t="str">
        <f>COUNTIF($D$2:D298,D298)&amp;D298</f>
        <v>8Espanyol</v>
      </c>
      <c r="B298" t="str">
        <f>COUNTIF($E$2:E298,E298)&amp;E298</f>
        <v>8Elche</v>
      </c>
      <c r="C298" s="21">
        <v>45248</v>
      </c>
      <c r="D298" s="89" t="s">
        <v>291</v>
      </c>
      <c r="E298" s="89" t="s">
        <v>309</v>
      </c>
      <c r="F298">
        <v>2</v>
      </c>
      <c r="G298">
        <v>0</v>
      </c>
      <c r="H298" s="89" t="s">
        <v>194</v>
      </c>
      <c r="I298">
        <v>1.84</v>
      </c>
      <c r="J298">
        <v>3.42</v>
      </c>
      <c r="K298">
        <v>4.26</v>
      </c>
      <c r="N298" s="18"/>
    </row>
    <row r="299" spans="1:14" x14ac:dyDescent="0.25">
      <c r="A299" t="str">
        <f>COUNTIF($D$2:D299,D299)&amp;D299</f>
        <v>9Real Zaragoza</v>
      </c>
      <c r="B299" t="str">
        <f>COUNTIF($E$2:E299,E299)&amp;E299</f>
        <v>8Huesca</v>
      </c>
      <c r="C299" s="21">
        <v>45248</v>
      </c>
      <c r="D299" s="89" t="s">
        <v>293</v>
      </c>
      <c r="E299" s="89" t="s">
        <v>310</v>
      </c>
      <c r="F299">
        <v>0</v>
      </c>
      <c r="G299">
        <v>2</v>
      </c>
      <c r="H299" s="89" t="s">
        <v>195</v>
      </c>
      <c r="I299">
        <v>2.15</v>
      </c>
      <c r="J299">
        <v>2.88</v>
      </c>
      <c r="K299">
        <v>3.85</v>
      </c>
      <c r="N299" s="19"/>
    </row>
    <row r="300" spans="1:14" x14ac:dyDescent="0.25">
      <c r="A300" t="str">
        <f>COUNTIF($D$2:D300,D300)&amp;D300</f>
        <v>8Eldense</v>
      </c>
      <c r="B300" t="str">
        <f>COUNTIF($E$2:E300,E300)&amp;E300</f>
        <v>8Mirandes</v>
      </c>
      <c r="C300" s="21">
        <v>45249</v>
      </c>
      <c r="D300" s="89" t="s">
        <v>303</v>
      </c>
      <c r="E300" s="89" t="s">
        <v>306</v>
      </c>
      <c r="F300">
        <v>2</v>
      </c>
      <c r="G300">
        <v>2</v>
      </c>
      <c r="H300" s="89" t="s">
        <v>2</v>
      </c>
      <c r="I300">
        <v>2.14</v>
      </c>
      <c r="J300">
        <v>3.16</v>
      </c>
      <c r="K300">
        <v>3.51</v>
      </c>
      <c r="N300" s="18"/>
    </row>
    <row r="301" spans="1:14" x14ac:dyDescent="0.25">
      <c r="A301" t="str">
        <f>COUNTIF($D$2:D301,D301)&amp;D301</f>
        <v>8Cartagena</v>
      </c>
      <c r="B301" t="str">
        <f>COUNTIF($E$2:E301,E301)&amp;E301</f>
        <v>8Albacete</v>
      </c>
      <c r="C301" s="21">
        <v>45249</v>
      </c>
      <c r="D301" s="89" t="s">
        <v>312</v>
      </c>
      <c r="E301" s="89" t="s">
        <v>301</v>
      </c>
      <c r="F301">
        <v>1</v>
      </c>
      <c r="G301">
        <v>1</v>
      </c>
      <c r="H301" s="89" t="s">
        <v>2</v>
      </c>
      <c r="I301">
        <v>3.41</v>
      </c>
      <c r="J301">
        <v>3.07</v>
      </c>
      <c r="K301">
        <v>2.21</v>
      </c>
      <c r="N301" s="19"/>
    </row>
    <row r="302" spans="1:14" x14ac:dyDescent="0.25">
      <c r="A302" t="str">
        <f>COUNTIF($D$2:D302,D302)&amp;D302</f>
        <v>8Real Oviedo</v>
      </c>
      <c r="B302" t="str">
        <f>COUNTIF($E$2:E302,E302)&amp;E302</f>
        <v>9Eibar</v>
      </c>
      <c r="C302" s="21">
        <v>45249</v>
      </c>
      <c r="D302" s="89" t="s">
        <v>305</v>
      </c>
      <c r="E302" s="89" t="s">
        <v>298</v>
      </c>
      <c r="F302">
        <v>2</v>
      </c>
      <c r="G302">
        <v>1</v>
      </c>
      <c r="H302" s="89" t="s">
        <v>194</v>
      </c>
      <c r="I302">
        <v>2.62</v>
      </c>
      <c r="J302">
        <v>2.83</v>
      </c>
      <c r="K302">
        <v>2.96</v>
      </c>
    </row>
    <row r="303" spans="1:14" x14ac:dyDescent="0.25">
      <c r="A303" t="str">
        <f>COUNTIF($D$2:D303,D303)&amp;D303</f>
        <v>8Racing Ferrol</v>
      </c>
      <c r="B303" t="str">
        <f>COUNTIF($E$2:E303,E303)&amp;E303</f>
        <v>8Burgos</v>
      </c>
      <c r="C303" s="21">
        <v>45249</v>
      </c>
      <c r="D303" s="89" t="s">
        <v>300</v>
      </c>
      <c r="E303" s="89" t="s">
        <v>302</v>
      </c>
      <c r="F303">
        <v>1</v>
      </c>
      <c r="G303">
        <v>1</v>
      </c>
      <c r="H303" s="89" t="s">
        <v>2</v>
      </c>
      <c r="I303">
        <v>2.0099999999999998</v>
      </c>
      <c r="J303">
        <v>3.05</v>
      </c>
      <c r="K303">
        <v>4.07</v>
      </c>
    </row>
    <row r="304" spans="1:14" x14ac:dyDescent="0.25">
      <c r="A304" t="str">
        <f>COUNTIF($D$2:D304,D304)&amp;D304</f>
        <v>8Villarreal B</v>
      </c>
      <c r="B304" t="str">
        <f>COUNTIF($E$2:E304,E304)&amp;E304</f>
        <v>8FC Andorra</v>
      </c>
      <c r="C304" s="21">
        <v>45249</v>
      </c>
      <c r="D304" s="89" t="s">
        <v>304</v>
      </c>
      <c r="E304" s="89" t="s">
        <v>307</v>
      </c>
      <c r="F304">
        <v>0</v>
      </c>
      <c r="G304">
        <v>0</v>
      </c>
      <c r="H304" s="89" t="s">
        <v>2</v>
      </c>
      <c r="I304">
        <v>2.52</v>
      </c>
      <c r="J304">
        <v>3.32</v>
      </c>
      <c r="K304">
        <v>2.66</v>
      </c>
    </row>
    <row r="305" spans="1:11" x14ac:dyDescent="0.25">
      <c r="A305" t="str">
        <f>COUNTIF($D$2:D305,D305)&amp;D305</f>
        <v>8Levante</v>
      </c>
      <c r="B305" t="str">
        <f>COUNTIF($E$2:E305,E305)&amp;E305</f>
        <v>8Racing</v>
      </c>
      <c r="C305" s="21">
        <v>45250</v>
      </c>
      <c r="D305" s="89" t="s">
        <v>294</v>
      </c>
      <c r="E305" s="89" t="s">
        <v>299</v>
      </c>
      <c r="F305">
        <v>2</v>
      </c>
      <c r="G305">
        <v>4</v>
      </c>
      <c r="H305" s="89" t="s">
        <v>195</v>
      </c>
      <c r="I305">
        <v>2.0499999999999998</v>
      </c>
      <c r="J305">
        <v>3.34</v>
      </c>
      <c r="K305">
        <v>3.53</v>
      </c>
    </row>
    <row r="306" spans="1:11" x14ac:dyDescent="0.25">
      <c r="A306" t="str">
        <f>COUNTIF($D$2:D306,D306)&amp;D306</f>
        <v>7Alaves</v>
      </c>
      <c r="B306" t="str">
        <f>COUNTIF($E$2:E306,E306)&amp;E306</f>
        <v>7Granada</v>
      </c>
      <c r="C306" s="21">
        <v>45254</v>
      </c>
      <c r="D306" s="89" t="s">
        <v>287</v>
      </c>
      <c r="E306" s="89" t="s">
        <v>289</v>
      </c>
      <c r="F306">
        <v>3</v>
      </c>
      <c r="G306">
        <v>1</v>
      </c>
      <c r="H306" s="89" t="s">
        <v>194</v>
      </c>
      <c r="I306">
        <v>1.7</v>
      </c>
      <c r="J306">
        <v>3.67</v>
      </c>
      <c r="K306">
        <v>5.28</v>
      </c>
    </row>
    <row r="307" spans="1:11" x14ac:dyDescent="0.25">
      <c r="A307" t="str">
        <f>COUNTIF($D$2:D307,D307)&amp;D307</f>
        <v>9Huesca</v>
      </c>
      <c r="B307" t="str">
        <f>COUNTIF($E$2:E307,E307)&amp;E307</f>
        <v>8Valladolid</v>
      </c>
      <c r="C307" s="21">
        <v>45254</v>
      </c>
      <c r="D307" s="89" t="s">
        <v>310</v>
      </c>
      <c r="E307" s="89" t="s">
        <v>297</v>
      </c>
      <c r="F307">
        <v>0</v>
      </c>
      <c r="G307">
        <v>1</v>
      </c>
      <c r="H307" s="89" t="s">
        <v>195</v>
      </c>
      <c r="I307">
        <v>3.1</v>
      </c>
      <c r="J307">
        <v>2.88</v>
      </c>
      <c r="K307">
        <v>2.48</v>
      </c>
    </row>
    <row r="308" spans="1:11" x14ac:dyDescent="0.25">
      <c r="A308" t="str">
        <f>COUNTIF($D$2:D308,D308)&amp;D308</f>
        <v>9Albacete</v>
      </c>
      <c r="B308" t="str">
        <f>COUNTIF($E$2:E308,E308)&amp;E308</f>
        <v>8Real Zaragoza</v>
      </c>
      <c r="C308" s="21">
        <v>45255</v>
      </c>
      <c r="D308" s="89" t="s">
        <v>301</v>
      </c>
      <c r="E308" s="89" t="s">
        <v>293</v>
      </c>
      <c r="F308">
        <v>1</v>
      </c>
      <c r="G308">
        <v>0</v>
      </c>
      <c r="H308" s="89" t="s">
        <v>194</v>
      </c>
      <c r="I308">
        <v>1.89</v>
      </c>
      <c r="J308">
        <v>3.16</v>
      </c>
      <c r="K308">
        <v>4.4000000000000004</v>
      </c>
    </row>
    <row r="309" spans="1:11" x14ac:dyDescent="0.25">
      <c r="A309" t="str">
        <f>COUNTIF($D$2:D309,D309)&amp;D309</f>
        <v>7Atletico Madrid</v>
      </c>
      <c r="B309" t="str">
        <f>COUNTIF($E$2:E309,E309)&amp;E309</f>
        <v>8Mallorca</v>
      </c>
      <c r="C309" s="21">
        <v>45255</v>
      </c>
      <c r="D309" s="89" t="s">
        <v>275</v>
      </c>
      <c r="E309" s="89" t="s">
        <v>284</v>
      </c>
      <c r="F309">
        <v>1</v>
      </c>
      <c r="G309">
        <v>0</v>
      </c>
      <c r="H309" s="89" t="s">
        <v>194</v>
      </c>
      <c r="I309">
        <v>1.35</v>
      </c>
      <c r="J309">
        <v>4.96</v>
      </c>
      <c r="K309">
        <v>9.23</v>
      </c>
    </row>
    <row r="310" spans="1:11" x14ac:dyDescent="0.25">
      <c r="A310" t="str">
        <f>COUNTIF($D$2:D310,D310)&amp;D310</f>
        <v>9Burgos</v>
      </c>
      <c r="B310" t="str">
        <f>COUNTIF($E$2:E310,E310)&amp;E310</f>
        <v>9FC Andorra</v>
      </c>
      <c r="C310" s="21">
        <v>45255</v>
      </c>
      <c r="D310" s="89" t="s">
        <v>302</v>
      </c>
      <c r="E310" s="89" t="s">
        <v>307</v>
      </c>
      <c r="F310">
        <v>0</v>
      </c>
      <c r="G310">
        <v>0</v>
      </c>
      <c r="H310" s="89" t="s">
        <v>2</v>
      </c>
      <c r="I310">
        <v>2.2599999999999998</v>
      </c>
      <c r="J310">
        <v>3.06</v>
      </c>
      <c r="K310">
        <v>3.27</v>
      </c>
    </row>
    <row r="311" spans="1:11" x14ac:dyDescent="0.25">
      <c r="A311" t="str">
        <f>COUNTIF($D$2:D311,D311)&amp;D311</f>
        <v>8Eibar</v>
      </c>
      <c r="B311" t="str">
        <f>COUNTIF($E$2:E311,E311)&amp;E311</f>
        <v>9Levante</v>
      </c>
      <c r="C311" s="21">
        <v>45255</v>
      </c>
      <c r="D311" s="89" t="s">
        <v>298</v>
      </c>
      <c r="E311" s="89" t="s">
        <v>294</v>
      </c>
      <c r="F311">
        <v>3</v>
      </c>
      <c r="G311">
        <v>1</v>
      </c>
      <c r="H311" s="89" t="s">
        <v>194</v>
      </c>
      <c r="I311">
        <v>1.79</v>
      </c>
      <c r="J311">
        <v>3.43</v>
      </c>
      <c r="K311">
        <v>4.5599999999999996</v>
      </c>
    </row>
    <row r="312" spans="1:11" x14ac:dyDescent="0.25">
      <c r="A312" t="str">
        <f>COUNTIF($D$2:D312,D312)&amp;D312</f>
        <v>7Getafe</v>
      </c>
      <c r="B312" t="str">
        <f>COUNTIF($E$2:E312,E312)&amp;E312</f>
        <v>7Almeria</v>
      </c>
      <c r="C312" s="21">
        <v>45255</v>
      </c>
      <c r="D312" s="89" t="s">
        <v>281</v>
      </c>
      <c r="E312" s="89" t="s">
        <v>290</v>
      </c>
      <c r="F312">
        <v>2</v>
      </c>
      <c r="G312">
        <v>1</v>
      </c>
      <c r="H312" s="89" t="s">
        <v>194</v>
      </c>
      <c r="I312">
        <v>1.76</v>
      </c>
      <c r="J312">
        <v>3.61</v>
      </c>
      <c r="K312">
        <v>4.8600000000000003</v>
      </c>
    </row>
    <row r="313" spans="1:11" x14ac:dyDescent="0.25">
      <c r="A313" t="str">
        <f>COUNTIF($D$2:D313,D313)&amp;D313</f>
        <v>9Racing</v>
      </c>
      <c r="B313" t="str">
        <f>COUNTIF($E$2:E313,E313)&amp;E313</f>
        <v>9Villarreal B</v>
      </c>
      <c r="C313" s="21">
        <v>45255</v>
      </c>
      <c r="D313" s="89" t="s">
        <v>299</v>
      </c>
      <c r="E313" s="89" t="s">
        <v>304</v>
      </c>
      <c r="F313">
        <v>2</v>
      </c>
      <c r="G313">
        <v>0</v>
      </c>
      <c r="H313" s="89" t="s">
        <v>194</v>
      </c>
      <c r="I313">
        <v>1.81</v>
      </c>
      <c r="J313">
        <v>3.73</v>
      </c>
      <c r="K313">
        <v>4.01</v>
      </c>
    </row>
    <row r="314" spans="1:11" x14ac:dyDescent="0.25">
      <c r="A314" t="str">
        <f>COUNTIF($D$2:D314,D314)&amp;D314</f>
        <v>7Rayo Vallecano</v>
      </c>
      <c r="B314" t="str">
        <f>COUNTIF($E$2:E314,E314)&amp;E314</f>
        <v>7FC Barcelona</v>
      </c>
      <c r="C314" s="21">
        <v>45255</v>
      </c>
      <c r="D314" s="89" t="s">
        <v>277</v>
      </c>
      <c r="E314" s="89" t="s">
        <v>273</v>
      </c>
      <c r="F314">
        <v>1</v>
      </c>
      <c r="G314">
        <v>1</v>
      </c>
      <c r="H314" s="89" t="s">
        <v>2</v>
      </c>
      <c r="I314">
        <v>4.9000000000000004</v>
      </c>
      <c r="J314">
        <v>4.1100000000000003</v>
      </c>
      <c r="K314">
        <v>1.67</v>
      </c>
    </row>
    <row r="315" spans="1:11" x14ac:dyDescent="0.25">
      <c r="A315" t="str">
        <f>COUNTIF($D$2:D315,D315)&amp;D315</f>
        <v>7Valencia</v>
      </c>
      <c r="B315" t="str">
        <f>COUNTIF($E$2:E315,E315)&amp;E315</f>
        <v>7Celta Vigo</v>
      </c>
      <c r="C315" s="21">
        <v>45255</v>
      </c>
      <c r="D315" s="89" t="s">
        <v>279</v>
      </c>
      <c r="E315" s="89" t="s">
        <v>288</v>
      </c>
      <c r="F315">
        <v>0</v>
      </c>
      <c r="G315">
        <v>0</v>
      </c>
      <c r="H315" s="89" t="s">
        <v>2</v>
      </c>
      <c r="I315">
        <v>2.2000000000000002</v>
      </c>
      <c r="J315">
        <v>3.33</v>
      </c>
      <c r="K315">
        <v>3.45</v>
      </c>
    </row>
    <row r="316" spans="1:11" x14ac:dyDescent="0.25">
      <c r="A316" t="str">
        <f>COUNTIF($D$2:D316,D316)&amp;D316</f>
        <v>7Cadiz</v>
      </c>
      <c r="B316" t="str">
        <f>COUNTIF($E$2:E316,E316)&amp;E316</f>
        <v>8Real Madrid</v>
      </c>
      <c r="C316" s="21">
        <v>45256</v>
      </c>
      <c r="D316" s="89" t="s">
        <v>282</v>
      </c>
      <c r="E316" s="89" t="s">
        <v>271</v>
      </c>
      <c r="F316">
        <v>0</v>
      </c>
      <c r="G316">
        <v>3</v>
      </c>
      <c r="H316" s="89" t="s">
        <v>195</v>
      </c>
      <c r="I316">
        <v>6.95</v>
      </c>
      <c r="J316">
        <v>4.58</v>
      </c>
      <c r="K316">
        <v>1.46</v>
      </c>
    </row>
    <row r="317" spans="1:11" x14ac:dyDescent="0.25">
      <c r="A317" t="str">
        <f>COUNTIF($D$2:D317,D317)&amp;D317</f>
        <v>9Elche</v>
      </c>
      <c r="B317" t="str">
        <f>COUNTIF($E$2:E317,E317)&amp;E317</f>
        <v>9Amorebieta</v>
      </c>
      <c r="C317" s="21">
        <v>45256</v>
      </c>
      <c r="D317" s="89" t="s">
        <v>309</v>
      </c>
      <c r="E317" s="89" t="s">
        <v>308</v>
      </c>
      <c r="F317">
        <v>2</v>
      </c>
      <c r="G317">
        <v>0</v>
      </c>
      <c r="H317" s="89" t="s">
        <v>194</v>
      </c>
      <c r="I317">
        <v>1.4</v>
      </c>
      <c r="J317">
        <v>4.3099999999999996</v>
      </c>
      <c r="K317">
        <v>8.15</v>
      </c>
    </row>
    <row r="318" spans="1:11" x14ac:dyDescent="0.25">
      <c r="A318" t="str">
        <f>COUNTIF($D$2:D318,D318)&amp;D318</f>
        <v>9Espanyol</v>
      </c>
      <c r="B318" t="str">
        <f>COUNTIF($E$2:E318,E318)&amp;E318</f>
        <v>9Alcorcon</v>
      </c>
      <c r="C318" s="21">
        <v>45256</v>
      </c>
      <c r="D318" s="89" t="s">
        <v>291</v>
      </c>
      <c r="E318" s="89" t="s">
        <v>311</v>
      </c>
      <c r="F318">
        <v>2</v>
      </c>
      <c r="G318">
        <v>0</v>
      </c>
      <c r="H318" s="89" t="s">
        <v>194</v>
      </c>
      <c r="I318">
        <v>1.43</v>
      </c>
      <c r="J318">
        <v>4.32</v>
      </c>
      <c r="K318">
        <v>7.09</v>
      </c>
    </row>
    <row r="319" spans="1:11" x14ac:dyDescent="0.25">
      <c r="A319" t="str">
        <f>COUNTIF($D$2:D319,D319)&amp;D319</f>
        <v>9Leganes</v>
      </c>
      <c r="B319" t="str">
        <f>COUNTIF($E$2:E319,E319)&amp;E319</f>
        <v>9Racing Ferrol</v>
      </c>
      <c r="C319" s="21">
        <v>45256</v>
      </c>
      <c r="D319" s="89" t="s">
        <v>292</v>
      </c>
      <c r="E319" s="89" t="s">
        <v>300</v>
      </c>
      <c r="F319">
        <v>2</v>
      </c>
      <c r="G319">
        <v>2</v>
      </c>
      <c r="H319" s="89" t="s">
        <v>2</v>
      </c>
      <c r="I319">
        <v>1.96</v>
      </c>
      <c r="J319">
        <v>2.98</v>
      </c>
      <c r="K319">
        <v>4.43</v>
      </c>
    </row>
    <row r="320" spans="1:11" x14ac:dyDescent="0.25">
      <c r="A320" t="str">
        <f>COUNTIF($D$2:D320,D320)&amp;D320</f>
        <v>9Mirandes</v>
      </c>
      <c r="B320" t="str">
        <f>COUNTIF($E$2:E320,E320)&amp;E320</f>
        <v>9Real Oviedo</v>
      </c>
      <c r="C320" s="21">
        <v>45256</v>
      </c>
      <c r="D320" s="89" t="s">
        <v>306</v>
      </c>
      <c r="E320" s="89" t="s">
        <v>305</v>
      </c>
      <c r="F320">
        <v>2</v>
      </c>
      <c r="G320">
        <v>1</v>
      </c>
      <c r="H320" s="89" t="s">
        <v>194</v>
      </c>
      <c r="I320">
        <v>3.17</v>
      </c>
      <c r="J320">
        <v>2.76</v>
      </c>
      <c r="K320">
        <v>2.52</v>
      </c>
    </row>
    <row r="321" spans="1:11" x14ac:dyDescent="0.25">
      <c r="A321" t="str">
        <f>COUNTIF($D$2:D321,D321)&amp;D321</f>
        <v>7Real Betis</v>
      </c>
      <c r="B321" t="str">
        <f>COUNTIF($E$2:E321,E321)&amp;E321</f>
        <v>8Las Palmas</v>
      </c>
      <c r="C321" s="21">
        <v>45256</v>
      </c>
      <c r="D321" s="89" t="s">
        <v>278</v>
      </c>
      <c r="E321" s="89" t="s">
        <v>286</v>
      </c>
      <c r="F321">
        <v>1</v>
      </c>
      <c r="G321">
        <v>0</v>
      </c>
      <c r="H321" s="89" t="s">
        <v>194</v>
      </c>
      <c r="I321">
        <v>1.69</v>
      </c>
      <c r="J321">
        <v>3.72</v>
      </c>
      <c r="K321">
        <v>5.43</v>
      </c>
    </row>
    <row r="322" spans="1:11" x14ac:dyDescent="0.25">
      <c r="A322" t="str">
        <f>COUNTIF($D$2:D322,D322)&amp;D322</f>
        <v>8Real Sociedad</v>
      </c>
      <c r="B322" t="str">
        <f>COUNTIF($E$2:E322,E322)&amp;E322</f>
        <v>6Sevilla FC</v>
      </c>
      <c r="C322" s="21">
        <v>45256</v>
      </c>
      <c r="D322" s="89" t="s">
        <v>276</v>
      </c>
      <c r="E322" s="89" t="s">
        <v>283</v>
      </c>
      <c r="F322">
        <v>2</v>
      </c>
      <c r="G322">
        <v>1</v>
      </c>
      <c r="H322" s="89" t="s">
        <v>194</v>
      </c>
      <c r="I322">
        <v>1.64</v>
      </c>
      <c r="J322">
        <v>3.81</v>
      </c>
      <c r="K322">
        <v>5.72</v>
      </c>
    </row>
    <row r="323" spans="1:11" x14ac:dyDescent="0.25">
      <c r="A323" t="str">
        <f>COUNTIF($D$2:D323,D323)&amp;D323</f>
        <v>9Tenerife</v>
      </c>
      <c r="B323" t="str">
        <f>COUNTIF($E$2:E323,E323)&amp;E323</f>
        <v>9Cartagena</v>
      </c>
      <c r="C323" s="21">
        <v>45256</v>
      </c>
      <c r="D323" s="89" t="s">
        <v>295</v>
      </c>
      <c r="E323" s="89" t="s">
        <v>312</v>
      </c>
      <c r="F323">
        <v>1</v>
      </c>
      <c r="G323">
        <v>1</v>
      </c>
      <c r="H323" s="89" t="s">
        <v>2</v>
      </c>
      <c r="I323">
        <v>1.81</v>
      </c>
      <c r="J323">
        <v>3.11</v>
      </c>
      <c r="K323">
        <v>4.95</v>
      </c>
    </row>
    <row r="324" spans="1:11" x14ac:dyDescent="0.25">
      <c r="A324" t="str">
        <f>COUNTIF($D$2:D324,D324)&amp;D324</f>
        <v>8Villarreal</v>
      </c>
      <c r="B324" t="str">
        <f>COUNTIF($E$2:E324,E324)&amp;E324</f>
        <v>7Osasuna</v>
      </c>
      <c r="C324" s="21">
        <v>45256</v>
      </c>
      <c r="D324" s="89" t="s">
        <v>285</v>
      </c>
      <c r="E324" s="89" t="s">
        <v>280</v>
      </c>
      <c r="F324">
        <v>3</v>
      </c>
      <c r="G324">
        <v>1</v>
      </c>
      <c r="H324" s="89" t="s">
        <v>194</v>
      </c>
      <c r="I324">
        <v>2.15</v>
      </c>
      <c r="J324">
        <v>3.46</v>
      </c>
      <c r="K324">
        <v>3.44</v>
      </c>
    </row>
    <row r="325" spans="1:11" x14ac:dyDescent="0.25">
      <c r="A325" t="str">
        <f>COUNTIF($D$2:D325,D325)&amp;D325</f>
        <v>8Sporting Gijon</v>
      </c>
      <c r="B325" t="str">
        <f>COUNTIF($E$2:E325,E325)&amp;E325</f>
        <v>9Eldense</v>
      </c>
      <c r="C325" s="21">
        <v>45257</v>
      </c>
      <c r="D325" s="89" t="s">
        <v>296</v>
      </c>
      <c r="E325" s="89" t="s">
        <v>303</v>
      </c>
      <c r="F325">
        <v>2</v>
      </c>
      <c r="G325">
        <v>0</v>
      </c>
      <c r="H325" s="89" t="s">
        <v>194</v>
      </c>
      <c r="I325">
        <v>1.8</v>
      </c>
      <c r="J325">
        <v>3.36</v>
      </c>
      <c r="K325">
        <v>4.49</v>
      </c>
    </row>
    <row r="326" spans="1:11" x14ac:dyDescent="0.25">
      <c r="A326" t="str">
        <f>COUNTIF($D$2:D326,D326)&amp;D326</f>
        <v>7Girona</v>
      </c>
      <c r="B326" t="str">
        <f>COUNTIF($E$2:E326,E326)&amp;E326</f>
        <v>7Athletic Bilbao</v>
      </c>
      <c r="C326" s="21">
        <v>45257</v>
      </c>
      <c r="D326" s="89" t="s">
        <v>272</v>
      </c>
      <c r="E326" s="89" t="s">
        <v>274</v>
      </c>
      <c r="F326">
        <v>1</v>
      </c>
      <c r="G326">
        <v>1</v>
      </c>
      <c r="H326" s="89" t="s">
        <v>2</v>
      </c>
      <c r="I326">
        <v>2.23</v>
      </c>
      <c r="J326">
        <v>3.61</v>
      </c>
      <c r="K326">
        <v>3.11</v>
      </c>
    </row>
    <row r="327" spans="1:11" x14ac:dyDescent="0.25">
      <c r="A327" t="str">
        <f>COUNTIF($D$2:D327,D327)&amp;D327</f>
        <v>6Mallorca</v>
      </c>
      <c r="B327" t="str">
        <f>COUNTIF($E$2:E327,E327)&amp;E327</f>
        <v>7Cadiz</v>
      </c>
      <c r="C327" s="21">
        <v>45259</v>
      </c>
      <c r="D327" s="89" t="s">
        <v>284</v>
      </c>
      <c r="E327" s="89" t="s">
        <v>282</v>
      </c>
      <c r="F327">
        <v>1</v>
      </c>
      <c r="G327">
        <v>1</v>
      </c>
      <c r="H327" s="89" t="s">
        <v>2</v>
      </c>
      <c r="I327">
        <v>1.88</v>
      </c>
      <c r="J327">
        <v>3.27</v>
      </c>
      <c r="K327">
        <v>4.79</v>
      </c>
    </row>
    <row r="328" spans="1:11" x14ac:dyDescent="0.25">
      <c r="A328" t="str">
        <f>COUNTIF($D$2:D328,D328)&amp;D328</f>
        <v>7Las Palmas</v>
      </c>
      <c r="B328" t="str">
        <f>COUNTIF($E$2:E328,E328)&amp;E328</f>
        <v>8Getafe</v>
      </c>
      <c r="C328" s="21">
        <v>45261</v>
      </c>
      <c r="D328" s="89" t="s">
        <v>286</v>
      </c>
      <c r="E328" s="89" t="s">
        <v>281</v>
      </c>
      <c r="F328">
        <v>2</v>
      </c>
      <c r="G328">
        <v>0</v>
      </c>
      <c r="H328" s="89" t="s">
        <v>194</v>
      </c>
      <c r="I328">
        <v>2.41</v>
      </c>
      <c r="J328">
        <v>2.92</v>
      </c>
      <c r="K328">
        <v>3.45</v>
      </c>
    </row>
    <row r="329" spans="1:11" x14ac:dyDescent="0.25">
      <c r="A329" t="str">
        <f>COUNTIF($D$2:D329,D329)&amp;D329</f>
        <v>9Real Oviedo</v>
      </c>
      <c r="B329" t="str">
        <f>COUNTIF($E$2:E329,E329)&amp;E329</f>
        <v>9Espanyol</v>
      </c>
      <c r="C329" s="21">
        <v>45261</v>
      </c>
      <c r="D329" s="89" t="s">
        <v>305</v>
      </c>
      <c r="E329" s="89" t="s">
        <v>291</v>
      </c>
      <c r="F329">
        <v>2</v>
      </c>
      <c r="G329">
        <v>0</v>
      </c>
      <c r="H329" s="89" t="s">
        <v>194</v>
      </c>
      <c r="I329">
        <v>2.72</v>
      </c>
      <c r="J329">
        <v>2.82</v>
      </c>
      <c r="K329">
        <v>2.85</v>
      </c>
    </row>
    <row r="330" spans="1:11" x14ac:dyDescent="0.25">
      <c r="A330" t="str">
        <f>COUNTIF($D$2:D330,D330)&amp;D330</f>
        <v>8Athletic Bilbao</v>
      </c>
      <c r="B330" t="str">
        <f>COUNTIF($E$2:E330,E330)&amp;E330</f>
        <v>8Rayo Vallecano</v>
      </c>
      <c r="C330" s="21">
        <v>45262</v>
      </c>
      <c r="D330" s="89" t="s">
        <v>274</v>
      </c>
      <c r="E330" s="89" t="s">
        <v>277</v>
      </c>
      <c r="F330">
        <v>4</v>
      </c>
      <c r="G330">
        <v>0</v>
      </c>
      <c r="H330" s="89" t="s">
        <v>194</v>
      </c>
      <c r="I330">
        <v>1.45</v>
      </c>
      <c r="J330">
        <v>4.67</v>
      </c>
      <c r="K330">
        <v>7.07</v>
      </c>
    </row>
    <row r="331" spans="1:11" x14ac:dyDescent="0.25">
      <c r="A331" t="str">
        <f>COUNTIF($D$2:D331,D331)&amp;D331</f>
        <v>9Eldense</v>
      </c>
      <c r="B331" t="str">
        <f>COUNTIF($E$2:E331,E331)&amp;E331</f>
        <v>9Tenerife</v>
      </c>
      <c r="C331" s="21">
        <v>45262</v>
      </c>
      <c r="D331" s="89" t="s">
        <v>303</v>
      </c>
      <c r="E331" s="89" t="s">
        <v>295</v>
      </c>
      <c r="F331">
        <v>0</v>
      </c>
      <c r="G331">
        <v>3</v>
      </c>
      <c r="H331" s="89" t="s">
        <v>195</v>
      </c>
      <c r="I331">
        <v>2.35</v>
      </c>
      <c r="J331">
        <v>2.86</v>
      </c>
      <c r="K331">
        <v>3.36</v>
      </c>
    </row>
    <row r="332" spans="1:11" x14ac:dyDescent="0.25">
      <c r="A332" t="str">
        <f>COUNTIF($D$2:D332,D332)&amp;D332</f>
        <v>9Cartagena</v>
      </c>
      <c r="B332" t="str">
        <f>COUNTIF($E$2:E332,E332)&amp;E332</f>
        <v>10Sporting Gijon</v>
      </c>
      <c r="C332" s="21">
        <v>45262</v>
      </c>
      <c r="D332" s="89" t="s">
        <v>312</v>
      </c>
      <c r="E332" s="89" t="s">
        <v>296</v>
      </c>
      <c r="F332">
        <v>1</v>
      </c>
      <c r="G332">
        <v>0</v>
      </c>
      <c r="H332" s="89" t="s">
        <v>194</v>
      </c>
      <c r="I332">
        <v>3.05</v>
      </c>
      <c r="J332">
        <v>3.06</v>
      </c>
      <c r="K332">
        <v>2.39</v>
      </c>
    </row>
    <row r="333" spans="1:11" x14ac:dyDescent="0.25">
      <c r="A333" t="str">
        <f>COUNTIF($D$2:D333,D333)&amp;D333</f>
        <v>8Girona</v>
      </c>
      <c r="B333" t="str">
        <f>COUNTIF($E$2:E333,E333)&amp;E333</f>
        <v>8Valencia</v>
      </c>
      <c r="C333" s="21">
        <v>45262</v>
      </c>
      <c r="D333" s="89" t="s">
        <v>272</v>
      </c>
      <c r="E333" s="89" t="s">
        <v>279</v>
      </c>
      <c r="F333">
        <v>2</v>
      </c>
      <c r="G333">
        <v>1</v>
      </c>
      <c r="H333" s="89" t="s">
        <v>194</v>
      </c>
      <c r="I333">
        <v>1.65</v>
      </c>
      <c r="J333">
        <v>3.97</v>
      </c>
      <c r="K333">
        <v>5.33</v>
      </c>
    </row>
    <row r="334" spans="1:11" x14ac:dyDescent="0.25">
      <c r="A334" t="str">
        <f>COUNTIF($D$2:D334,D334)&amp;D334</f>
        <v>9Levante</v>
      </c>
      <c r="B334" t="str">
        <f>COUNTIF($E$2:E334,E334)&amp;E334</f>
        <v>9Valladolid</v>
      </c>
      <c r="C334" s="21">
        <v>45262</v>
      </c>
      <c r="D334" s="89" t="s">
        <v>294</v>
      </c>
      <c r="E334" s="89" t="s">
        <v>297</v>
      </c>
      <c r="F334">
        <v>2</v>
      </c>
      <c r="G334">
        <v>1</v>
      </c>
      <c r="H334" s="89" t="s">
        <v>194</v>
      </c>
      <c r="I334">
        <v>2.5299999999999998</v>
      </c>
      <c r="J334">
        <v>3.13</v>
      </c>
      <c r="K334">
        <v>2.8</v>
      </c>
    </row>
    <row r="335" spans="1:11" x14ac:dyDescent="0.25">
      <c r="A335" t="str">
        <f>COUNTIF($D$2:D335,D335)&amp;D335</f>
        <v>8Osasuna</v>
      </c>
      <c r="B335" t="str">
        <f>COUNTIF($E$2:E335,E335)&amp;E335</f>
        <v>7Real Sociedad</v>
      </c>
      <c r="C335" s="21">
        <v>45262</v>
      </c>
      <c r="D335" s="89" t="s">
        <v>280</v>
      </c>
      <c r="E335" s="89" t="s">
        <v>276</v>
      </c>
      <c r="F335">
        <v>1</v>
      </c>
      <c r="G335">
        <v>1</v>
      </c>
      <c r="H335" s="89" t="s">
        <v>2</v>
      </c>
      <c r="I335">
        <v>3.85</v>
      </c>
      <c r="J335">
        <v>3.13</v>
      </c>
      <c r="K335">
        <v>2.12</v>
      </c>
    </row>
    <row r="336" spans="1:11" x14ac:dyDescent="0.25">
      <c r="A336" t="str">
        <f>COUNTIF($D$2:D336,D336)&amp;D336</f>
        <v>7Real Madrid</v>
      </c>
      <c r="B336" t="str">
        <f>COUNTIF($E$2:E336,E336)&amp;E336</f>
        <v>8Granada</v>
      </c>
      <c r="C336" s="21">
        <v>45262</v>
      </c>
      <c r="D336" s="89" t="s">
        <v>271</v>
      </c>
      <c r="E336" s="89" t="s">
        <v>289</v>
      </c>
      <c r="F336">
        <v>2</v>
      </c>
      <c r="G336">
        <v>0</v>
      </c>
      <c r="H336" s="89" t="s">
        <v>194</v>
      </c>
      <c r="I336">
        <v>1.1599999999999999</v>
      </c>
      <c r="J336">
        <v>7.92</v>
      </c>
      <c r="K336">
        <v>15.74</v>
      </c>
    </row>
    <row r="337" spans="1:11" x14ac:dyDescent="0.25">
      <c r="A337" t="str">
        <f>COUNTIF($D$2:D337,D337)&amp;D337</f>
        <v>10Real Zaragoza</v>
      </c>
      <c r="B337" t="str">
        <f>COUNTIF($E$2:E337,E337)&amp;E337</f>
        <v>9Leganes</v>
      </c>
      <c r="C337" s="21">
        <v>45262</v>
      </c>
      <c r="D337" s="89" t="s">
        <v>293</v>
      </c>
      <c r="E337" s="89" t="s">
        <v>292</v>
      </c>
      <c r="F337">
        <v>1</v>
      </c>
      <c r="G337">
        <v>0</v>
      </c>
      <c r="H337" s="89" t="s">
        <v>194</v>
      </c>
      <c r="I337">
        <v>2.48</v>
      </c>
      <c r="J337">
        <v>2.81</v>
      </c>
      <c r="K337">
        <v>3.17</v>
      </c>
    </row>
    <row r="338" spans="1:11" x14ac:dyDescent="0.25">
      <c r="A338" t="str">
        <f>COUNTIF($D$2:D338,D338)&amp;D338</f>
        <v>9Alcorcon</v>
      </c>
      <c r="B338" t="str">
        <f>COUNTIF($E$2:E338,E338)&amp;E338</f>
        <v>9Elche</v>
      </c>
      <c r="C338" s="21">
        <v>45263</v>
      </c>
      <c r="D338" s="89" t="s">
        <v>311</v>
      </c>
      <c r="E338" s="89" t="s">
        <v>309</v>
      </c>
      <c r="F338">
        <v>0</v>
      </c>
      <c r="G338">
        <v>2</v>
      </c>
      <c r="H338" s="89" t="s">
        <v>195</v>
      </c>
      <c r="I338">
        <v>3.19</v>
      </c>
      <c r="J338">
        <v>3.05</v>
      </c>
      <c r="K338">
        <v>2.31</v>
      </c>
    </row>
    <row r="339" spans="1:11" x14ac:dyDescent="0.25">
      <c r="A339" t="str">
        <f>COUNTIF($D$2:D339,D339)&amp;D339</f>
        <v>8Almeria</v>
      </c>
      <c r="B339" t="str">
        <f>COUNTIF($E$2:E339,E339)&amp;E339</f>
        <v>8Real Betis</v>
      </c>
      <c r="C339" s="21">
        <v>45263</v>
      </c>
      <c r="D339" s="89" t="s">
        <v>290</v>
      </c>
      <c r="E339" s="89" t="s">
        <v>278</v>
      </c>
      <c r="F339">
        <v>0</v>
      </c>
      <c r="G339">
        <v>0</v>
      </c>
      <c r="H339" s="89" t="s">
        <v>2</v>
      </c>
      <c r="I339">
        <v>3.51</v>
      </c>
      <c r="J339">
        <v>3.71</v>
      </c>
      <c r="K339">
        <v>2.0299999999999998</v>
      </c>
    </row>
    <row r="340" spans="1:11" x14ac:dyDescent="0.25">
      <c r="A340" t="str">
        <f>COUNTIF($D$2:D340,D340)&amp;D340</f>
        <v>9Amorebieta</v>
      </c>
      <c r="B340" t="str">
        <f>COUNTIF($E$2:E340,E340)&amp;E340</f>
        <v>9Burgos</v>
      </c>
      <c r="C340" s="21">
        <v>45263</v>
      </c>
      <c r="D340" s="89" t="s">
        <v>308</v>
      </c>
      <c r="E340" s="89" t="s">
        <v>302</v>
      </c>
      <c r="F340">
        <v>0</v>
      </c>
      <c r="G340">
        <v>1</v>
      </c>
      <c r="H340" s="89" t="s">
        <v>195</v>
      </c>
      <c r="I340">
        <v>3.04</v>
      </c>
      <c r="J340">
        <v>2.9</v>
      </c>
      <c r="K340">
        <v>2.4900000000000002</v>
      </c>
    </row>
    <row r="341" spans="1:11" x14ac:dyDescent="0.25">
      <c r="A341" t="str">
        <f>COUNTIF($D$2:D341,D341)&amp;D341</f>
        <v>9FC Andorra</v>
      </c>
      <c r="B341" t="str">
        <f>COUNTIF($E$2:E341,E341)&amp;E341</f>
        <v>9Huesca</v>
      </c>
      <c r="C341" s="21">
        <v>45263</v>
      </c>
      <c r="D341" s="89" t="s">
        <v>307</v>
      </c>
      <c r="E341" s="89" t="s">
        <v>310</v>
      </c>
      <c r="F341">
        <v>1</v>
      </c>
      <c r="G341">
        <v>0</v>
      </c>
      <c r="H341" s="89" t="s">
        <v>194</v>
      </c>
      <c r="I341">
        <v>2.0299999999999998</v>
      </c>
      <c r="J341">
        <v>2.99</v>
      </c>
      <c r="K341">
        <v>4.08</v>
      </c>
    </row>
    <row r="342" spans="1:11" x14ac:dyDescent="0.25">
      <c r="A342" t="str">
        <f>COUNTIF($D$2:D342,D342)&amp;D342</f>
        <v>8FC Barcelona</v>
      </c>
      <c r="B342" t="str">
        <f>COUNTIF($E$2:E342,E342)&amp;E342</f>
        <v>7Atletico Madrid</v>
      </c>
      <c r="C342" s="21">
        <v>45263</v>
      </c>
      <c r="D342" s="89" t="s">
        <v>273</v>
      </c>
      <c r="E342" s="89" t="s">
        <v>275</v>
      </c>
      <c r="F342">
        <v>1</v>
      </c>
      <c r="G342">
        <v>0</v>
      </c>
      <c r="H342" s="89" t="s">
        <v>194</v>
      </c>
      <c r="I342">
        <v>1.93</v>
      </c>
      <c r="J342">
        <v>3.79</v>
      </c>
      <c r="K342">
        <v>3.72</v>
      </c>
    </row>
    <row r="343" spans="1:11" x14ac:dyDescent="0.25">
      <c r="A343" t="str">
        <f>COUNTIF($D$2:D343,D343)&amp;D343</f>
        <v>7Mallorca</v>
      </c>
      <c r="B343" t="str">
        <f>COUNTIF($E$2:E343,E343)&amp;E343</f>
        <v>8Alaves</v>
      </c>
      <c r="C343" s="21">
        <v>45263</v>
      </c>
      <c r="D343" s="89" t="s">
        <v>284</v>
      </c>
      <c r="E343" s="89" t="s">
        <v>287</v>
      </c>
      <c r="F343">
        <v>0</v>
      </c>
      <c r="G343">
        <v>0</v>
      </c>
      <c r="H343" s="89" t="s">
        <v>2</v>
      </c>
      <c r="I343">
        <v>2.6</v>
      </c>
      <c r="J343">
        <v>2.9</v>
      </c>
      <c r="K343">
        <v>3.1</v>
      </c>
    </row>
    <row r="344" spans="1:11" x14ac:dyDescent="0.25">
      <c r="A344" t="str">
        <f>COUNTIF($D$2:D344,D344)&amp;D344</f>
        <v>10Mirandes</v>
      </c>
      <c r="B344" t="str">
        <f>COUNTIF($E$2:E344,E344)&amp;E344</f>
        <v>9Racing</v>
      </c>
      <c r="C344" s="21">
        <v>45263</v>
      </c>
      <c r="D344" s="89" t="s">
        <v>306</v>
      </c>
      <c r="E344" s="89" t="s">
        <v>299</v>
      </c>
      <c r="F344">
        <v>0</v>
      </c>
      <c r="G344">
        <v>0</v>
      </c>
      <c r="H344" s="89" t="s">
        <v>2</v>
      </c>
      <c r="I344">
        <v>2.35</v>
      </c>
      <c r="J344">
        <v>3.15</v>
      </c>
      <c r="K344">
        <v>3.04</v>
      </c>
    </row>
    <row r="345" spans="1:11" x14ac:dyDescent="0.25">
      <c r="A345" t="str">
        <f>COUNTIF($D$2:D345,D345)&amp;D345</f>
        <v>9Racing Ferrol</v>
      </c>
      <c r="B345" t="str">
        <f>COUNTIF($E$2:E345,E345)&amp;E345</f>
        <v>9Albacete</v>
      </c>
      <c r="C345" s="21">
        <v>45263</v>
      </c>
      <c r="D345" s="89" t="s">
        <v>300</v>
      </c>
      <c r="E345" s="89" t="s">
        <v>301</v>
      </c>
      <c r="F345">
        <v>5</v>
      </c>
      <c r="G345">
        <v>4</v>
      </c>
      <c r="H345" s="89" t="s">
        <v>194</v>
      </c>
      <c r="I345">
        <v>2.82</v>
      </c>
      <c r="J345">
        <v>2.94</v>
      </c>
      <c r="K345">
        <v>2.64</v>
      </c>
    </row>
    <row r="346" spans="1:11" x14ac:dyDescent="0.25">
      <c r="A346" t="str">
        <f>COUNTIF($D$2:D346,D346)&amp;D346</f>
        <v>8Sevilla FC</v>
      </c>
      <c r="B346" t="str">
        <f>COUNTIF($E$2:E346,E346)&amp;E346</f>
        <v>7Villarreal</v>
      </c>
      <c r="C346" s="21">
        <v>45263</v>
      </c>
      <c r="D346" s="89" t="s">
        <v>283</v>
      </c>
      <c r="E346" s="89" t="s">
        <v>285</v>
      </c>
      <c r="F346">
        <v>1</v>
      </c>
      <c r="G346">
        <v>1</v>
      </c>
      <c r="H346" s="89" t="s">
        <v>2</v>
      </c>
      <c r="I346">
        <v>1.96</v>
      </c>
      <c r="J346">
        <v>3.74</v>
      </c>
      <c r="K346">
        <v>3.7</v>
      </c>
    </row>
    <row r="347" spans="1:11" x14ac:dyDescent="0.25">
      <c r="A347" t="str">
        <f>COUNTIF($D$2:D347,D347)&amp;D347</f>
        <v>8Celta Vigo</v>
      </c>
      <c r="B347" t="str">
        <f>COUNTIF($E$2:E347,E347)&amp;E347</f>
        <v>8Cadiz</v>
      </c>
      <c r="C347" s="21">
        <v>45264</v>
      </c>
      <c r="D347" s="89" t="s">
        <v>288</v>
      </c>
      <c r="E347" s="89" t="s">
        <v>282</v>
      </c>
      <c r="F347">
        <v>1</v>
      </c>
      <c r="G347">
        <v>1</v>
      </c>
      <c r="H347" s="89" t="s">
        <v>2</v>
      </c>
      <c r="I347">
        <v>1.54</v>
      </c>
      <c r="J347">
        <v>4.1399999999999997</v>
      </c>
      <c r="K347">
        <v>6.35</v>
      </c>
    </row>
    <row r="348" spans="1:11" x14ac:dyDescent="0.25">
      <c r="A348" t="str">
        <f>COUNTIF($D$2:D348,D348)&amp;D348</f>
        <v>9Villarreal B</v>
      </c>
      <c r="B348" t="str">
        <f>COUNTIF($E$2:E348,E348)&amp;E348</f>
        <v>10Eibar</v>
      </c>
      <c r="C348" s="21">
        <v>45264</v>
      </c>
      <c r="D348" s="89" t="s">
        <v>304</v>
      </c>
      <c r="E348" s="89" t="s">
        <v>298</v>
      </c>
      <c r="F348">
        <v>1</v>
      </c>
      <c r="G348">
        <v>0</v>
      </c>
      <c r="H348" s="89" t="s">
        <v>194</v>
      </c>
      <c r="I348">
        <v>3.69</v>
      </c>
      <c r="J348">
        <v>3.36</v>
      </c>
      <c r="K348">
        <v>1.99</v>
      </c>
    </row>
    <row r="349" spans="1:11" x14ac:dyDescent="0.25">
      <c r="A349" t="str">
        <f>COUNTIF($D$2:D349,D349)&amp;D349</f>
        <v>10Albacete</v>
      </c>
      <c r="B349" t="str">
        <f>COUNTIF($E$2:E349,E349)&amp;E349</f>
        <v>10Villarreal B</v>
      </c>
      <c r="C349" s="21">
        <v>45268</v>
      </c>
      <c r="D349" s="89" t="s">
        <v>301</v>
      </c>
      <c r="E349" s="89" t="s">
        <v>304</v>
      </c>
      <c r="F349">
        <v>2</v>
      </c>
      <c r="G349">
        <v>0</v>
      </c>
      <c r="H349" s="89" t="s">
        <v>194</v>
      </c>
      <c r="I349">
        <v>1.5</v>
      </c>
      <c r="J349">
        <v>4.13</v>
      </c>
      <c r="K349">
        <v>6.07</v>
      </c>
    </row>
    <row r="350" spans="1:11" x14ac:dyDescent="0.25">
      <c r="A350" t="str">
        <f>COUNTIF($D$2:D350,D350)&amp;D350</f>
        <v>10Espanyol</v>
      </c>
      <c r="B350" t="str">
        <f>COUNTIF($E$2:E350,E350)&amp;E350</f>
        <v>9Real Zaragoza</v>
      </c>
      <c r="C350" s="21">
        <v>45268</v>
      </c>
      <c r="D350" s="89" t="s">
        <v>291</v>
      </c>
      <c r="E350" s="89" t="s">
        <v>293</v>
      </c>
      <c r="F350">
        <v>1</v>
      </c>
      <c r="G350">
        <v>1</v>
      </c>
      <c r="H350" s="89" t="s">
        <v>2</v>
      </c>
      <c r="I350">
        <v>1.8</v>
      </c>
      <c r="J350">
        <v>3.37</v>
      </c>
      <c r="K350">
        <v>4.62</v>
      </c>
    </row>
    <row r="351" spans="1:11" x14ac:dyDescent="0.25">
      <c r="A351" t="str">
        <f>COUNTIF($D$2:D351,D351)&amp;D351</f>
        <v>8Getafe</v>
      </c>
      <c r="B351" t="str">
        <f>COUNTIF($E$2:E351,E351)&amp;E351</f>
        <v>9Valencia</v>
      </c>
      <c r="C351" s="21">
        <v>45268</v>
      </c>
      <c r="D351" s="89" t="s">
        <v>281</v>
      </c>
      <c r="E351" s="89" t="s">
        <v>279</v>
      </c>
      <c r="F351">
        <v>1</v>
      </c>
      <c r="G351">
        <v>0</v>
      </c>
      <c r="H351" s="89" t="s">
        <v>194</v>
      </c>
      <c r="I351">
        <v>2.63</v>
      </c>
      <c r="J351">
        <v>2.89</v>
      </c>
      <c r="K351">
        <v>3.08</v>
      </c>
    </row>
    <row r="352" spans="1:11" x14ac:dyDescent="0.25">
      <c r="A352" t="str">
        <f>COUNTIF($D$2:D352,D352)&amp;D352</f>
        <v>8Alaves</v>
      </c>
      <c r="B352" t="str">
        <f>COUNTIF($E$2:E352,E352)&amp;E352</f>
        <v>9Las Palmas</v>
      </c>
      <c r="C352" s="21">
        <v>45269</v>
      </c>
      <c r="D352" s="89" t="s">
        <v>287</v>
      </c>
      <c r="E352" s="89" t="s">
        <v>286</v>
      </c>
      <c r="F352">
        <v>0</v>
      </c>
      <c r="G352">
        <v>1</v>
      </c>
      <c r="H352" s="89" t="s">
        <v>195</v>
      </c>
      <c r="I352">
        <v>2.04</v>
      </c>
      <c r="J352">
        <v>3.17</v>
      </c>
      <c r="K352">
        <v>4.1500000000000004</v>
      </c>
    </row>
    <row r="353" spans="1:11" x14ac:dyDescent="0.25">
      <c r="A353" t="str">
        <f>COUNTIF($D$2:D353,D353)&amp;D353</f>
        <v>8Atletico Madrid</v>
      </c>
      <c r="B353" t="str">
        <f>COUNTIF($E$2:E353,E353)&amp;E353</f>
        <v>8Almeria</v>
      </c>
      <c r="C353" s="21">
        <v>45269</v>
      </c>
      <c r="D353" s="89" t="s">
        <v>275</v>
      </c>
      <c r="E353" s="89" t="s">
        <v>290</v>
      </c>
      <c r="F353">
        <v>2</v>
      </c>
      <c r="G353">
        <v>1</v>
      </c>
      <c r="H353" s="89" t="s">
        <v>194</v>
      </c>
      <c r="I353">
        <v>1.19</v>
      </c>
      <c r="J353">
        <v>7.46</v>
      </c>
      <c r="K353">
        <v>13.54</v>
      </c>
    </row>
    <row r="354" spans="1:11" x14ac:dyDescent="0.25">
      <c r="A354" t="str">
        <f>COUNTIF($D$2:D354,D354)&amp;D354</f>
        <v>10Burgos</v>
      </c>
      <c r="B354" t="str">
        <f>COUNTIF($E$2:E354,E354)&amp;E354</f>
        <v>9Mirandes</v>
      </c>
      <c r="C354" s="21">
        <v>45269</v>
      </c>
      <c r="D354" s="89" t="s">
        <v>302</v>
      </c>
      <c r="E354" s="89" t="s">
        <v>306</v>
      </c>
      <c r="F354">
        <v>0</v>
      </c>
      <c r="G354">
        <v>0</v>
      </c>
      <c r="H354" s="89" t="s">
        <v>2</v>
      </c>
      <c r="I354">
        <v>1.96</v>
      </c>
      <c r="J354">
        <v>3.23</v>
      </c>
      <c r="K354">
        <v>3.96</v>
      </c>
    </row>
    <row r="355" spans="1:11" x14ac:dyDescent="0.25">
      <c r="A355" t="str">
        <f>COUNTIF($D$2:D355,D355)&amp;D355</f>
        <v>8Cadiz</v>
      </c>
      <c r="B355" t="str">
        <f>COUNTIF($E$2:E355,E355)&amp;E355</f>
        <v>8Osasuna</v>
      </c>
      <c r="C355" s="21">
        <v>45269</v>
      </c>
      <c r="D355" s="89" t="s">
        <v>282</v>
      </c>
      <c r="E355" s="89" t="s">
        <v>280</v>
      </c>
      <c r="F355">
        <v>1</v>
      </c>
      <c r="G355">
        <v>1</v>
      </c>
      <c r="H355" s="89" t="s">
        <v>2</v>
      </c>
      <c r="I355">
        <v>2.82</v>
      </c>
      <c r="J355">
        <v>3.06</v>
      </c>
      <c r="K355">
        <v>2.74</v>
      </c>
    </row>
    <row r="356" spans="1:11" x14ac:dyDescent="0.25">
      <c r="A356" t="str">
        <f>COUNTIF($D$2:D356,D356)&amp;D356</f>
        <v>9Eibar</v>
      </c>
      <c r="B356" t="str">
        <f>COUNTIF($E$2:E356,E356)&amp;E356</f>
        <v>10FC Andorra</v>
      </c>
      <c r="C356" s="21">
        <v>45269</v>
      </c>
      <c r="D356" s="89" t="s">
        <v>298</v>
      </c>
      <c r="E356" s="89" t="s">
        <v>307</v>
      </c>
      <c r="F356">
        <v>2</v>
      </c>
      <c r="G356">
        <v>2</v>
      </c>
      <c r="H356" s="89" t="s">
        <v>2</v>
      </c>
      <c r="I356">
        <v>1.65</v>
      </c>
      <c r="J356">
        <v>3.55</v>
      </c>
      <c r="K356">
        <v>5.48</v>
      </c>
    </row>
    <row r="357" spans="1:11" x14ac:dyDescent="0.25">
      <c r="A357" t="str">
        <f>COUNTIF($D$2:D357,D357)&amp;D357</f>
        <v>10Elche</v>
      </c>
      <c r="B357" t="str">
        <f>COUNTIF($E$2:E357,E357)&amp;E357</f>
        <v>10Cartagena</v>
      </c>
      <c r="C357" s="21">
        <v>45269</v>
      </c>
      <c r="D357" s="89" t="s">
        <v>309</v>
      </c>
      <c r="E357" s="89" t="s">
        <v>312</v>
      </c>
      <c r="F357">
        <v>1</v>
      </c>
      <c r="G357">
        <v>2</v>
      </c>
      <c r="H357" s="89" t="s">
        <v>195</v>
      </c>
      <c r="I357">
        <v>1.64</v>
      </c>
      <c r="J357">
        <v>3.65</v>
      </c>
      <c r="K357">
        <v>5.29</v>
      </c>
    </row>
    <row r="358" spans="1:11" x14ac:dyDescent="0.25">
      <c r="A358" t="str">
        <f>COUNTIF($D$2:D358,D358)&amp;D358</f>
        <v>9FC Barcelona</v>
      </c>
      <c r="B358" t="str">
        <f>COUNTIF($E$2:E358,E358)&amp;E358</f>
        <v>8Girona</v>
      </c>
      <c r="C358" s="21">
        <v>45269</v>
      </c>
      <c r="D358" s="89" t="s">
        <v>273</v>
      </c>
      <c r="E358" s="89" t="s">
        <v>272</v>
      </c>
      <c r="F358">
        <v>2</v>
      </c>
      <c r="G358">
        <v>4</v>
      </c>
      <c r="H358" s="89" t="s">
        <v>195</v>
      </c>
      <c r="I358">
        <v>1.47</v>
      </c>
      <c r="J358">
        <v>4.99</v>
      </c>
      <c r="K358">
        <v>5.89</v>
      </c>
    </row>
    <row r="359" spans="1:11" x14ac:dyDescent="0.25">
      <c r="A359" t="str">
        <f>COUNTIF($D$2:D359,D359)&amp;D359</f>
        <v>9Sporting Gijon</v>
      </c>
      <c r="B359" t="str">
        <f>COUNTIF($E$2:E359,E359)&amp;E359</f>
        <v>10Levante</v>
      </c>
      <c r="C359" s="21">
        <v>45269</v>
      </c>
      <c r="D359" s="89" t="s">
        <v>296</v>
      </c>
      <c r="E359" s="89" t="s">
        <v>294</v>
      </c>
      <c r="F359">
        <v>0</v>
      </c>
      <c r="G359">
        <v>0</v>
      </c>
      <c r="H359" s="89" t="s">
        <v>2</v>
      </c>
      <c r="I359">
        <v>2</v>
      </c>
      <c r="J359">
        <v>3.28</v>
      </c>
      <c r="K359">
        <v>3.75</v>
      </c>
    </row>
    <row r="360" spans="1:11" x14ac:dyDescent="0.25">
      <c r="A360" t="str">
        <f>COUNTIF($D$2:D360,D360)&amp;D360</f>
        <v>10Huesca</v>
      </c>
      <c r="B360" t="str">
        <f>COUNTIF($E$2:E360,E360)&amp;E360</f>
        <v>10Racing Ferrol</v>
      </c>
      <c r="C360" s="21">
        <v>45269</v>
      </c>
      <c r="D360" s="89" t="s">
        <v>310</v>
      </c>
      <c r="E360" s="89" t="s">
        <v>300</v>
      </c>
      <c r="F360">
        <v>1</v>
      </c>
      <c r="G360">
        <v>0</v>
      </c>
      <c r="H360" s="89" t="s">
        <v>194</v>
      </c>
      <c r="I360">
        <v>2.19</v>
      </c>
      <c r="J360">
        <v>2.87</v>
      </c>
      <c r="K360">
        <v>3.74</v>
      </c>
    </row>
    <row r="361" spans="1:11" x14ac:dyDescent="0.25">
      <c r="A361" t="str">
        <f>COUNTIF($D$2:D361,D361)&amp;D361</f>
        <v>10Leganes</v>
      </c>
      <c r="B361" t="str">
        <f>COUNTIF($E$2:E361,E361)&amp;E361</f>
        <v>10Eldense</v>
      </c>
      <c r="C361" s="21">
        <v>45269</v>
      </c>
      <c r="D361" s="89" t="s">
        <v>292</v>
      </c>
      <c r="E361" s="89" t="s">
        <v>303</v>
      </c>
      <c r="F361">
        <v>1</v>
      </c>
      <c r="G361">
        <v>1</v>
      </c>
      <c r="H361" s="89" t="s">
        <v>2</v>
      </c>
      <c r="I361">
        <v>1.78</v>
      </c>
      <c r="J361">
        <v>3.19</v>
      </c>
      <c r="K361">
        <v>5.15</v>
      </c>
    </row>
    <row r="362" spans="1:11" x14ac:dyDescent="0.25">
      <c r="A362" t="str">
        <f>COUNTIF($D$2:D362,D362)&amp;D362</f>
        <v>8Mallorca</v>
      </c>
      <c r="B362" t="str">
        <f>COUNTIF($E$2:E362,E362)&amp;E362</f>
        <v>7Sevilla FC</v>
      </c>
      <c r="C362" s="21">
        <v>45269</v>
      </c>
      <c r="D362" s="89" t="s">
        <v>284</v>
      </c>
      <c r="E362" s="89" t="s">
        <v>283</v>
      </c>
      <c r="F362">
        <v>1</v>
      </c>
      <c r="G362">
        <v>0</v>
      </c>
      <c r="H362" s="89" t="s">
        <v>194</v>
      </c>
      <c r="I362">
        <v>2.61</v>
      </c>
      <c r="J362">
        <v>2.99</v>
      </c>
      <c r="K362">
        <v>3.01</v>
      </c>
    </row>
    <row r="363" spans="1:11" x14ac:dyDescent="0.25">
      <c r="A363" t="str">
        <f>COUNTIF($D$2:D363,D363)&amp;D363</f>
        <v>10Racing</v>
      </c>
      <c r="B363" t="str">
        <f>COUNTIF($E$2:E363,E363)&amp;E363</f>
        <v>10Real Oviedo</v>
      </c>
      <c r="C363" s="21">
        <v>45269</v>
      </c>
      <c r="D363" s="89" t="s">
        <v>299</v>
      </c>
      <c r="E363" s="89" t="s">
        <v>305</v>
      </c>
      <c r="F363">
        <v>2</v>
      </c>
      <c r="G363">
        <v>2</v>
      </c>
      <c r="H363" s="89" t="s">
        <v>2</v>
      </c>
      <c r="I363">
        <v>2.38</v>
      </c>
      <c r="J363">
        <v>2.96</v>
      </c>
      <c r="K363">
        <v>3.18</v>
      </c>
    </row>
    <row r="364" spans="1:11" x14ac:dyDescent="0.25">
      <c r="A364" t="str">
        <f>COUNTIF($D$2:D364,D364)&amp;D364</f>
        <v>8Real Betis</v>
      </c>
      <c r="B364" t="str">
        <f>COUNTIF($E$2:E364,E364)&amp;E364</f>
        <v>9Real Madrid</v>
      </c>
      <c r="C364" s="21">
        <v>45269</v>
      </c>
      <c r="D364" s="89" t="s">
        <v>278</v>
      </c>
      <c r="E364" s="89" t="s">
        <v>271</v>
      </c>
      <c r="F364">
        <v>1</v>
      </c>
      <c r="G364">
        <v>1</v>
      </c>
      <c r="H364" s="89" t="s">
        <v>2</v>
      </c>
      <c r="I364">
        <v>4.63</v>
      </c>
      <c r="J364">
        <v>4.01</v>
      </c>
      <c r="K364">
        <v>1.72</v>
      </c>
    </row>
    <row r="365" spans="1:11" x14ac:dyDescent="0.25">
      <c r="A365" t="str">
        <f>COUNTIF($D$2:D365,D365)&amp;D365</f>
        <v>10Valladolid</v>
      </c>
      <c r="B365" t="str">
        <f>COUNTIF($E$2:E365,E365)&amp;E365</f>
        <v>10Amorebieta</v>
      </c>
      <c r="C365" s="21">
        <v>45269</v>
      </c>
      <c r="D365" s="89" t="s">
        <v>297</v>
      </c>
      <c r="E365" s="89" t="s">
        <v>308</v>
      </c>
      <c r="F365">
        <v>2</v>
      </c>
      <c r="G365">
        <v>1</v>
      </c>
      <c r="H365" s="89" t="s">
        <v>194</v>
      </c>
      <c r="I365">
        <v>1.52</v>
      </c>
      <c r="J365">
        <v>3.92</v>
      </c>
      <c r="K365">
        <v>6.3</v>
      </c>
    </row>
    <row r="366" spans="1:11" x14ac:dyDescent="0.25">
      <c r="A366" t="str">
        <f>COUNTIF($D$2:D366,D366)&amp;D366</f>
        <v>9Villarreal</v>
      </c>
      <c r="B366" t="str">
        <f>COUNTIF($E$2:E366,E366)&amp;E366</f>
        <v>8Real Sociedad</v>
      </c>
      <c r="C366" s="21">
        <v>45269</v>
      </c>
      <c r="D366" s="89" t="s">
        <v>285</v>
      </c>
      <c r="E366" s="89" t="s">
        <v>276</v>
      </c>
      <c r="F366">
        <v>0</v>
      </c>
      <c r="G366">
        <v>3</v>
      </c>
      <c r="H366" s="89" t="s">
        <v>195</v>
      </c>
      <c r="I366">
        <v>3.35</v>
      </c>
      <c r="J366">
        <v>3.43</v>
      </c>
      <c r="K366">
        <v>2.19</v>
      </c>
    </row>
    <row r="367" spans="1:11" x14ac:dyDescent="0.25">
      <c r="A367" t="str">
        <f>COUNTIF($D$2:D522,D522)&amp;D522</f>
        <v>0</v>
      </c>
      <c r="B367" t="str">
        <f>COUNTIF($E$2:E522,E522)&amp;E522</f>
        <v>0</v>
      </c>
    </row>
    <row r="368" spans="1:11" x14ac:dyDescent="0.25">
      <c r="A368" t="str">
        <f>COUNTIF($D$2:D523,D523)&amp;D523</f>
        <v>0</v>
      </c>
      <c r="B368" t="str">
        <f>COUNTIF($E$2:E523,E523)&amp;E523</f>
        <v>0</v>
      </c>
    </row>
    <row r="369" spans="1:2" x14ac:dyDescent="0.25">
      <c r="A369" t="str">
        <f>COUNTIF($D$2:D524,D524)&amp;D524</f>
        <v>0</v>
      </c>
      <c r="B369" t="str">
        <f>COUNTIF($E$2:E524,E524)&amp;E524</f>
        <v>0</v>
      </c>
    </row>
    <row r="370" spans="1:2" x14ac:dyDescent="0.25">
      <c r="A370" t="str">
        <f>COUNTIF($D$2:D525,D525)&amp;D525</f>
        <v>0</v>
      </c>
      <c r="B370" t="str">
        <f>COUNTIF($E$2:E525,E525)&amp;E525</f>
        <v>0</v>
      </c>
    </row>
    <row r="371" spans="1:2" x14ac:dyDescent="0.25">
      <c r="A371" t="str">
        <f>COUNTIF($D$2:D526,D526)&amp;D526</f>
        <v>0</v>
      </c>
      <c r="B371" t="str">
        <f>COUNTIF($E$2:E526,E526)&amp;E526</f>
        <v>0</v>
      </c>
    </row>
    <row r="372" spans="1:2" x14ac:dyDescent="0.25">
      <c r="A372" t="str">
        <f>COUNTIF($D$2:D527,D527)&amp;D527</f>
        <v>0</v>
      </c>
      <c r="B372" t="str">
        <f>COUNTIF($E$2:E527,E527)&amp;E527</f>
        <v>0</v>
      </c>
    </row>
    <row r="373" spans="1:2" x14ac:dyDescent="0.25">
      <c r="A373" t="str">
        <f>COUNTIF($D$2:D528,D528)&amp;D528</f>
        <v>0</v>
      </c>
      <c r="B373" t="str">
        <f>COUNTIF($E$2:E528,E528)&amp;E528</f>
        <v>0</v>
      </c>
    </row>
    <row r="374" spans="1:2" x14ac:dyDescent="0.25">
      <c r="A374" t="str">
        <f>COUNTIF($D$2:D529,D529)&amp;D529</f>
        <v>0</v>
      </c>
      <c r="B374" t="str">
        <f>COUNTIF($E$2:E529,E529)&amp;E529</f>
        <v>0</v>
      </c>
    </row>
    <row r="375" spans="1:2" x14ac:dyDescent="0.25">
      <c r="A375" t="str">
        <f>COUNTIF($D$2:D530,D530)&amp;D530</f>
        <v>0</v>
      </c>
      <c r="B375" t="str">
        <f>COUNTIF($E$2:E530,E530)&amp;E530</f>
        <v>0</v>
      </c>
    </row>
    <row r="376" spans="1:2" x14ac:dyDescent="0.25">
      <c r="A376" t="str">
        <f>COUNTIF($D$2:D531,D531)&amp;D531</f>
        <v>0</v>
      </c>
      <c r="B376" t="str">
        <f>COUNTIF($E$2:E531,E531)&amp;E531</f>
        <v>0</v>
      </c>
    </row>
    <row r="377" spans="1:2" x14ac:dyDescent="0.25">
      <c r="A377" t="str">
        <f>COUNTIF($D$2:D532,D532)&amp;D532</f>
        <v>0</v>
      </c>
      <c r="B377" t="str">
        <f>COUNTIF($E$2:E532,E532)&amp;E532</f>
        <v>0</v>
      </c>
    </row>
    <row r="378" spans="1:2" x14ac:dyDescent="0.25">
      <c r="A378" t="str">
        <f>COUNTIF($D$2:D533,D533)&amp;D533</f>
        <v>0</v>
      </c>
      <c r="B378" t="str">
        <f>COUNTIF($E$2:E533,E533)&amp;E533</f>
        <v>0</v>
      </c>
    </row>
    <row r="379" spans="1:2" x14ac:dyDescent="0.25">
      <c r="A379" t="str">
        <f>COUNTIF($D$2:D534,D534)&amp;D534</f>
        <v>0</v>
      </c>
      <c r="B379" t="str">
        <f>COUNTIF($E$2:E534,E534)&amp;E534</f>
        <v>0</v>
      </c>
    </row>
    <row r="380" spans="1:2" x14ac:dyDescent="0.25">
      <c r="A380" t="str">
        <f>COUNTIF($D$2:D535,D535)&amp;D535</f>
        <v>0</v>
      </c>
      <c r="B380" t="str">
        <f>COUNTIF($E$2:E535,E535)&amp;E535</f>
        <v>0</v>
      </c>
    </row>
    <row r="381" spans="1:2" x14ac:dyDescent="0.25">
      <c r="A381" t="str">
        <f>COUNTIF($D$2:D536,D536)&amp;D536</f>
        <v>0</v>
      </c>
      <c r="B381" t="str">
        <f>COUNTIF($E$2:E536,E536)&amp;E536</f>
        <v>0</v>
      </c>
    </row>
    <row r="382" spans="1:2" x14ac:dyDescent="0.25">
      <c r="A382" t="str">
        <f>COUNTIF($D$2:D537,D537)&amp;D537</f>
        <v>0</v>
      </c>
      <c r="B382" t="str">
        <f>COUNTIF($E$2:E537,E537)&amp;E537</f>
        <v>0</v>
      </c>
    </row>
    <row r="383" spans="1:2" x14ac:dyDescent="0.25">
      <c r="A383" t="str">
        <f>COUNTIF($D$2:D538,D538)&amp;D538</f>
        <v>0</v>
      </c>
      <c r="B383" t="str">
        <f>COUNTIF($E$2:E538,E538)&amp;E538</f>
        <v>0</v>
      </c>
    </row>
    <row r="384" spans="1:2" x14ac:dyDescent="0.25">
      <c r="A384" t="str">
        <f>COUNTIF($D$2:D539,D539)&amp;D539</f>
        <v>0</v>
      </c>
      <c r="B384" t="str">
        <f>COUNTIF($E$2:E539,E539)&amp;E539</f>
        <v>0</v>
      </c>
    </row>
    <row r="385" spans="1:2" x14ac:dyDescent="0.25">
      <c r="A385" t="str">
        <f>COUNTIF($D$2:D540,D540)&amp;D540</f>
        <v>0</v>
      </c>
      <c r="B385" t="str">
        <f>COUNTIF($E$2:E540,E540)&amp;E540</f>
        <v>0</v>
      </c>
    </row>
    <row r="386" spans="1:2" x14ac:dyDescent="0.25">
      <c r="A386" t="str">
        <f>COUNTIF($D$2:D541,D541)&amp;D541</f>
        <v>0</v>
      </c>
      <c r="B386" t="str">
        <f>COUNTIF($E$2:E541,E541)&amp;E541</f>
        <v>0</v>
      </c>
    </row>
    <row r="387" spans="1:2" x14ac:dyDescent="0.25">
      <c r="A387" t="str">
        <f>COUNTIF($D$2:D542,D542)&amp;D542</f>
        <v>0</v>
      </c>
      <c r="B387" t="str">
        <f>COUNTIF($E$2:E542,E542)&amp;E542</f>
        <v>0</v>
      </c>
    </row>
    <row r="388" spans="1:2" x14ac:dyDescent="0.25">
      <c r="A388" t="str">
        <f>COUNTIF($D$2:D543,D543)&amp;D543</f>
        <v>0</v>
      </c>
      <c r="B388" t="str">
        <f>COUNTIF($E$2:E543,E543)&amp;E543</f>
        <v>0</v>
      </c>
    </row>
    <row r="389" spans="1:2" x14ac:dyDescent="0.25">
      <c r="A389" t="str">
        <f>COUNTIF($D$2:D544,D544)&amp;D544</f>
        <v>0</v>
      </c>
      <c r="B389" t="str">
        <f>COUNTIF($E$2:E544,E544)&amp;E544</f>
        <v>0</v>
      </c>
    </row>
    <row r="390" spans="1:2" x14ac:dyDescent="0.25">
      <c r="A390" t="str">
        <f>COUNTIF($D$2:D545,D545)&amp;D545</f>
        <v>0</v>
      </c>
      <c r="B390" t="str">
        <f>COUNTIF($E$2:E545,E545)&amp;E545</f>
        <v>0</v>
      </c>
    </row>
    <row r="391" spans="1:2" x14ac:dyDescent="0.25">
      <c r="A391" t="str">
        <f>COUNTIF($D$2:D546,D546)&amp;D546</f>
        <v>0</v>
      </c>
      <c r="B391" t="str">
        <f>COUNTIF($E$2:E546,E546)&amp;E546</f>
        <v>0</v>
      </c>
    </row>
    <row r="392" spans="1:2" x14ac:dyDescent="0.25">
      <c r="A392" t="str">
        <f>COUNTIF($D$2:D547,D547)&amp;D547</f>
        <v>0</v>
      </c>
      <c r="B392" t="str">
        <f>COUNTIF($E$2:E547,E547)&amp;E547</f>
        <v>0</v>
      </c>
    </row>
    <row r="393" spans="1:2" x14ac:dyDescent="0.25">
      <c r="A393" t="str">
        <f>COUNTIF($D$2:D548,D548)&amp;D548</f>
        <v>0</v>
      </c>
      <c r="B393" t="str">
        <f>COUNTIF($E$2:E548,E548)&amp;E548</f>
        <v>0</v>
      </c>
    </row>
    <row r="394" spans="1:2" x14ac:dyDescent="0.25">
      <c r="A394" t="str">
        <f>COUNTIF($D$2:D549,D549)&amp;D549</f>
        <v>0</v>
      </c>
      <c r="B394" t="str">
        <f>COUNTIF($E$2:E549,E549)&amp;E549</f>
        <v>0</v>
      </c>
    </row>
    <row r="395" spans="1:2" x14ac:dyDescent="0.25">
      <c r="A395" t="str">
        <f>COUNTIF($D$2:D550,D550)&amp;D550</f>
        <v>0</v>
      </c>
      <c r="B395" t="str">
        <f>COUNTIF($E$2:E550,E550)&amp;E550</f>
        <v>0</v>
      </c>
    </row>
    <row r="396" spans="1:2" x14ac:dyDescent="0.25">
      <c r="A396" t="str">
        <f>COUNTIF($D$2:D551,D551)&amp;D551</f>
        <v>0</v>
      </c>
      <c r="B396" t="str">
        <f>COUNTIF($E$2:E551,E551)&amp;E551</f>
        <v>0</v>
      </c>
    </row>
    <row r="397" spans="1:2" x14ac:dyDescent="0.25">
      <c r="A397" t="str">
        <f>COUNTIF($D$2:D552,D552)&amp;D552</f>
        <v>0</v>
      </c>
      <c r="B397" t="str">
        <f>COUNTIF($E$2:E552,E552)&amp;E552</f>
        <v>0</v>
      </c>
    </row>
    <row r="398" spans="1:2" x14ac:dyDescent="0.25">
      <c r="A398" t="str">
        <f>COUNTIF($D$2:D553,D553)&amp;D553</f>
        <v>0</v>
      </c>
      <c r="B398" t="str">
        <f>COUNTIF($E$2:E553,E553)&amp;E553</f>
        <v>0</v>
      </c>
    </row>
    <row r="399" spans="1:2" x14ac:dyDescent="0.25">
      <c r="A399" t="str">
        <f>COUNTIF($D$2:D554,D554)&amp;D554</f>
        <v>0</v>
      </c>
      <c r="B399" t="str">
        <f>COUNTIF($E$2:E554,E554)&amp;E554</f>
        <v>0</v>
      </c>
    </row>
    <row r="400" spans="1:2" x14ac:dyDescent="0.25">
      <c r="A400" t="str">
        <f>COUNTIF($D$2:D555,D555)&amp;D555</f>
        <v>0</v>
      </c>
      <c r="B400" t="str">
        <f>COUNTIF($E$2:E555,E555)&amp;E555</f>
        <v>0</v>
      </c>
    </row>
    <row r="401" spans="1:2" x14ac:dyDescent="0.25">
      <c r="A401" t="str">
        <f>COUNTIF($D$2:D556,D556)&amp;D556</f>
        <v>0</v>
      </c>
      <c r="B401" t="str">
        <f>COUNTIF($E$2:E556,E556)&amp;E556</f>
        <v>0</v>
      </c>
    </row>
    <row r="402" spans="1:2" x14ac:dyDescent="0.25">
      <c r="A402" t="str">
        <f>COUNTIF($D$2:D557,D557)&amp;D557</f>
        <v>0</v>
      </c>
      <c r="B402" t="str">
        <f>COUNTIF($E$2:E557,E557)&amp;E557</f>
        <v>0</v>
      </c>
    </row>
    <row r="403" spans="1:2" x14ac:dyDescent="0.25">
      <c r="A403" t="str">
        <f>COUNTIF($D$2:D558,D558)&amp;D558</f>
        <v>0</v>
      </c>
      <c r="B403" t="str">
        <f>COUNTIF($E$2:E558,E558)&amp;E558</f>
        <v>0</v>
      </c>
    </row>
    <row r="404" spans="1:2" x14ac:dyDescent="0.25">
      <c r="A404" t="str">
        <f>COUNTIF($D$2:D559,D559)&amp;D559</f>
        <v>0</v>
      </c>
      <c r="B404" t="str">
        <f>COUNTIF($E$2:E559,E559)&amp;E559</f>
        <v>0</v>
      </c>
    </row>
    <row r="405" spans="1:2" x14ac:dyDescent="0.25">
      <c r="A405" t="str">
        <f>COUNTIF($D$2:D560,D560)&amp;D560</f>
        <v>0</v>
      </c>
      <c r="B405" t="str">
        <f>COUNTIF($E$2:E560,E560)&amp;E560</f>
        <v>0</v>
      </c>
    </row>
    <row r="406" spans="1:2" x14ac:dyDescent="0.25">
      <c r="A406" t="str">
        <f>COUNTIF($D$2:D561,D561)&amp;D561</f>
        <v>0</v>
      </c>
      <c r="B406" t="str">
        <f>COUNTIF($E$2:E561,E561)&amp;E561</f>
        <v>0</v>
      </c>
    </row>
    <row r="407" spans="1:2" x14ac:dyDescent="0.25">
      <c r="A407" t="str">
        <f>COUNTIF($D$2:D562,D562)&amp;D562</f>
        <v>0</v>
      </c>
      <c r="B407" t="str">
        <f>COUNTIF($E$2:E562,E562)&amp;E562</f>
        <v>0</v>
      </c>
    </row>
    <row r="408" spans="1:2" x14ac:dyDescent="0.25">
      <c r="A408" t="str">
        <f>COUNTIF($D$2:D563,D563)&amp;D563</f>
        <v>0</v>
      </c>
      <c r="B408" t="str">
        <f>COUNTIF($E$2:E563,E563)&amp;E563</f>
        <v>0</v>
      </c>
    </row>
    <row r="409" spans="1:2" x14ac:dyDescent="0.25">
      <c r="A409" t="str">
        <f>COUNTIF($D$2:D564,D564)&amp;D564</f>
        <v>0</v>
      </c>
      <c r="B409" t="str">
        <f>COUNTIF($E$2:E564,E564)&amp;E564</f>
        <v>0</v>
      </c>
    </row>
    <row r="410" spans="1:2" x14ac:dyDescent="0.25">
      <c r="A410" t="str">
        <f>COUNTIF($D$2:D565,D565)&amp;D565</f>
        <v>0</v>
      </c>
      <c r="B410" t="str">
        <f>COUNTIF($E$2:E565,E565)&amp;E565</f>
        <v>0</v>
      </c>
    </row>
    <row r="411" spans="1:2" x14ac:dyDescent="0.25">
      <c r="A411" t="str">
        <f>COUNTIF($D$2:D566,D566)&amp;D566</f>
        <v>0</v>
      </c>
      <c r="B411" t="str">
        <f>COUNTIF($E$2:E566,E566)&amp;E566</f>
        <v>0</v>
      </c>
    </row>
    <row r="412" spans="1:2" x14ac:dyDescent="0.25">
      <c r="A412" t="str">
        <f>COUNTIF($D$2:D567,D567)&amp;D567</f>
        <v>0</v>
      </c>
      <c r="B412" t="str">
        <f>COUNTIF($E$2:E567,E567)&amp;E567</f>
        <v>0</v>
      </c>
    </row>
    <row r="413" spans="1:2" x14ac:dyDescent="0.25">
      <c r="A413" t="str">
        <f>COUNTIF($D$2:D568,D568)&amp;D568</f>
        <v>0</v>
      </c>
      <c r="B413" t="str">
        <f>COUNTIF($E$2:E568,E568)&amp;E568</f>
        <v>0</v>
      </c>
    </row>
    <row r="414" spans="1:2" x14ac:dyDescent="0.25">
      <c r="A414" t="str">
        <f>COUNTIF($D$2:D569,D569)&amp;D569</f>
        <v>0</v>
      </c>
      <c r="B414" t="str">
        <f>COUNTIF($E$2:E569,E569)&amp;E569</f>
        <v>0</v>
      </c>
    </row>
    <row r="415" spans="1:2" x14ac:dyDescent="0.25">
      <c r="A415" t="str">
        <f>COUNTIF($D$2:D570,D570)&amp;D570</f>
        <v>0</v>
      </c>
      <c r="B415" t="str">
        <f>COUNTIF($E$2:E570,E570)&amp;E570</f>
        <v>0</v>
      </c>
    </row>
    <row r="416" spans="1:2" x14ac:dyDescent="0.25">
      <c r="A416" t="str">
        <f>COUNTIF($D$2:D571,D571)&amp;D571</f>
        <v>0</v>
      </c>
      <c r="B416" t="str">
        <f>COUNTIF($E$2:E571,E571)&amp;E571</f>
        <v>0</v>
      </c>
    </row>
    <row r="417" spans="1:2" x14ac:dyDescent="0.25">
      <c r="A417" t="str">
        <f>COUNTIF($D$2:D572,D572)&amp;D572</f>
        <v>0</v>
      </c>
      <c r="B417" t="str">
        <f>COUNTIF($E$2:E572,E572)&amp;E572</f>
        <v>0</v>
      </c>
    </row>
    <row r="418" spans="1:2" x14ac:dyDescent="0.25">
      <c r="A418" t="str">
        <f>COUNTIF($D$2:D573,D573)&amp;D573</f>
        <v>0</v>
      </c>
      <c r="B418" t="str">
        <f>COUNTIF($E$2:E573,E573)&amp;E573</f>
        <v>0</v>
      </c>
    </row>
    <row r="419" spans="1:2" x14ac:dyDescent="0.25">
      <c r="A419" t="str">
        <f>COUNTIF($D$2:D574,D574)&amp;D574</f>
        <v>0</v>
      </c>
      <c r="B419" t="str">
        <f>COUNTIF($E$2:E574,E574)&amp;E574</f>
        <v>0</v>
      </c>
    </row>
    <row r="420" spans="1:2" x14ac:dyDescent="0.25">
      <c r="A420" t="str">
        <f>COUNTIF($D$2:D575,D575)&amp;D575</f>
        <v>0</v>
      </c>
      <c r="B420" t="str">
        <f>COUNTIF($E$2:E575,E575)&amp;E575</f>
        <v>0</v>
      </c>
    </row>
    <row r="421" spans="1:2" x14ac:dyDescent="0.25">
      <c r="A421" t="str">
        <f>COUNTIF($D$2:D576,D576)&amp;D576</f>
        <v>0</v>
      </c>
      <c r="B421" t="str">
        <f>COUNTIF($E$2:E576,E576)&amp;E576</f>
        <v>0</v>
      </c>
    </row>
    <row r="422" spans="1:2" x14ac:dyDescent="0.25">
      <c r="A422" t="str">
        <f>COUNTIF($D$2:D577,D577)&amp;D577</f>
        <v>0</v>
      </c>
      <c r="B422" t="str">
        <f>COUNTIF($E$2:E577,E577)&amp;E577</f>
        <v>0</v>
      </c>
    </row>
    <row r="423" spans="1:2" x14ac:dyDescent="0.25">
      <c r="A423" t="str">
        <f>COUNTIF($D$2:D578,D578)&amp;D578</f>
        <v>0</v>
      </c>
      <c r="B423" t="str">
        <f>COUNTIF($E$2:E578,E578)&amp;E578</f>
        <v>0</v>
      </c>
    </row>
    <row r="424" spans="1:2" x14ac:dyDescent="0.25">
      <c r="A424" t="str">
        <f>COUNTIF($D$2:D579,D579)&amp;D579</f>
        <v>0</v>
      </c>
      <c r="B424" t="str">
        <f>COUNTIF($E$2:E579,E579)&amp;E579</f>
        <v>0</v>
      </c>
    </row>
    <row r="425" spans="1:2" x14ac:dyDescent="0.25">
      <c r="A425" t="str">
        <f>COUNTIF($D$2:D580,D580)&amp;D580</f>
        <v>0</v>
      </c>
      <c r="B425" t="str">
        <f>COUNTIF($E$2:E580,E580)&amp;E580</f>
        <v>0</v>
      </c>
    </row>
    <row r="426" spans="1:2" x14ac:dyDescent="0.25">
      <c r="A426" t="str">
        <f>COUNTIF($D$2:D581,D581)&amp;D581</f>
        <v>0</v>
      </c>
      <c r="B426" t="str">
        <f>COUNTIF($E$2:E581,E581)&amp;E581</f>
        <v>0</v>
      </c>
    </row>
    <row r="427" spans="1:2" x14ac:dyDescent="0.25">
      <c r="A427" t="str">
        <f>COUNTIF($D$2:D582,D582)&amp;D582</f>
        <v>0</v>
      </c>
      <c r="B427" t="str">
        <f>COUNTIF($E$2:E582,E582)&amp;E582</f>
        <v>0</v>
      </c>
    </row>
    <row r="428" spans="1:2" x14ac:dyDescent="0.25">
      <c r="A428" t="str">
        <f>COUNTIF($D$2:D583,D583)&amp;D583</f>
        <v>0</v>
      </c>
      <c r="B428" t="str">
        <f>COUNTIF($E$2:E583,E583)&amp;E583</f>
        <v>0</v>
      </c>
    </row>
    <row r="429" spans="1:2" x14ac:dyDescent="0.25">
      <c r="A429" t="str">
        <f>COUNTIF($D$2:D584,D584)&amp;D584</f>
        <v>0</v>
      </c>
      <c r="B429" t="str">
        <f>COUNTIF($E$2:E584,E584)&amp;E584</f>
        <v>0</v>
      </c>
    </row>
    <row r="430" spans="1:2" x14ac:dyDescent="0.25">
      <c r="A430" t="str">
        <f>COUNTIF($D$2:D585,D585)&amp;D585</f>
        <v>0</v>
      </c>
      <c r="B430" t="str">
        <f>COUNTIF($E$2:E585,E585)&amp;E585</f>
        <v>0</v>
      </c>
    </row>
    <row r="431" spans="1:2" x14ac:dyDescent="0.25">
      <c r="A431" t="str">
        <f>COUNTIF($D$2:D586,D586)&amp;D586</f>
        <v>0</v>
      </c>
      <c r="B431" t="str">
        <f>COUNTIF($E$2:E586,E586)&amp;E586</f>
        <v>0</v>
      </c>
    </row>
    <row r="432" spans="1:2" x14ac:dyDescent="0.25">
      <c r="A432" t="str">
        <f>COUNTIF($D$2:D587,D587)&amp;D587</f>
        <v>0</v>
      </c>
      <c r="B432" t="str">
        <f>COUNTIF($E$2:E587,E587)&amp;E587</f>
        <v>0</v>
      </c>
    </row>
    <row r="433" spans="1:2" x14ac:dyDescent="0.25">
      <c r="A433" t="str">
        <f>COUNTIF($D$2:D588,D588)&amp;D588</f>
        <v>0</v>
      </c>
      <c r="B433" t="str">
        <f>COUNTIF($E$2:E588,E588)&amp;E588</f>
        <v>0</v>
      </c>
    </row>
    <row r="434" spans="1:2" x14ac:dyDescent="0.25">
      <c r="A434" t="str">
        <f>COUNTIF($D$2:D589,D589)&amp;D589</f>
        <v>0</v>
      </c>
      <c r="B434" t="str">
        <f>COUNTIF($E$2:E589,E589)&amp;E589</f>
        <v>0</v>
      </c>
    </row>
    <row r="435" spans="1:2" x14ac:dyDescent="0.25">
      <c r="A435" t="str">
        <f>COUNTIF($D$2:D590,D590)&amp;D590</f>
        <v>0</v>
      </c>
      <c r="B435" t="str">
        <f>COUNTIF($E$2:E590,E590)&amp;E590</f>
        <v>0</v>
      </c>
    </row>
    <row r="436" spans="1:2" x14ac:dyDescent="0.25">
      <c r="A436" t="str">
        <f>COUNTIF($D$2:D591,D591)&amp;D591</f>
        <v>0</v>
      </c>
      <c r="B436" t="str">
        <f>COUNTIF($E$2:E591,E591)&amp;E591</f>
        <v>0</v>
      </c>
    </row>
    <row r="437" spans="1:2" x14ac:dyDescent="0.25">
      <c r="A437" t="str">
        <f>COUNTIF($D$2:D592,D592)&amp;D592</f>
        <v>0</v>
      </c>
      <c r="B437" t="str">
        <f>COUNTIF($E$2:E592,E592)&amp;E592</f>
        <v>0</v>
      </c>
    </row>
    <row r="438" spans="1:2" x14ac:dyDescent="0.25">
      <c r="A438" t="str">
        <f>COUNTIF($D$2:D593,D593)&amp;D593</f>
        <v>0</v>
      </c>
      <c r="B438" t="str">
        <f>COUNTIF($E$2:E593,E593)&amp;E593</f>
        <v>0</v>
      </c>
    </row>
    <row r="439" spans="1:2" x14ac:dyDescent="0.25">
      <c r="A439" t="str">
        <f>COUNTIF($D$2:D594,D594)&amp;D594</f>
        <v>0</v>
      </c>
      <c r="B439" t="str">
        <f>COUNTIF($E$2:E594,E594)&amp;E594</f>
        <v>0</v>
      </c>
    </row>
    <row r="440" spans="1:2" x14ac:dyDescent="0.25">
      <c r="A440" t="str">
        <f>COUNTIF($D$2:D595,D595)&amp;D595</f>
        <v>0</v>
      </c>
      <c r="B440" t="str">
        <f>COUNTIF($E$2:E595,E595)&amp;E595</f>
        <v>0</v>
      </c>
    </row>
    <row r="441" spans="1:2" x14ac:dyDescent="0.25">
      <c r="A441" t="str">
        <f>COUNTIF($D$2:D596,D596)&amp;D596</f>
        <v>0</v>
      </c>
      <c r="B441" t="str">
        <f>COUNTIF($E$2:E596,E596)&amp;E596</f>
        <v>0</v>
      </c>
    </row>
    <row r="442" spans="1:2" x14ac:dyDescent="0.25">
      <c r="A442" t="str">
        <f>COUNTIF($D$2:D597,D597)&amp;D597</f>
        <v>0</v>
      </c>
      <c r="B442" t="str">
        <f>COUNTIF($E$2:E597,E597)&amp;E597</f>
        <v>0</v>
      </c>
    </row>
    <row r="443" spans="1:2" x14ac:dyDescent="0.25">
      <c r="A443" t="str">
        <f>COUNTIF($D$2:D598,D598)&amp;D598</f>
        <v>0</v>
      </c>
      <c r="B443" t="str">
        <f>COUNTIF($E$2:E598,E598)&amp;E598</f>
        <v>0</v>
      </c>
    </row>
    <row r="444" spans="1:2" x14ac:dyDescent="0.25">
      <c r="A444" t="str">
        <f>COUNTIF($D$2:D599,D599)&amp;D599</f>
        <v>0</v>
      </c>
      <c r="B444" t="str">
        <f>COUNTIF($E$2:E599,E599)&amp;E599</f>
        <v>0</v>
      </c>
    </row>
    <row r="445" spans="1:2" x14ac:dyDescent="0.25">
      <c r="A445" t="str">
        <f>COUNTIF($D$2:D600,D600)&amp;D600</f>
        <v>0</v>
      </c>
      <c r="B445" t="str">
        <f>COUNTIF($E$2:E600,E600)&amp;E600</f>
        <v>0</v>
      </c>
    </row>
    <row r="446" spans="1:2" x14ac:dyDescent="0.25">
      <c r="A446" t="str">
        <f>COUNTIF($D$2:D601,D601)&amp;D601</f>
        <v>0</v>
      </c>
      <c r="B446" t="str">
        <f>COUNTIF($E$2:E601,E601)&amp;E601</f>
        <v>0</v>
      </c>
    </row>
    <row r="447" spans="1:2" x14ac:dyDescent="0.25">
      <c r="A447" t="str">
        <f>COUNTIF($D$2:D602,D602)&amp;D602</f>
        <v>0</v>
      </c>
      <c r="B447" t="str">
        <f>COUNTIF($E$2:E602,E602)&amp;E602</f>
        <v>0</v>
      </c>
    </row>
    <row r="448" spans="1:2" x14ac:dyDescent="0.25">
      <c r="A448" t="str">
        <f>COUNTIF($D$2:D603,D603)&amp;D603</f>
        <v>0</v>
      </c>
      <c r="B448" t="str">
        <f>COUNTIF($E$2:E603,E603)&amp;E603</f>
        <v>0</v>
      </c>
    </row>
    <row r="449" spans="1:2" x14ac:dyDescent="0.25">
      <c r="A449" t="str">
        <f>COUNTIF($D$2:D604,D604)&amp;D604</f>
        <v>0</v>
      </c>
      <c r="B449" t="str">
        <f>COUNTIF($E$2:E604,E604)&amp;E604</f>
        <v>0</v>
      </c>
    </row>
    <row r="450" spans="1:2" x14ac:dyDescent="0.25">
      <c r="A450" t="str">
        <f>COUNTIF($D$2:D605,D605)&amp;D605</f>
        <v>0</v>
      </c>
      <c r="B450" t="str">
        <f>COUNTIF($E$2:E605,E605)&amp;E605</f>
        <v>0</v>
      </c>
    </row>
    <row r="451" spans="1:2" x14ac:dyDescent="0.25">
      <c r="A451" t="str">
        <f>COUNTIF($D$2:D606,D606)&amp;D606</f>
        <v>0</v>
      </c>
      <c r="B451" t="str">
        <f>COUNTIF($E$2:E606,E606)&amp;E606</f>
        <v>0</v>
      </c>
    </row>
    <row r="452" spans="1:2" x14ac:dyDescent="0.25">
      <c r="A452" t="str">
        <f>COUNTIF($D$2:D607,D607)&amp;D607</f>
        <v>0</v>
      </c>
      <c r="B452" t="str">
        <f>COUNTIF($E$2:E607,E607)&amp;E607</f>
        <v>0</v>
      </c>
    </row>
    <row r="453" spans="1:2" x14ac:dyDescent="0.25">
      <c r="A453" t="str">
        <f>COUNTIF($D$2:D608,D608)&amp;D608</f>
        <v>0</v>
      </c>
      <c r="B453" t="str">
        <f>COUNTIF($E$2:E608,E608)&amp;E608</f>
        <v>0</v>
      </c>
    </row>
    <row r="454" spans="1:2" x14ac:dyDescent="0.25">
      <c r="A454" t="str">
        <f>COUNTIF($D$2:D609,D609)&amp;D609</f>
        <v>0</v>
      </c>
      <c r="B454" t="str">
        <f>COUNTIF($E$2:E609,E609)&amp;E609</f>
        <v>0</v>
      </c>
    </row>
    <row r="455" spans="1:2" x14ac:dyDescent="0.25">
      <c r="A455" t="str">
        <f>COUNTIF($D$2:D610,D610)&amp;D610</f>
        <v>0</v>
      </c>
      <c r="B455" t="str">
        <f>COUNTIF($E$2:E610,E610)&amp;E610</f>
        <v>0</v>
      </c>
    </row>
    <row r="456" spans="1:2" x14ac:dyDescent="0.25">
      <c r="A456" t="str">
        <f>COUNTIF($D$2:D611,D611)&amp;D611</f>
        <v>0</v>
      </c>
      <c r="B456" t="str">
        <f>COUNTIF($E$2:E611,E611)&amp;E611</f>
        <v>0</v>
      </c>
    </row>
    <row r="457" spans="1:2" x14ac:dyDescent="0.25">
      <c r="A457" t="str">
        <f>COUNTIF($D$2:D612,D612)&amp;D612</f>
        <v>0</v>
      </c>
      <c r="B457" t="str">
        <f>COUNTIF($E$2:E612,E612)&amp;E612</f>
        <v>0</v>
      </c>
    </row>
    <row r="458" spans="1:2" x14ac:dyDescent="0.25">
      <c r="A458" t="str">
        <f>COUNTIF($D$2:D613,D613)&amp;D613</f>
        <v>0</v>
      </c>
      <c r="B458" t="str">
        <f>COUNTIF($E$2:E613,E613)&amp;E613</f>
        <v>0</v>
      </c>
    </row>
    <row r="459" spans="1:2" x14ac:dyDescent="0.25">
      <c r="A459" t="str">
        <f>COUNTIF($D$2:D614,D614)&amp;D614</f>
        <v>0</v>
      </c>
      <c r="B459" t="str">
        <f>COUNTIF($E$2:E614,E614)&amp;E614</f>
        <v>0</v>
      </c>
    </row>
    <row r="460" spans="1:2" x14ac:dyDescent="0.25">
      <c r="A460" t="str">
        <f>COUNTIF($D$2:D615,D615)&amp;D615</f>
        <v>0</v>
      </c>
      <c r="B460" t="str">
        <f>COUNTIF($E$2:E615,E615)&amp;E615</f>
        <v>0</v>
      </c>
    </row>
    <row r="461" spans="1:2" x14ac:dyDescent="0.25">
      <c r="A461" t="str">
        <f>COUNTIF($D$2:D616,D616)&amp;D616</f>
        <v>0</v>
      </c>
      <c r="B461" t="str">
        <f>COUNTIF($E$2:E616,E616)&amp;E616</f>
        <v>0</v>
      </c>
    </row>
    <row r="462" spans="1:2" x14ac:dyDescent="0.25">
      <c r="A462" t="str">
        <f>COUNTIF($D$2:D617,D617)&amp;D617</f>
        <v>0</v>
      </c>
      <c r="B462" t="str">
        <f>COUNTIF($E$2:E617,E617)&amp;E617</f>
        <v>0</v>
      </c>
    </row>
    <row r="463" spans="1:2" x14ac:dyDescent="0.25">
      <c r="A463" t="str">
        <f>COUNTIF($D$2:D618,D618)&amp;D618</f>
        <v>0</v>
      </c>
      <c r="B463" t="str">
        <f>COUNTIF($E$2:E618,E618)&amp;E618</f>
        <v>0</v>
      </c>
    </row>
    <row r="464" spans="1:2" x14ac:dyDescent="0.25">
      <c r="A464" t="str">
        <f>COUNTIF($D$2:D619,D619)&amp;D619</f>
        <v>0</v>
      </c>
      <c r="B464" t="str">
        <f>COUNTIF($E$2:E619,E619)&amp;E619</f>
        <v>0</v>
      </c>
    </row>
    <row r="465" spans="1:2" x14ac:dyDescent="0.25">
      <c r="A465" t="str">
        <f>COUNTIF($D$2:D620,D620)&amp;D620</f>
        <v>0</v>
      </c>
      <c r="B465" t="str">
        <f>COUNTIF($E$2:E620,E620)&amp;E620</f>
        <v>0</v>
      </c>
    </row>
    <row r="466" spans="1:2" x14ac:dyDescent="0.25">
      <c r="A466" t="str">
        <f>COUNTIF($D$2:D621,D621)&amp;D621</f>
        <v>0</v>
      </c>
      <c r="B466" t="str">
        <f>COUNTIF($E$2:E621,E621)&amp;E621</f>
        <v>0</v>
      </c>
    </row>
    <row r="467" spans="1:2" x14ac:dyDescent="0.25">
      <c r="A467" t="str">
        <f>COUNTIF($D$2:D622,D622)&amp;D622</f>
        <v>0</v>
      </c>
      <c r="B467" t="str">
        <f>COUNTIF($E$2:E622,E622)&amp;E622</f>
        <v>0</v>
      </c>
    </row>
    <row r="468" spans="1:2" x14ac:dyDescent="0.25">
      <c r="A468" t="str">
        <f>COUNTIF($D$2:D623,D623)&amp;D623</f>
        <v>0</v>
      </c>
      <c r="B468" t="str">
        <f>COUNTIF($E$2:E623,E623)&amp;E623</f>
        <v>0</v>
      </c>
    </row>
    <row r="469" spans="1:2" x14ac:dyDescent="0.25">
      <c r="A469" t="str">
        <f>COUNTIF($D$2:D624,D624)&amp;D624</f>
        <v>0</v>
      </c>
      <c r="B469" t="str">
        <f>COUNTIF($E$2:E624,E624)&amp;E624</f>
        <v>0</v>
      </c>
    </row>
    <row r="470" spans="1:2" x14ac:dyDescent="0.25">
      <c r="A470" t="str">
        <f>COUNTIF($D$2:D625,D625)&amp;D625</f>
        <v>0</v>
      </c>
      <c r="B470" t="str">
        <f>COUNTIF($E$2:E625,E625)&amp;E625</f>
        <v>0</v>
      </c>
    </row>
    <row r="471" spans="1:2" x14ac:dyDescent="0.25">
      <c r="A471" t="str">
        <f>COUNTIF($D$2:D626,D626)&amp;D626</f>
        <v>0</v>
      </c>
      <c r="B471" t="str">
        <f>COUNTIF($E$2:E626,E626)&amp;E626</f>
        <v>0</v>
      </c>
    </row>
    <row r="472" spans="1:2" x14ac:dyDescent="0.25">
      <c r="A472" t="str">
        <f>COUNTIF($D$2:D627,D627)&amp;D627</f>
        <v>0</v>
      </c>
      <c r="B472" t="str">
        <f>COUNTIF($E$2:E627,E627)&amp;E627</f>
        <v>0</v>
      </c>
    </row>
    <row r="473" spans="1:2" x14ac:dyDescent="0.25">
      <c r="A473" t="str">
        <f>COUNTIF($D$2:D628,D628)&amp;D628</f>
        <v>0</v>
      </c>
      <c r="B473" t="str">
        <f>COUNTIF($E$2:E628,E628)&amp;E628</f>
        <v>0</v>
      </c>
    </row>
    <row r="474" spans="1:2" x14ac:dyDescent="0.25">
      <c r="A474" t="str">
        <f>COUNTIF($D$2:D629,D629)&amp;D629</f>
        <v>0</v>
      </c>
      <c r="B474" t="str">
        <f>COUNTIF($E$2:E629,E629)&amp;E629</f>
        <v>0</v>
      </c>
    </row>
    <row r="475" spans="1:2" x14ac:dyDescent="0.25">
      <c r="A475" t="str">
        <f>COUNTIF($D$2:D630,D630)&amp;D630</f>
        <v>0</v>
      </c>
      <c r="B475" t="str">
        <f>COUNTIF($E$2:E630,E630)&amp;E630</f>
        <v>0</v>
      </c>
    </row>
    <row r="476" spans="1:2" x14ac:dyDescent="0.25">
      <c r="A476" t="str">
        <f>COUNTIF($D$2:D631,D631)&amp;D631</f>
        <v>0</v>
      </c>
      <c r="B476" t="str">
        <f>COUNTIF($E$2:E631,E631)&amp;E631</f>
        <v>0</v>
      </c>
    </row>
    <row r="477" spans="1:2" x14ac:dyDescent="0.25">
      <c r="A477" t="str">
        <f>COUNTIF($D$2:D632,D632)&amp;D632</f>
        <v>0</v>
      </c>
      <c r="B477" t="str">
        <f>COUNTIF($E$2:E632,E632)&amp;E632</f>
        <v>0</v>
      </c>
    </row>
    <row r="478" spans="1:2" x14ac:dyDescent="0.25">
      <c r="A478" t="str">
        <f>COUNTIF($D$2:D633,D633)&amp;D633</f>
        <v>0</v>
      </c>
      <c r="B478" t="str">
        <f>COUNTIF($E$2:E633,E633)&amp;E633</f>
        <v>0</v>
      </c>
    </row>
    <row r="479" spans="1:2" x14ac:dyDescent="0.25">
      <c r="A479" t="str">
        <f>COUNTIF($D$2:D634,D634)&amp;D634</f>
        <v>0</v>
      </c>
      <c r="B479" t="str">
        <f>COUNTIF($E$2:E634,E634)&amp;E634</f>
        <v>0</v>
      </c>
    </row>
    <row r="480" spans="1:2" x14ac:dyDescent="0.25">
      <c r="A480" t="str">
        <f>COUNTIF($D$2:D635,D635)&amp;D635</f>
        <v>0</v>
      </c>
      <c r="B480" t="str">
        <f>COUNTIF($E$2:E635,E635)&amp;E635</f>
        <v>0</v>
      </c>
    </row>
    <row r="481" spans="1:2" x14ac:dyDescent="0.25">
      <c r="A481" t="str">
        <f>COUNTIF($D$2:D636,D636)&amp;D636</f>
        <v>0</v>
      </c>
      <c r="B481" t="str">
        <f>COUNTIF($E$2:E636,E636)&amp;E636</f>
        <v>0</v>
      </c>
    </row>
    <row r="482" spans="1:2" x14ac:dyDescent="0.25">
      <c r="A482" t="str">
        <f>COUNTIF($D$2:D637,D637)&amp;D637</f>
        <v>0</v>
      </c>
      <c r="B482" t="str">
        <f>COUNTIF($E$2:E637,E637)&amp;E637</f>
        <v>0</v>
      </c>
    </row>
    <row r="483" spans="1:2" x14ac:dyDescent="0.25">
      <c r="A483" t="str">
        <f>COUNTIF($D$2:D638,D638)&amp;D638</f>
        <v>0</v>
      </c>
      <c r="B483" t="str">
        <f>COUNTIF($E$2:E638,E638)&amp;E638</f>
        <v>0</v>
      </c>
    </row>
    <row r="484" spans="1:2" x14ac:dyDescent="0.25">
      <c r="A484" t="str">
        <f>COUNTIF($D$2:D639,D639)&amp;D639</f>
        <v>0</v>
      </c>
      <c r="B484" t="str">
        <f>COUNTIF($E$2:E639,E639)&amp;E639</f>
        <v>0</v>
      </c>
    </row>
    <row r="485" spans="1:2" x14ac:dyDescent="0.25">
      <c r="A485" t="str">
        <f>COUNTIF($D$2:D640,D640)&amp;D640</f>
        <v>0</v>
      </c>
      <c r="B485" t="str">
        <f>COUNTIF($E$2:E640,E640)&amp;E640</f>
        <v>0</v>
      </c>
    </row>
    <row r="486" spans="1:2" x14ac:dyDescent="0.25">
      <c r="A486" t="str">
        <f>COUNTIF($D$2:D641,D641)&amp;D641</f>
        <v>0</v>
      </c>
      <c r="B486" t="str">
        <f>COUNTIF($E$2:E641,E641)&amp;E641</f>
        <v>0</v>
      </c>
    </row>
    <row r="487" spans="1:2" x14ac:dyDescent="0.25">
      <c r="A487" t="str">
        <f>COUNTIF($D$2:D642,D642)&amp;D642</f>
        <v>0</v>
      </c>
      <c r="B487" t="str">
        <f>COUNTIF($E$2:E642,E642)&amp;E642</f>
        <v>0</v>
      </c>
    </row>
    <row r="488" spans="1:2" x14ac:dyDescent="0.25">
      <c r="A488" t="str">
        <f>COUNTIF($D$2:D643,D643)&amp;D643</f>
        <v>0</v>
      </c>
      <c r="B488" t="str">
        <f>COUNTIF($E$2:E643,E643)&amp;E643</f>
        <v>0</v>
      </c>
    </row>
    <row r="489" spans="1:2" x14ac:dyDescent="0.25">
      <c r="A489" t="str">
        <f>COUNTIF($D$2:D644,D644)&amp;D644</f>
        <v>0</v>
      </c>
      <c r="B489" t="str">
        <f>COUNTIF($E$2:E644,E644)&amp;E644</f>
        <v>0</v>
      </c>
    </row>
    <row r="490" spans="1:2" x14ac:dyDescent="0.25">
      <c r="A490" t="str">
        <f>COUNTIF($D$2:D645,D645)&amp;D645</f>
        <v>0</v>
      </c>
      <c r="B490" t="str">
        <f>COUNTIF($E$2:E645,E645)&amp;E645</f>
        <v>0</v>
      </c>
    </row>
    <row r="491" spans="1:2" x14ac:dyDescent="0.25">
      <c r="A491" t="str">
        <f>COUNTIF($D$2:D646,D646)&amp;D646</f>
        <v>0</v>
      </c>
      <c r="B491" t="str">
        <f>COUNTIF($E$2:E646,E646)&amp;E646</f>
        <v>0</v>
      </c>
    </row>
    <row r="492" spans="1:2" x14ac:dyDescent="0.25">
      <c r="A492" t="str">
        <f>COUNTIF($D$2:D647,D647)&amp;D647</f>
        <v>0</v>
      </c>
      <c r="B492" t="str">
        <f>COUNTIF($E$2:E647,E647)&amp;E647</f>
        <v>0</v>
      </c>
    </row>
    <row r="493" spans="1:2" x14ac:dyDescent="0.25">
      <c r="A493" t="str">
        <f>COUNTIF($D$2:D648,D648)&amp;D648</f>
        <v>0</v>
      </c>
      <c r="B493" t="str">
        <f>COUNTIF($E$2:E648,E648)&amp;E648</f>
        <v>0</v>
      </c>
    </row>
    <row r="494" spans="1:2" x14ac:dyDescent="0.25">
      <c r="A494" t="str">
        <f>COUNTIF($D$2:D649,D649)&amp;D649</f>
        <v>0</v>
      </c>
      <c r="B494" t="str">
        <f>COUNTIF($E$2:E649,E649)&amp;E649</f>
        <v>0</v>
      </c>
    </row>
    <row r="495" spans="1:2" x14ac:dyDescent="0.25">
      <c r="A495" t="str">
        <f>COUNTIF($D$2:D650,D650)&amp;D650</f>
        <v>0</v>
      </c>
      <c r="B495" t="str">
        <f>COUNTIF($E$2:E650,E650)&amp;E650</f>
        <v>0</v>
      </c>
    </row>
    <row r="496" spans="1:2" x14ac:dyDescent="0.25">
      <c r="A496" t="str">
        <f>COUNTIF($D$2:D651,D651)&amp;D651</f>
        <v>0</v>
      </c>
      <c r="B496" t="str">
        <f>COUNTIF($E$2:E651,E651)&amp;E651</f>
        <v>0</v>
      </c>
    </row>
    <row r="497" spans="1:2" x14ac:dyDescent="0.25">
      <c r="A497" t="str">
        <f>COUNTIF($D$2:D652,D652)&amp;D652</f>
        <v>0</v>
      </c>
      <c r="B497" t="str">
        <f>COUNTIF($E$2:E652,E652)&amp;E652</f>
        <v>0</v>
      </c>
    </row>
    <row r="498" spans="1:2" x14ac:dyDescent="0.25">
      <c r="A498" t="str">
        <f>COUNTIF($D$2:D653,D653)&amp;D653</f>
        <v>0</v>
      </c>
      <c r="B498" t="str">
        <f>COUNTIF($E$2:E653,E653)&amp;E653</f>
        <v>0</v>
      </c>
    </row>
    <row r="499" spans="1:2" x14ac:dyDescent="0.25">
      <c r="A499" t="str">
        <f>COUNTIF($D$2:D654,D654)&amp;D654</f>
        <v>0</v>
      </c>
      <c r="B499" t="str">
        <f>COUNTIF($E$2:E654,E654)&amp;E654</f>
        <v>0</v>
      </c>
    </row>
    <row r="500" spans="1:2" x14ac:dyDescent="0.25">
      <c r="A500" t="str">
        <f>COUNTIF($D$2:D655,D655)&amp;D655</f>
        <v>0</v>
      </c>
      <c r="B500" t="str">
        <f>COUNTIF($E$2:E655,E655)&amp;E655</f>
        <v>0</v>
      </c>
    </row>
    <row r="501" spans="1:2" x14ac:dyDescent="0.25">
      <c r="A501" t="str">
        <f>COUNTIF($D$2:D656,D656)&amp;D656</f>
        <v>0</v>
      </c>
      <c r="B501" t="str">
        <f>COUNTIF($E$2:E656,E656)&amp;E656</f>
        <v>0</v>
      </c>
    </row>
    <row r="502" spans="1:2" x14ac:dyDescent="0.25">
      <c r="A502" t="str">
        <f>COUNTIF($D$2:D657,D657)&amp;D657</f>
        <v>0</v>
      </c>
      <c r="B502" t="str">
        <f>COUNTIF($E$2:E657,E657)&amp;E657</f>
        <v>0</v>
      </c>
    </row>
    <row r="503" spans="1:2" x14ac:dyDescent="0.25">
      <c r="A503" t="str">
        <f>COUNTIF($D$2:D658,D658)&amp;D658</f>
        <v>0</v>
      </c>
      <c r="B503" t="str">
        <f>COUNTIF($E$2:E658,E658)&amp;E658</f>
        <v>0</v>
      </c>
    </row>
    <row r="504" spans="1:2" x14ac:dyDescent="0.25">
      <c r="A504" t="str">
        <f>COUNTIF($D$2:D659,D659)&amp;D659</f>
        <v>0</v>
      </c>
      <c r="B504" t="str">
        <f>COUNTIF($E$2:E659,E659)&amp;E659</f>
        <v>0</v>
      </c>
    </row>
    <row r="505" spans="1:2" x14ac:dyDescent="0.25">
      <c r="A505" t="str">
        <f>COUNTIF($D$2:D660,D660)&amp;D660</f>
        <v>0</v>
      </c>
      <c r="B505" t="str">
        <f>COUNTIF($E$2:E660,E660)&amp;E660</f>
        <v>0</v>
      </c>
    </row>
    <row r="506" spans="1:2" x14ac:dyDescent="0.25">
      <c r="A506" t="str">
        <f>COUNTIF($D$2:D661,D661)&amp;D661</f>
        <v>0</v>
      </c>
      <c r="B506" t="str">
        <f>COUNTIF($E$2:E661,E661)&amp;E661</f>
        <v>0</v>
      </c>
    </row>
    <row r="507" spans="1:2" x14ac:dyDescent="0.25">
      <c r="A507" t="str">
        <f>COUNTIF($D$2:D662,D662)&amp;D662</f>
        <v>0</v>
      </c>
      <c r="B507" t="str">
        <f>COUNTIF($E$2:E662,E662)&amp;E662</f>
        <v>0</v>
      </c>
    </row>
    <row r="508" spans="1:2" x14ac:dyDescent="0.25">
      <c r="A508" t="str">
        <f>COUNTIF($D$2:D663,D663)&amp;D663</f>
        <v>0</v>
      </c>
      <c r="B508" t="str">
        <f>COUNTIF($E$2:E663,E663)&amp;E663</f>
        <v>0</v>
      </c>
    </row>
    <row r="509" spans="1:2" x14ac:dyDescent="0.25">
      <c r="A509" t="str">
        <f>COUNTIF($D$2:D664,D664)&amp;D664</f>
        <v>0</v>
      </c>
      <c r="B509" t="str">
        <f>COUNTIF($E$2:E664,E664)&amp;E664</f>
        <v>0</v>
      </c>
    </row>
    <row r="510" spans="1:2" x14ac:dyDescent="0.25">
      <c r="A510" t="str">
        <f>COUNTIF($D$2:D665,D665)&amp;D665</f>
        <v>0</v>
      </c>
      <c r="B510" t="str">
        <f>COUNTIF($E$2:E665,E665)&amp;E665</f>
        <v>0</v>
      </c>
    </row>
    <row r="511" spans="1:2" x14ac:dyDescent="0.25">
      <c r="A511" t="str">
        <f>COUNTIF($D$2:D666,D666)&amp;D666</f>
        <v>0</v>
      </c>
      <c r="B511" t="str">
        <f>COUNTIF($E$2:E666,E666)&amp;E666</f>
        <v>0</v>
      </c>
    </row>
    <row r="512" spans="1:2" x14ac:dyDescent="0.25">
      <c r="A512" t="str">
        <f>COUNTIF($D$2:D667,D667)&amp;D667</f>
        <v>0</v>
      </c>
      <c r="B512" t="str">
        <f>COUNTIF($E$2:E667,E667)&amp;E667</f>
        <v>0</v>
      </c>
    </row>
    <row r="513" spans="1:2" x14ac:dyDescent="0.25">
      <c r="A513" t="str">
        <f>COUNTIF($D$2:D668,D668)&amp;D668</f>
        <v>0</v>
      </c>
      <c r="B513" t="str">
        <f>COUNTIF($E$2:E668,E668)&amp;E668</f>
        <v>0</v>
      </c>
    </row>
    <row r="514" spans="1:2" x14ac:dyDescent="0.25">
      <c r="A514" t="str">
        <f>COUNTIF($D$2:D669,D669)&amp;D669</f>
        <v>0</v>
      </c>
      <c r="B514" t="str">
        <f>COUNTIF($E$2:E669,E669)&amp;E669</f>
        <v>0</v>
      </c>
    </row>
    <row r="515" spans="1:2" x14ac:dyDescent="0.25">
      <c r="A515" t="str">
        <f>COUNTIF($D$2:D670,D670)&amp;D670</f>
        <v>0</v>
      </c>
      <c r="B515" t="str">
        <f>COUNTIF($E$2:E670,E670)&amp;E670</f>
        <v>0</v>
      </c>
    </row>
    <row r="516" spans="1:2" x14ac:dyDescent="0.25">
      <c r="A516" t="str">
        <f>COUNTIF($D$2:D671,D671)&amp;D671</f>
        <v>0</v>
      </c>
      <c r="B516" t="str">
        <f>COUNTIF($E$2:E671,E671)&amp;E671</f>
        <v>0</v>
      </c>
    </row>
    <row r="517" spans="1:2" x14ac:dyDescent="0.25">
      <c r="A517" t="str">
        <f>COUNTIF($D$2:D672,D672)&amp;D672</f>
        <v>0</v>
      </c>
      <c r="B517" t="str">
        <f>COUNTIF($E$2:E672,E672)&amp;E672</f>
        <v>0</v>
      </c>
    </row>
    <row r="518" spans="1:2" x14ac:dyDescent="0.25">
      <c r="A518" t="str">
        <f>COUNTIF($D$2:D673,D673)&amp;D673</f>
        <v>0</v>
      </c>
      <c r="B518" t="str">
        <f>COUNTIF($E$2:E673,E673)&amp;E673</f>
        <v>0</v>
      </c>
    </row>
    <row r="519" spans="1:2" x14ac:dyDescent="0.25">
      <c r="A519" t="str">
        <f>COUNTIF($D$2:D674,D674)&amp;D674</f>
        <v>0</v>
      </c>
      <c r="B519" t="str">
        <f>COUNTIF($E$2:E674,E674)&amp;E674</f>
        <v>0</v>
      </c>
    </row>
    <row r="520" spans="1:2" x14ac:dyDescent="0.25">
      <c r="A520" t="str">
        <f>COUNTIF($D$2:D675,D675)&amp;D675</f>
        <v>0</v>
      </c>
      <c r="B520" t="str">
        <f>COUNTIF($E$2:E675,E675)&amp;E675</f>
        <v>0</v>
      </c>
    </row>
    <row r="521" spans="1:2" x14ac:dyDescent="0.25">
      <c r="A521" t="str">
        <f>COUNTIF($D$2:D676,D676)&amp;D676</f>
        <v>0</v>
      </c>
      <c r="B521" t="str">
        <f>COUNTIF($E$2:E676,E676)&amp;E676</f>
        <v>0</v>
      </c>
    </row>
    <row r="522" spans="1:2" x14ac:dyDescent="0.25">
      <c r="A522" t="str">
        <f>COUNTIF($D$2:D677,D677)&amp;D677</f>
        <v>0</v>
      </c>
      <c r="B522" t="str">
        <f>COUNTIF($E$2:E677,E677)&amp;E677</f>
        <v>0</v>
      </c>
    </row>
    <row r="523" spans="1:2" x14ac:dyDescent="0.25">
      <c r="A523" t="str">
        <f>COUNTIF($D$2:D678,D678)&amp;D678</f>
        <v>0</v>
      </c>
      <c r="B523" t="str">
        <f>COUNTIF($E$2:E678,E678)&amp;E678</f>
        <v>0</v>
      </c>
    </row>
    <row r="524" spans="1:2" x14ac:dyDescent="0.25">
      <c r="A524" t="str">
        <f>COUNTIF($D$2:D679,D679)&amp;D679</f>
        <v>0</v>
      </c>
      <c r="B524" t="str">
        <f>COUNTIF($E$2:E679,E679)&amp;E679</f>
        <v>0</v>
      </c>
    </row>
    <row r="525" spans="1:2" x14ac:dyDescent="0.25">
      <c r="A525" t="str">
        <f>COUNTIF($D$2:D680,D680)&amp;D680</f>
        <v>0</v>
      </c>
      <c r="B525" t="str">
        <f>COUNTIF($E$2:E680,E680)&amp;E680</f>
        <v>0</v>
      </c>
    </row>
    <row r="526" spans="1:2" x14ac:dyDescent="0.25">
      <c r="A526" t="str">
        <f>COUNTIF($D$2:D681,D681)&amp;D681</f>
        <v>0</v>
      </c>
      <c r="B526" t="str">
        <f>COUNTIF($E$2:E681,E681)&amp;E681</f>
        <v>0</v>
      </c>
    </row>
    <row r="527" spans="1:2" x14ac:dyDescent="0.25">
      <c r="A527" t="str">
        <f>COUNTIF($D$2:D682,D682)&amp;D682</f>
        <v>0</v>
      </c>
      <c r="B527" t="str">
        <f>COUNTIF($E$2:E682,E682)&amp;E682</f>
        <v>0</v>
      </c>
    </row>
    <row r="528" spans="1:2" x14ac:dyDescent="0.25">
      <c r="A528" t="str">
        <f>COUNTIF($D$2:D683,D683)&amp;D683</f>
        <v>0</v>
      </c>
      <c r="B528" t="str">
        <f>COUNTIF($E$2:E683,E683)&amp;E683</f>
        <v>0</v>
      </c>
    </row>
    <row r="529" spans="1:2" x14ac:dyDescent="0.25">
      <c r="A529" t="str">
        <f>COUNTIF($D$2:D684,D684)&amp;D684</f>
        <v>0</v>
      </c>
      <c r="B529" t="str">
        <f>COUNTIF($E$2:E684,E684)&amp;E684</f>
        <v>0</v>
      </c>
    </row>
    <row r="530" spans="1:2" x14ac:dyDescent="0.25">
      <c r="A530" t="str">
        <f>COUNTIF($D$2:D685,D685)&amp;D685</f>
        <v>0</v>
      </c>
      <c r="B530" t="str">
        <f>COUNTIF($E$2:E685,E685)&amp;E685</f>
        <v>0</v>
      </c>
    </row>
    <row r="531" spans="1:2" x14ac:dyDescent="0.25">
      <c r="A531" t="str">
        <f>COUNTIF($D$2:D686,D686)&amp;D686</f>
        <v>0</v>
      </c>
      <c r="B531" t="str">
        <f>COUNTIF($E$2:E686,E686)&amp;E686</f>
        <v>0</v>
      </c>
    </row>
    <row r="532" spans="1:2" x14ac:dyDescent="0.25">
      <c r="A532" t="str">
        <f>COUNTIF($D$2:D687,D687)&amp;D687</f>
        <v>0</v>
      </c>
      <c r="B532" t="str">
        <f>COUNTIF($E$2:E687,E687)&amp;E687</f>
        <v>0</v>
      </c>
    </row>
    <row r="533" spans="1:2" x14ac:dyDescent="0.25">
      <c r="A533" t="str">
        <f>COUNTIF($D$2:D688,D688)&amp;D688</f>
        <v>0</v>
      </c>
      <c r="B533" t="str">
        <f>COUNTIF($E$2:E688,E688)&amp;E688</f>
        <v>0</v>
      </c>
    </row>
    <row r="534" spans="1:2" x14ac:dyDescent="0.25">
      <c r="A534" t="str">
        <f>COUNTIF($D$2:D689,D689)&amp;D689</f>
        <v>0</v>
      </c>
      <c r="B534" t="str">
        <f>COUNTIF($E$2:E689,E689)&amp;E689</f>
        <v>0</v>
      </c>
    </row>
    <row r="535" spans="1:2" x14ac:dyDescent="0.25">
      <c r="A535" t="str">
        <f>COUNTIF($D$2:D690,D690)&amp;D690</f>
        <v>0</v>
      </c>
      <c r="B535" t="str">
        <f>COUNTIF($E$2:E690,E690)&amp;E690</f>
        <v>0</v>
      </c>
    </row>
    <row r="536" spans="1:2" x14ac:dyDescent="0.25">
      <c r="A536" t="str">
        <f>COUNTIF($D$2:D691,D691)&amp;D691</f>
        <v>0</v>
      </c>
      <c r="B536" t="str">
        <f>COUNTIF($E$2:E691,E691)&amp;E691</f>
        <v>0</v>
      </c>
    </row>
    <row r="537" spans="1:2" x14ac:dyDescent="0.25">
      <c r="A537" t="str">
        <f>COUNTIF($D$2:D692,D692)&amp;D692</f>
        <v>0</v>
      </c>
      <c r="B537" t="str">
        <f>COUNTIF($E$2:E692,E692)&amp;E692</f>
        <v>0</v>
      </c>
    </row>
    <row r="538" spans="1:2" x14ac:dyDescent="0.25">
      <c r="A538" t="str">
        <f>COUNTIF($D$2:D693,D693)&amp;D693</f>
        <v>0</v>
      </c>
      <c r="B538" t="str">
        <f>COUNTIF($E$2:E693,E693)&amp;E693</f>
        <v>0</v>
      </c>
    </row>
    <row r="539" spans="1:2" x14ac:dyDescent="0.25">
      <c r="A539" t="str">
        <f>COUNTIF($D$2:D694,D694)&amp;D694</f>
        <v>0</v>
      </c>
      <c r="B539" t="str">
        <f>COUNTIF($E$2:E694,E694)&amp;E694</f>
        <v>0</v>
      </c>
    </row>
    <row r="540" spans="1:2" x14ac:dyDescent="0.25">
      <c r="A540" t="str">
        <f>COUNTIF($D$2:D695,D695)&amp;D695</f>
        <v>0</v>
      </c>
      <c r="B540" t="str">
        <f>COUNTIF($E$2:E695,E695)&amp;E695</f>
        <v>0</v>
      </c>
    </row>
    <row r="541" spans="1:2" x14ac:dyDescent="0.25">
      <c r="A541" t="str">
        <f>COUNTIF($D$2:D696,D696)&amp;D696</f>
        <v>0</v>
      </c>
      <c r="B541" t="str">
        <f>COUNTIF($E$2:E696,E696)&amp;E696</f>
        <v>0</v>
      </c>
    </row>
    <row r="542" spans="1:2" x14ac:dyDescent="0.25">
      <c r="A542" t="str">
        <f>COUNTIF($D$2:D697,D697)&amp;D697</f>
        <v>0</v>
      </c>
      <c r="B542" t="str">
        <f>COUNTIF($E$2:E697,E697)&amp;E697</f>
        <v>0</v>
      </c>
    </row>
    <row r="543" spans="1:2" x14ac:dyDescent="0.25">
      <c r="A543" t="str">
        <f>COUNTIF($D$2:D698,D698)&amp;D698</f>
        <v>0</v>
      </c>
      <c r="B543" t="str">
        <f>COUNTIF($E$2:E698,E698)&amp;E698</f>
        <v>0</v>
      </c>
    </row>
    <row r="544" spans="1:2" x14ac:dyDescent="0.25">
      <c r="A544" t="str">
        <f>COUNTIF($D$2:D699,D699)&amp;D699</f>
        <v>0</v>
      </c>
      <c r="B544" t="str">
        <f>COUNTIF($E$2:E699,E699)&amp;E699</f>
        <v>0</v>
      </c>
    </row>
    <row r="545" spans="1:2" x14ac:dyDescent="0.25">
      <c r="A545" t="str">
        <f>COUNTIF($D$2:D700,D700)&amp;D700</f>
        <v>0</v>
      </c>
      <c r="B545" t="str">
        <f>COUNTIF($E$2:E700,E700)&amp;E700</f>
        <v>0</v>
      </c>
    </row>
    <row r="546" spans="1:2" x14ac:dyDescent="0.25">
      <c r="A546" t="str">
        <f>COUNTIF($D$2:D701,D701)&amp;D701</f>
        <v>0</v>
      </c>
      <c r="B546" t="str">
        <f>COUNTIF($E$2:E701,E701)&amp;E701</f>
        <v>0</v>
      </c>
    </row>
    <row r="547" spans="1:2" x14ac:dyDescent="0.25">
      <c r="A547" t="str">
        <f>COUNTIF($D$2:D702,D702)&amp;D702</f>
        <v>0</v>
      </c>
      <c r="B547" t="str">
        <f>COUNTIF($E$2:E702,E702)&amp;E702</f>
        <v>0</v>
      </c>
    </row>
    <row r="548" spans="1:2" x14ac:dyDescent="0.25">
      <c r="A548" t="str">
        <f>COUNTIF($D$2:D703,D703)&amp;D703</f>
        <v>0</v>
      </c>
      <c r="B548" t="str">
        <f>COUNTIF($E$2:E703,E703)&amp;E703</f>
        <v>0</v>
      </c>
    </row>
    <row r="549" spans="1:2" x14ac:dyDescent="0.25">
      <c r="A549" t="str">
        <f>COUNTIF($D$2:D704,D704)&amp;D704</f>
        <v>0</v>
      </c>
      <c r="B549" t="str">
        <f>COUNTIF($E$2:E704,E704)&amp;E704</f>
        <v>0</v>
      </c>
    </row>
    <row r="550" spans="1:2" x14ac:dyDescent="0.25">
      <c r="A550" t="str">
        <f>COUNTIF($D$2:D705,D705)&amp;D705</f>
        <v>0</v>
      </c>
      <c r="B550" t="str">
        <f>COUNTIF($E$2:E705,E705)&amp;E705</f>
        <v>0</v>
      </c>
    </row>
    <row r="551" spans="1:2" x14ac:dyDescent="0.25">
      <c r="A551" t="str">
        <f>COUNTIF($D$2:D706,D706)&amp;D706</f>
        <v>0</v>
      </c>
      <c r="B551" t="str">
        <f>COUNTIF($E$2:E706,E706)&amp;E706</f>
        <v>0</v>
      </c>
    </row>
    <row r="552" spans="1:2" x14ac:dyDescent="0.25">
      <c r="A552" t="str">
        <f>COUNTIF($D$2:D707,D707)&amp;D707</f>
        <v>0</v>
      </c>
      <c r="B552" t="str">
        <f>COUNTIF($E$2:E707,E707)&amp;E707</f>
        <v>0</v>
      </c>
    </row>
    <row r="553" spans="1:2" x14ac:dyDescent="0.25">
      <c r="A553" t="str">
        <f>COUNTIF($D$2:D708,D708)&amp;D708</f>
        <v>0</v>
      </c>
      <c r="B553" t="str">
        <f>COUNTIF($E$2:E708,E708)&amp;E708</f>
        <v>0</v>
      </c>
    </row>
    <row r="554" spans="1:2" x14ac:dyDescent="0.25">
      <c r="A554" t="str">
        <f>COUNTIF($D$2:D709,D709)&amp;D709</f>
        <v>0</v>
      </c>
      <c r="B554" t="str">
        <f>COUNTIF($E$2:E709,E709)&amp;E709</f>
        <v>0</v>
      </c>
    </row>
    <row r="555" spans="1:2" x14ac:dyDescent="0.25">
      <c r="A555" t="str">
        <f>COUNTIF($D$2:D710,D710)&amp;D710</f>
        <v>0</v>
      </c>
      <c r="B555" t="str">
        <f>COUNTIF($E$2:E710,E710)&amp;E710</f>
        <v>0</v>
      </c>
    </row>
    <row r="556" spans="1:2" x14ac:dyDescent="0.25">
      <c r="A556" t="str">
        <f>COUNTIF($D$2:D711,D711)&amp;D711</f>
        <v>0</v>
      </c>
      <c r="B556" t="str">
        <f>COUNTIF($E$2:E711,E711)&amp;E711</f>
        <v>0</v>
      </c>
    </row>
    <row r="557" spans="1:2" x14ac:dyDescent="0.25">
      <c r="A557" t="str">
        <f>COUNTIF($D$2:D712,D712)&amp;D712</f>
        <v>0</v>
      </c>
      <c r="B557" t="str">
        <f>COUNTIF($E$2:E712,E712)&amp;E712</f>
        <v>0</v>
      </c>
    </row>
    <row r="558" spans="1:2" x14ac:dyDescent="0.25">
      <c r="A558" t="str">
        <f>COUNTIF($D$2:D713,D713)&amp;D713</f>
        <v>0</v>
      </c>
      <c r="B558" t="str">
        <f>COUNTIF($E$2:E713,E713)&amp;E713</f>
        <v>0</v>
      </c>
    </row>
    <row r="559" spans="1:2" x14ac:dyDescent="0.25">
      <c r="A559" t="str">
        <f>COUNTIF($D$2:D714,D714)&amp;D714</f>
        <v>0</v>
      </c>
      <c r="B559" t="str">
        <f>COUNTIF($E$2:E714,E714)&amp;E714</f>
        <v>0</v>
      </c>
    </row>
    <row r="560" spans="1:2" x14ac:dyDescent="0.25">
      <c r="A560" t="str">
        <f>COUNTIF($D$2:D715,D715)&amp;D715</f>
        <v>0</v>
      </c>
      <c r="B560" t="str">
        <f>COUNTIF($E$2:E715,E715)&amp;E715</f>
        <v>0</v>
      </c>
    </row>
    <row r="561" spans="1:2" x14ac:dyDescent="0.25">
      <c r="A561" t="str">
        <f>COUNTIF($D$2:D716,D716)&amp;D716</f>
        <v>0</v>
      </c>
      <c r="B561" t="str">
        <f>COUNTIF($E$2:E716,E716)&amp;E716</f>
        <v>0</v>
      </c>
    </row>
    <row r="562" spans="1:2" x14ac:dyDescent="0.25">
      <c r="A562" t="str">
        <f>COUNTIF($D$2:D717,D717)&amp;D717</f>
        <v>0</v>
      </c>
      <c r="B562" t="str">
        <f>COUNTIF($E$2:E717,E717)&amp;E717</f>
        <v>0</v>
      </c>
    </row>
    <row r="563" spans="1:2" x14ac:dyDescent="0.25">
      <c r="A563" t="str">
        <f>COUNTIF($D$2:D718,D718)&amp;D718</f>
        <v>0</v>
      </c>
      <c r="B563" t="str">
        <f>COUNTIF($E$2:E718,E718)&amp;E718</f>
        <v>0</v>
      </c>
    </row>
    <row r="564" spans="1:2" x14ac:dyDescent="0.25">
      <c r="A564" t="str">
        <f>COUNTIF($D$2:D719,D719)&amp;D719</f>
        <v>0</v>
      </c>
      <c r="B564" t="str">
        <f>COUNTIF($E$2:E719,E719)&amp;E719</f>
        <v>0</v>
      </c>
    </row>
    <row r="565" spans="1:2" x14ac:dyDescent="0.25">
      <c r="A565" t="str">
        <f>COUNTIF($D$2:D720,D720)&amp;D720</f>
        <v>0</v>
      </c>
      <c r="B565" t="str">
        <f>COUNTIF($E$2:E720,E720)&amp;E720</f>
        <v>0</v>
      </c>
    </row>
    <row r="566" spans="1:2" x14ac:dyDescent="0.25">
      <c r="A566" t="str">
        <f>COUNTIF($D$2:D721,D721)&amp;D721</f>
        <v>0</v>
      </c>
      <c r="B566" t="str">
        <f>COUNTIF($E$2:E721,E721)&amp;E721</f>
        <v>0</v>
      </c>
    </row>
    <row r="567" spans="1:2" x14ac:dyDescent="0.25">
      <c r="A567" t="str">
        <f>COUNTIF($D$2:D722,D722)&amp;D722</f>
        <v>0</v>
      </c>
      <c r="B567" t="str">
        <f>COUNTIF($E$2:E722,E722)&amp;E722</f>
        <v>0</v>
      </c>
    </row>
    <row r="568" spans="1:2" x14ac:dyDescent="0.25">
      <c r="A568" t="str">
        <f>COUNTIF($D$2:D723,D723)&amp;D723</f>
        <v>0</v>
      </c>
      <c r="B568" t="str">
        <f>COUNTIF($E$2:E723,E723)&amp;E723</f>
        <v>0</v>
      </c>
    </row>
    <row r="569" spans="1:2" x14ac:dyDescent="0.25">
      <c r="A569" t="str">
        <f>COUNTIF($D$2:D724,D724)&amp;D724</f>
        <v>0</v>
      </c>
      <c r="B569" t="str">
        <f>COUNTIF($E$2:E724,E724)&amp;E724</f>
        <v>0</v>
      </c>
    </row>
    <row r="570" spans="1:2" x14ac:dyDescent="0.25">
      <c r="A570" t="str">
        <f>COUNTIF($D$2:D725,D725)&amp;D725</f>
        <v>0</v>
      </c>
      <c r="B570" t="str">
        <f>COUNTIF($E$2:E725,E725)&amp;E725</f>
        <v>0</v>
      </c>
    </row>
    <row r="571" spans="1:2" x14ac:dyDescent="0.25">
      <c r="A571" t="str">
        <f>COUNTIF($D$2:D726,D726)&amp;D726</f>
        <v>0</v>
      </c>
      <c r="B571" t="str">
        <f>COUNTIF($E$2:E726,E726)&amp;E726</f>
        <v>0</v>
      </c>
    </row>
    <row r="572" spans="1:2" x14ac:dyDescent="0.25">
      <c r="A572" t="str">
        <f>COUNTIF($D$2:D727,D727)&amp;D727</f>
        <v>0</v>
      </c>
      <c r="B572" t="str">
        <f>COUNTIF($E$2:E727,E727)&amp;E727</f>
        <v>0</v>
      </c>
    </row>
    <row r="573" spans="1:2" x14ac:dyDescent="0.25">
      <c r="A573" t="str">
        <f>COUNTIF($D$2:D728,D728)&amp;D728</f>
        <v>0</v>
      </c>
      <c r="B573" t="str">
        <f>COUNTIF($E$2:E728,E728)&amp;E728</f>
        <v>0</v>
      </c>
    </row>
    <row r="574" spans="1:2" x14ac:dyDescent="0.25">
      <c r="A574" t="str">
        <f>COUNTIF($D$2:D729,D729)&amp;D729</f>
        <v>0</v>
      </c>
      <c r="B574" t="str">
        <f>COUNTIF($E$2:E729,E729)&amp;E729</f>
        <v>0</v>
      </c>
    </row>
    <row r="575" spans="1:2" x14ac:dyDescent="0.25">
      <c r="A575" t="str">
        <f>COUNTIF($D$2:D730,D730)&amp;D730</f>
        <v>0</v>
      </c>
      <c r="B575" t="str">
        <f>COUNTIF($E$2:E730,E730)&amp;E730</f>
        <v>0</v>
      </c>
    </row>
    <row r="576" spans="1:2" x14ac:dyDescent="0.25">
      <c r="A576" t="str">
        <f>COUNTIF($D$2:D731,D731)&amp;D731</f>
        <v>0</v>
      </c>
      <c r="B576" t="str">
        <f>COUNTIF($E$2:E731,E731)&amp;E731</f>
        <v>0</v>
      </c>
    </row>
    <row r="577" spans="1:2" x14ac:dyDescent="0.25">
      <c r="A577" t="str">
        <f>COUNTIF($D$2:D732,D732)&amp;D732</f>
        <v>0</v>
      </c>
      <c r="B577" t="str">
        <f>COUNTIF($E$2:E732,E732)&amp;E732</f>
        <v>0</v>
      </c>
    </row>
    <row r="578" spans="1:2" x14ac:dyDescent="0.25">
      <c r="A578" t="str">
        <f>COUNTIF($D$2:D733,D733)&amp;D733</f>
        <v>0</v>
      </c>
      <c r="B578" t="str">
        <f>COUNTIF($E$2:E733,E733)&amp;E733</f>
        <v>0</v>
      </c>
    </row>
    <row r="579" spans="1:2" x14ac:dyDescent="0.25">
      <c r="A579" t="str">
        <f>COUNTIF($D$2:D734,D734)&amp;D734</f>
        <v>0</v>
      </c>
      <c r="B579" t="str">
        <f>COUNTIF($E$2:E734,E734)&amp;E734</f>
        <v>0</v>
      </c>
    </row>
    <row r="580" spans="1:2" x14ac:dyDescent="0.25">
      <c r="A580" t="str">
        <f>COUNTIF($D$2:D735,D735)&amp;D735</f>
        <v>0</v>
      </c>
      <c r="B580" t="str">
        <f>COUNTIF($E$2:E735,E735)&amp;E735</f>
        <v>0</v>
      </c>
    </row>
    <row r="581" spans="1:2" x14ac:dyDescent="0.25">
      <c r="A581" t="str">
        <f>COUNTIF($D$2:D736,D736)&amp;D736</f>
        <v>0</v>
      </c>
      <c r="B581" t="str">
        <f>COUNTIF($E$2:E736,E736)&amp;E736</f>
        <v>0</v>
      </c>
    </row>
    <row r="582" spans="1:2" x14ac:dyDescent="0.25">
      <c r="A582" t="str">
        <f>COUNTIF($D$2:D737,D737)&amp;D737</f>
        <v>0</v>
      </c>
      <c r="B582" t="str">
        <f>COUNTIF($E$2:E737,E737)&amp;E737</f>
        <v>0</v>
      </c>
    </row>
    <row r="583" spans="1:2" x14ac:dyDescent="0.25">
      <c r="A583" t="str">
        <f>COUNTIF($D$2:D738,D738)&amp;D738</f>
        <v>0</v>
      </c>
      <c r="B583" t="str">
        <f>COUNTIF($E$2:E738,E738)&amp;E738</f>
        <v>0</v>
      </c>
    </row>
    <row r="584" spans="1:2" x14ac:dyDescent="0.25">
      <c r="A584" t="str">
        <f>COUNTIF($D$2:D739,D739)&amp;D739</f>
        <v>0</v>
      </c>
      <c r="B584" t="str">
        <f>COUNTIF($E$2:E739,E739)&amp;E739</f>
        <v>0</v>
      </c>
    </row>
    <row r="585" spans="1:2" x14ac:dyDescent="0.25">
      <c r="A585" t="str">
        <f>COUNTIF($D$2:D740,D740)&amp;D740</f>
        <v>0</v>
      </c>
      <c r="B585" t="str">
        <f>COUNTIF($E$2:E740,E740)&amp;E740</f>
        <v>0</v>
      </c>
    </row>
    <row r="586" spans="1:2" x14ac:dyDescent="0.25">
      <c r="A586" t="str">
        <f>COUNTIF($D$2:D741,D741)&amp;D741</f>
        <v>0</v>
      </c>
      <c r="B586" t="str">
        <f>COUNTIF($E$2:E741,E741)&amp;E741</f>
        <v>0</v>
      </c>
    </row>
    <row r="587" spans="1:2" x14ac:dyDescent="0.25">
      <c r="A587" t="str">
        <f>COUNTIF($D$2:D742,D742)&amp;D742</f>
        <v>0</v>
      </c>
      <c r="B587" t="str">
        <f>COUNTIF($E$2:E742,E742)&amp;E742</f>
        <v>0</v>
      </c>
    </row>
    <row r="588" spans="1:2" x14ac:dyDescent="0.25">
      <c r="A588" t="str">
        <f>COUNTIF($D$2:D743,D743)&amp;D743</f>
        <v>0</v>
      </c>
      <c r="B588" t="str">
        <f>COUNTIF($E$2:E743,E743)&amp;E743</f>
        <v>0</v>
      </c>
    </row>
    <row r="589" spans="1:2" x14ac:dyDescent="0.25">
      <c r="A589" t="str">
        <f>COUNTIF($D$2:D744,D744)&amp;D744</f>
        <v>0</v>
      </c>
      <c r="B589" t="str">
        <f>COUNTIF($E$2:E744,E744)&amp;E744</f>
        <v>0</v>
      </c>
    </row>
    <row r="590" spans="1:2" x14ac:dyDescent="0.25">
      <c r="A590" t="str">
        <f>COUNTIF($D$2:D745,D745)&amp;D745</f>
        <v>0</v>
      </c>
      <c r="B590" t="str">
        <f>COUNTIF($E$2:E745,E745)&amp;E745</f>
        <v>0</v>
      </c>
    </row>
    <row r="591" spans="1:2" x14ac:dyDescent="0.25">
      <c r="A591" t="str">
        <f>COUNTIF($D$2:D746,D746)&amp;D746</f>
        <v>0</v>
      </c>
      <c r="B591" t="str">
        <f>COUNTIF($E$2:E746,E746)&amp;E746</f>
        <v>0</v>
      </c>
    </row>
    <row r="592" spans="1:2" x14ac:dyDescent="0.25">
      <c r="A592" t="str">
        <f>COUNTIF($D$2:D747,D747)&amp;D747</f>
        <v>0</v>
      </c>
      <c r="B592" t="str">
        <f>COUNTIF($E$2:E747,E747)&amp;E747</f>
        <v>0</v>
      </c>
    </row>
    <row r="593" spans="1:2" x14ac:dyDescent="0.25">
      <c r="A593" t="str">
        <f>COUNTIF($D$2:D748,D748)&amp;D748</f>
        <v>0</v>
      </c>
      <c r="B593" t="str">
        <f>COUNTIF($E$2:E748,E748)&amp;E748</f>
        <v>0</v>
      </c>
    </row>
    <row r="594" spans="1:2" x14ac:dyDescent="0.25">
      <c r="A594" t="str">
        <f>COUNTIF($D$2:D749,D749)&amp;D749</f>
        <v>0</v>
      </c>
      <c r="B594" t="str">
        <f>COUNTIF($E$2:E749,E749)&amp;E749</f>
        <v>0</v>
      </c>
    </row>
    <row r="595" spans="1:2" x14ac:dyDescent="0.25">
      <c r="A595" t="str">
        <f>COUNTIF($D$2:D750,D750)&amp;D750</f>
        <v>0</v>
      </c>
      <c r="B595" t="str">
        <f>COUNTIF($E$2:E750,E750)&amp;E750</f>
        <v>0</v>
      </c>
    </row>
    <row r="596" spans="1:2" x14ac:dyDescent="0.25">
      <c r="A596" t="str">
        <f>COUNTIF($D$2:D751,D751)&amp;D751</f>
        <v>0</v>
      </c>
      <c r="B596" t="str">
        <f>COUNTIF($E$2:E751,E751)&amp;E751</f>
        <v>0</v>
      </c>
    </row>
    <row r="597" spans="1:2" x14ac:dyDescent="0.25">
      <c r="A597" t="str">
        <f>COUNTIF($D$2:D752,D752)&amp;D752</f>
        <v>0</v>
      </c>
      <c r="B597" t="str">
        <f>COUNTIF($E$2:E752,E752)&amp;E752</f>
        <v>0</v>
      </c>
    </row>
    <row r="598" spans="1:2" x14ac:dyDescent="0.25">
      <c r="A598" t="str">
        <f>COUNTIF($D$2:D753,D753)&amp;D753</f>
        <v>0</v>
      </c>
      <c r="B598" t="str">
        <f>COUNTIF($E$2:E753,E753)&amp;E753</f>
        <v>0</v>
      </c>
    </row>
    <row r="599" spans="1:2" x14ac:dyDescent="0.25">
      <c r="A599" t="str">
        <f>COUNTIF($D$2:D754,D754)&amp;D754</f>
        <v>0</v>
      </c>
      <c r="B599" t="str">
        <f>COUNTIF($E$2:E754,E754)&amp;E754</f>
        <v>0</v>
      </c>
    </row>
    <row r="600" spans="1:2" x14ac:dyDescent="0.25">
      <c r="A600" t="str">
        <f>COUNTIF($D$2:D755,D755)&amp;D755</f>
        <v>0</v>
      </c>
      <c r="B600" t="str">
        <f>COUNTIF($E$2:E755,E755)&amp;E755</f>
        <v>0</v>
      </c>
    </row>
    <row r="601" spans="1:2" x14ac:dyDescent="0.25">
      <c r="A601" t="str">
        <f>COUNTIF($D$2:D756,D756)&amp;D756</f>
        <v>0</v>
      </c>
      <c r="B601" t="str">
        <f>COUNTIF($E$2:E756,E756)&amp;E756</f>
        <v>0</v>
      </c>
    </row>
    <row r="602" spans="1:2" x14ac:dyDescent="0.25">
      <c r="A602" t="str">
        <f>COUNTIF($D$2:D757,D757)&amp;D757</f>
        <v>0</v>
      </c>
      <c r="B602" t="str">
        <f>COUNTIF($E$2:E757,E757)&amp;E757</f>
        <v>0</v>
      </c>
    </row>
    <row r="603" spans="1:2" x14ac:dyDescent="0.25">
      <c r="A603" t="str">
        <f>COUNTIF($D$2:D758,D758)&amp;D758</f>
        <v>0</v>
      </c>
      <c r="B603" t="str">
        <f>COUNTIF($E$2:E758,E758)&amp;E758</f>
        <v>0</v>
      </c>
    </row>
    <row r="604" spans="1:2" x14ac:dyDescent="0.25">
      <c r="A604" t="str">
        <f>COUNTIF($D$2:D759,D759)&amp;D759</f>
        <v>0</v>
      </c>
      <c r="B604" t="str">
        <f>COUNTIF($E$2:E759,E759)&amp;E759</f>
        <v>0</v>
      </c>
    </row>
    <row r="605" spans="1:2" x14ac:dyDescent="0.25">
      <c r="A605" t="str">
        <f>COUNTIF($D$2:D760,D760)&amp;D760</f>
        <v>0</v>
      </c>
      <c r="B605" t="str">
        <f>COUNTIF($E$2:E760,E760)&amp;E760</f>
        <v>0</v>
      </c>
    </row>
    <row r="606" spans="1:2" x14ac:dyDescent="0.25">
      <c r="A606" t="str">
        <f>COUNTIF($D$2:D761,D761)&amp;D761</f>
        <v>0</v>
      </c>
      <c r="B606" t="str">
        <f>COUNTIF($E$2:E761,E761)&amp;E761</f>
        <v>0</v>
      </c>
    </row>
    <row r="607" spans="1:2" x14ac:dyDescent="0.25">
      <c r="A607" t="str">
        <f>COUNTIF($D$2:D762,D762)&amp;D762</f>
        <v>0</v>
      </c>
      <c r="B607" t="str">
        <f>COUNTIF($E$2:E762,E762)&amp;E762</f>
        <v>0</v>
      </c>
    </row>
    <row r="608" spans="1:2" x14ac:dyDescent="0.25">
      <c r="A608" t="str">
        <f>COUNTIF($D$2:D763,D763)&amp;D763</f>
        <v>0</v>
      </c>
      <c r="B608" t="str">
        <f>COUNTIF($E$2:E763,E763)&amp;E763</f>
        <v>0</v>
      </c>
    </row>
    <row r="609" spans="1:2" x14ac:dyDescent="0.25">
      <c r="A609" t="str">
        <f>COUNTIF($D$2:D764,D764)&amp;D764</f>
        <v>0</v>
      </c>
      <c r="B609" t="str">
        <f>COUNTIF($E$2:E764,E764)&amp;E764</f>
        <v>0</v>
      </c>
    </row>
    <row r="610" spans="1:2" x14ac:dyDescent="0.25">
      <c r="A610" t="str">
        <f>COUNTIF($D$2:D765,D765)&amp;D765</f>
        <v>0</v>
      </c>
      <c r="B610" t="str">
        <f>COUNTIF($E$2:E765,E765)&amp;E765</f>
        <v>0</v>
      </c>
    </row>
    <row r="611" spans="1:2" x14ac:dyDescent="0.25">
      <c r="A611" t="str">
        <f>COUNTIF($D$2:D766,D766)&amp;D766</f>
        <v>0</v>
      </c>
      <c r="B611" t="str">
        <f>COUNTIF($E$2:E766,E766)&amp;E766</f>
        <v>0</v>
      </c>
    </row>
    <row r="612" spans="1:2" x14ac:dyDescent="0.25">
      <c r="A612" t="str">
        <f>COUNTIF($D$2:D767,D767)&amp;D767</f>
        <v>0</v>
      </c>
      <c r="B612" t="str">
        <f>COUNTIF($E$2:E767,E767)&amp;E767</f>
        <v>0</v>
      </c>
    </row>
    <row r="613" spans="1:2" x14ac:dyDescent="0.25">
      <c r="A613" t="str">
        <f>COUNTIF($D$2:D768,D768)&amp;D768</f>
        <v>0</v>
      </c>
      <c r="B613" t="str">
        <f>COUNTIF($E$2:E768,E768)&amp;E768</f>
        <v>0</v>
      </c>
    </row>
    <row r="614" spans="1:2" x14ac:dyDescent="0.25">
      <c r="A614" t="str">
        <f>COUNTIF($D$2:D769,D769)&amp;D769</f>
        <v>0</v>
      </c>
      <c r="B614" t="str">
        <f>COUNTIF($E$2:E769,E769)&amp;E769</f>
        <v>0</v>
      </c>
    </row>
    <row r="615" spans="1:2" x14ac:dyDescent="0.25">
      <c r="A615" t="str">
        <f>COUNTIF($D$2:D770,D770)&amp;D770</f>
        <v>0</v>
      </c>
      <c r="B615" t="str">
        <f>COUNTIF($E$2:E770,E770)&amp;E770</f>
        <v>0</v>
      </c>
    </row>
    <row r="616" spans="1:2" x14ac:dyDescent="0.25">
      <c r="A616" t="str">
        <f>COUNTIF($D$2:D771,D771)&amp;D771</f>
        <v>0</v>
      </c>
      <c r="B616" t="str">
        <f>COUNTIF($E$2:E771,E771)&amp;E771</f>
        <v>0</v>
      </c>
    </row>
    <row r="617" spans="1:2" x14ac:dyDescent="0.25">
      <c r="A617" t="str">
        <f>COUNTIF($D$2:D772,D772)&amp;D772</f>
        <v>0</v>
      </c>
      <c r="B617" t="str">
        <f>COUNTIF($E$2:E772,E772)&amp;E772</f>
        <v>0</v>
      </c>
    </row>
    <row r="618" spans="1:2" x14ac:dyDescent="0.25">
      <c r="A618" t="str">
        <f>COUNTIF($D$2:D773,D773)&amp;D773</f>
        <v>0</v>
      </c>
      <c r="B618" t="str">
        <f>COUNTIF($E$2:E773,E773)&amp;E773</f>
        <v>0</v>
      </c>
    </row>
    <row r="619" spans="1:2" x14ac:dyDescent="0.25">
      <c r="A619" t="str">
        <f>COUNTIF($D$2:D774,D774)&amp;D774</f>
        <v>0</v>
      </c>
      <c r="B619" t="str">
        <f>COUNTIF($E$2:E774,E774)&amp;E774</f>
        <v>0</v>
      </c>
    </row>
    <row r="620" spans="1:2" x14ac:dyDescent="0.25">
      <c r="A620" t="str">
        <f>COUNTIF($D$2:D775,D775)&amp;D775</f>
        <v>0</v>
      </c>
      <c r="B620" t="str">
        <f>COUNTIF($E$2:E775,E775)&amp;E775</f>
        <v>0</v>
      </c>
    </row>
    <row r="621" spans="1:2" x14ac:dyDescent="0.25">
      <c r="A621" t="str">
        <f>COUNTIF($D$2:D776,D776)&amp;D776</f>
        <v>0</v>
      </c>
      <c r="B621" t="str">
        <f>COUNTIF($E$2:E776,E776)&amp;E776</f>
        <v>0</v>
      </c>
    </row>
    <row r="622" spans="1:2" x14ac:dyDescent="0.25">
      <c r="A622" t="str">
        <f>COUNTIF($D$2:D777,D777)&amp;D777</f>
        <v>0</v>
      </c>
      <c r="B622" t="str">
        <f>COUNTIF($E$2:E777,E777)&amp;E777</f>
        <v>0</v>
      </c>
    </row>
    <row r="623" spans="1:2" x14ac:dyDescent="0.25">
      <c r="A623" t="str">
        <f>COUNTIF($D$2:D778,D778)&amp;D778</f>
        <v>0</v>
      </c>
      <c r="B623" t="str">
        <f>COUNTIF($E$2:E778,E778)&amp;E778</f>
        <v>0</v>
      </c>
    </row>
    <row r="624" spans="1:2" x14ac:dyDescent="0.25">
      <c r="A624" t="str">
        <f>COUNTIF($D$2:D779,D779)&amp;D779</f>
        <v>0</v>
      </c>
      <c r="B624" t="str">
        <f>COUNTIF($E$2:E779,E779)&amp;E779</f>
        <v>0</v>
      </c>
    </row>
    <row r="625" spans="1:2" x14ac:dyDescent="0.25">
      <c r="A625" t="str">
        <f>COUNTIF($D$2:D780,D780)&amp;D780</f>
        <v>0</v>
      </c>
      <c r="B625" t="str">
        <f>COUNTIF($E$2:E780,E780)&amp;E780</f>
        <v>0</v>
      </c>
    </row>
    <row r="626" spans="1:2" x14ac:dyDescent="0.25">
      <c r="A626" t="str">
        <f>COUNTIF($D$2:D781,D781)&amp;D781</f>
        <v>0</v>
      </c>
      <c r="B626" t="str">
        <f>COUNTIF($E$2:E781,E781)&amp;E781</f>
        <v>0</v>
      </c>
    </row>
    <row r="627" spans="1:2" x14ac:dyDescent="0.25">
      <c r="A627" t="str">
        <f>COUNTIF($D$2:D782,D782)&amp;D782</f>
        <v>0</v>
      </c>
      <c r="B627" t="str">
        <f>COUNTIF($E$2:E782,E782)&amp;E782</f>
        <v>0</v>
      </c>
    </row>
    <row r="628" spans="1:2" x14ac:dyDescent="0.25">
      <c r="A628" t="str">
        <f>COUNTIF($D$2:D783,D783)&amp;D783</f>
        <v>0</v>
      </c>
      <c r="B628" t="str">
        <f>COUNTIF($E$2:E783,E783)&amp;E783</f>
        <v>0</v>
      </c>
    </row>
    <row r="629" spans="1:2" x14ac:dyDescent="0.25">
      <c r="A629" t="str">
        <f>COUNTIF($D$2:D784,D784)&amp;D784</f>
        <v>0</v>
      </c>
      <c r="B629" t="str">
        <f>COUNTIF($E$2:E784,E784)&amp;E784</f>
        <v>0</v>
      </c>
    </row>
    <row r="630" spans="1:2" x14ac:dyDescent="0.25">
      <c r="A630" t="str">
        <f>COUNTIF($D$2:D785,D785)&amp;D785</f>
        <v>0</v>
      </c>
      <c r="B630" t="str">
        <f>COUNTIF($E$2:E785,E785)&amp;E785</f>
        <v>0</v>
      </c>
    </row>
    <row r="631" spans="1:2" x14ac:dyDescent="0.25">
      <c r="A631" t="str">
        <f>COUNTIF($D$2:D786,D786)&amp;D786</f>
        <v>0</v>
      </c>
      <c r="B631" t="str">
        <f>COUNTIF($E$2:E786,E786)&amp;E786</f>
        <v>0</v>
      </c>
    </row>
    <row r="632" spans="1:2" x14ac:dyDescent="0.25">
      <c r="A632" t="str">
        <f>COUNTIF($D$2:D787,D787)&amp;D787</f>
        <v>0</v>
      </c>
      <c r="B632" t="str">
        <f>COUNTIF($E$2:E787,E787)&amp;E787</f>
        <v>0</v>
      </c>
    </row>
    <row r="633" spans="1:2" x14ac:dyDescent="0.25">
      <c r="A633" t="str">
        <f>COUNTIF($D$2:D788,D788)&amp;D788</f>
        <v>0</v>
      </c>
      <c r="B633" t="str">
        <f>COUNTIF($E$2:E788,E788)&amp;E788</f>
        <v>0</v>
      </c>
    </row>
    <row r="634" spans="1:2" x14ac:dyDescent="0.25">
      <c r="A634" t="str">
        <f>COUNTIF($D$2:D789,D789)&amp;D789</f>
        <v>0</v>
      </c>
      <c r="B634" t="str">
        <f>COUNTIF($E$2:E789,E789)&amp;E789</f>
        <v>0</v>
      </c>
    </row>
    <row r="635" spans="1:2" x14ac:dyDescent="0.25">
      <c r="A635" t="str">
        <f>COUNTIF($D$2:D790,D790)&amp;D790</f>
        <v>0</v>
      </c>
      <c r="B635" t="str">
        <f>COUNTIF($E$2:E790,E790)&amp;E790</f>
        <v>0</v>
      </c>
    </row>
    <row r="636" spans="1:2" x14ac:dyDescent="0.25">
      <c r="A636" t="str">
        <f>COUNTIF($D$2:D791,D791)&amp;D791</f>
        <v>0</v>
      </c>
      <c r="B636" t="str">
        <f>COUNTIF($E$2:E791,E791)&amp;E791</f>
        <v>0</v>
      </c>
    </row>
    <row r="637" spans="1:2" x14ac:dyDescent="0.25">
      <c r="A637" t="str">
        <f>COUNTIF($D$2:D792,D792)&amp;D792</f>
        <v>0</v>
      </c>
      <c r="B637" t="str">
        <f>COUNTIF($E$2:E792,E792)&amp;E792</f>
        <v>0</v>
      </c>
    </row>
    <row r="638" spans="1:2" x14ac:dyDescent="0.25">
      <c r="A638" t="str">
        <f>COUNTIF($D$2:D793,D793)&amp;D793</f>
        <v>0</v>
      </c>
      <c r="B638" t="str">
        <f>COUNTIF($E$2:E793,E793)&amp;E793</f>
        <v>0</v>
      </c>
    </row>
    <row r="639" spans="1:2" x14ac:dyDescent="0.25">
      <c r="A639" t="str">
        <f>COUNTIF($D$2:D794,D794)&amp;D794</f>
        <v>0</v>
      </c>
      <c r="B639" t="str">
        <f>COUNTIF($E$2:E794,E794)&amp;E794</f>
        <v>0</v>
      </c>
    </row>
    <row r="640" spans="1:2" x14ac:dyDescent="0.25">
      <c r="A640" t="str">
        <f>COUNTIF($D$2:D795,D795)&amp;D795</f>
        <v>0</v>
      </c>
      <c r="B640" t="str">
        <f>COUNTIF($E$2:E795,E795)&amp;E795</f>
        <v>0</v>
      </c>
    </row>
    <row r="641" spans="1:2" x14ac:dyDescent="0.25">
      <c r="A641" t="str">
        <f>COUNTIF($D$2:D796,D796)&amp;D796</f>
        <v>0</v>
      </c>
      <c r="B641" t="str">
        <f>COUNTIF($E$2:E796,E796)&amp;E796</f>
        <v>0</v>
      </c>
    </row>
    <row r="642" spans="1:2" x14ac:dyDescent="0.25">
      <c r="A642" t="str">
        <f>COUNTIF($D$2:D797,D797)&amp;D797</f>
        <v>0</v>
      </c>
      <c r="B642" t="str">
        <f>COUNTIF($E$2:E797,E797)&amp;E797</f>
        <v>0</v>
      </c>
    </row>
    <row r="643" spans="1:2" x14ac:dyDescent="0.25">
      <c r="A643" t="str">
        <f>COUNTIF($D$2:D798,D798)&amp;D798</f>
        <v>0</v>
      </c>
      <c r="B643" t="str">
        <f>COUNTIF($E$2:E798,E798)&amp;E798</f>
        <v>0</v>
      </c>
    </row>
    <row r="644" spans="1:2" x14ac:dyDescent="0.25">
      <c r="A644" t="str">
        <f>COUNTIF($D$2:D799,D799)&amp;D799</f>
        <v>0</v>
      </c>
      <c r="B644" t="str">
        <f>COUNTIF($E$2:E799,E799)&amp;E799</f>
        <v>0</v>
      </c>
    </row>
    <row r="645" spans="1:2" x14ac:dyDescent="0.25">
      <c r="A645" t="str">
        <f>COUNTIF($D$2:D800,D800)&amp;D800</f>
        <v>0</v>
      </c>
      <c r="B645" t="str">
        <f>COUNTIF($E$2:E800,E800)&amp;E800</f>
        <v>0</v>
      </c>
    </row>
    <row r="646" spans="1:2" x14ac:dyDescent="0.25">
      <c r="A646" t="str">
        <f>COUNTIF($D$2:D801,D801)&amp;D801</f>
        <v>0</v>
      </c>
      <c r="B646" t="str">
        <f>COUNTIF($E$2:E801,E801)&amp;E801</f>
        <v>0</v>
      </c>
    </row>
    <row r="647" spans="1:2" x14ac:dyDescent="0.25">
      <c r="A647" t="str">
        <f>COUNTIF($D$2:D802,D802)&amp;D802</f>
        <v>0</v>
      </c>
      <c r="B647" t="str">
        <f>COUNTIF($E$2:E802,E802)&amp;E802</f>
        <v>0</v>
      </c>
    </row>
    <row r="648" spans="1:2" x14ac:dyDescent="0.25">
      <c r="A648" t="str">
        <f>COUNTIF($D$2:D803,D803)&amp;D803</f>
        <v>0</v>
      </c>
      <c r="B648" t="str">
        <f>COUNTIF($E$2:E803,E803)&amp;E803</f>
        <v>0</v>
      </c>
    </row>
    <row r="649" spans="1:2" x14ac:dyDescent="0.25">
      <c r="A649" t="str">
        <f>COUNTIF($D$2:D804,D804)&amp;D804</f>
        <v>0</v>
      </c>
      <c r="B649" t="str">
        <f>COUNTIF($E$2:E804,E804)&amp;E804</f>
        <v>0</v>
      </c>
    </row>
    <row r="650" spans="1:2" x14ac:dyDescent="0.25">
      <c r="A650" t="str">
        <f>COUNTIF($D$2:D805,D805)&amp;D805</f>
        <v>0</v>
      </c>
      <c r="B650" t="str">
        <f>COUNTIF($E$2:E805,E805)&amp;E805</f>
        <v>0</v>
      </c>
    </row>
    <row r="651" spans="1:2" x14ac:dyDescent="0.25">
      <c r="A651" t="str">
        <f>COUNTIF($D$2:D806,D806)&amp;D806</f>
        <v>0</v>
      </c>
      <c r="B651" t="str">
        <f>COUNTIF($E$2:E806,E806)&amp;E806</f>
        <v>0</v>
      </c>
    </row>
    <row r="652" spans="1:2" x14ac:dyDescent="0.25">
      <c r="A652" t="str">
        <f>COUNTIF($D$2:D807,D807)&amp;D807</f>
        <v>0</v>
      </c>
      <c r="B652" t="str">
        <f>COUNTIF($E$2:E807,E807)&amp;E807</f>
        <v>0</v>
      </c>
    </row>
    <row r="653" spans="1:2" x14ac:dyDescent="0.25">
      <c r="A653" t="str">
        <f>COUNTIF($D$2:D808,D808)&amp;D808</f>
        <v>0</v>
      </c>
      <c r="B653" t="str">
        <f>COUNTIF($E$2:E808,E808)&amp;E808</f>
        <v>0</v>
      </c>
    </row>
    <row r="654" spans="1:2" x14ac:dyDescent="0.25">
      <c r="A654" t="str">
        <f>COUNTIF($D$2:D809,D809)&amp;D809</f>
        <v>0</v>
      </c>
      <c r="B654" t="str">
        <f>COUNTIF($E$2:E809,E809)&amp;E809</f>
        <v>0</v>
      </c>
    </row>
    <row r="655" spans="1:2" x14ac:dyDescent="0.25">
      <c r="A655" t="str">
        <f>COUNTIF($D$2:D810,D810)&amp;D810</f>
        <v>0</v>
      </c>
      <c r="B655" t="str">
        <f>COUNTIF($E$2:E810,E810)&amp;E810</f>
        <v>0</v>
      </c>
    </row>
    <row r="656" spans="1:2" x14ac:dyDescent="0.25">
      <c r="A656" t="str">
        <f>COUNTIF($D$2:D811,D811)&amp;D811</f>
        <v>0</v>
      </c>
      <c r="B656" t="str">
        <f>COUNTIF($E$2:E811,E811)&amp;E811</f>
        <v>0</v>
      </c>
    </row>
    <row r="657" spans="1:2" x14ac:dyDescent="0.25">
      <c r="A657" t="str">
        <f>COUNTIF($D$2:D812,D812)&amp;D812</f>
        <v>0</v>
      </c>
      <c r="B657" t="str">
        <f>COUNTIF($E$2:E812,E812)&amp;E812</f>
        <v>0</v>
      </c>
    </row>
    <row r="658" spans="1:2" x14ac:dyDescent="0.25">
      <c r="A658" t="str">
        <f>COUNTIF($D$2:D813,D813)&amp;D813</f>
        <v>0</v>
      </c>
      <c r="B658" t="str">
        <f>COUNTIF($E$2:E813,E813)&amp;E813</f>
        <v>0</v>
      </c>
    </row>
    <row r="659" spans="1:2" x14ac:dyDescent="0.25">
      <c r="A659" t="str">
        <f>COUNTIF($D$2:D814,D814)&amp;D814</f>
        <v>0</v>
      </c>
      <c r="B659" t="str">
        <f>COUNTIF($E$2:E814,E814)&amp;E814</f>
        <v>0</v>
      </c>
    </row>
    <row r="660" spans="1:2" x14ac:dyDescent="0.25">
      <c r="A660" t="str">
        <f>COUNTIF($D$2:D815,D815)&amp;D815</f>
        <v>0</v>
      </c>
      <c r="B660" t="str">
        <f>COUNTIF($E$2:E815,E815)&amp;E815</f>
        <v>0</v>
      </c>
    </row>
    <row r="661" spans="1:2" x14ac:dyDescent="0.25">
      <c r="A661" t="str">
        <f>COUNTIF($D$2:D816,D816)&amp;D816</f>
        <v>0</v>
      </c>
      <c r="B661" t="str">
        <f>COUNTIF($E$2:E816,E816)&amp;E816</f>
        <v>0</v>
      </c>
    </row>
    <row r="662" spans="1:2" x14ac:dyDescent="0.25">
      <c r="A662" t="str">
        <f>COUNTIF($D$2:D817,D817)&amp;D817</f>
        <v>0</v>
      </c>
      <c r="B662" t="str">
        <f>COUNTIF($E$2:E817,E817)&amp;E817</f>
        <v>0</v>
      </c>
    </row>
    <row r="663" spans="1:2" x14ac:dyDescent="0.25">
      <c r="A663" t="str">
        <f>COUNTIF($D$2:D818,D818)&amp;D818</f>
        <v>0</v>
      </c>
      <c r="B663" t="str">
        <f>COUNTIF($E$2:E818,E818)&amp;E818</f>
        <v>0</v>
      </c>
    </row>
    <row r="664" spans="1:2" x14ac:dyDescent="0.25">
      <c r="A664" t="str">
        <f>COUNTIF($D$2:D819,D819)&amp;D819</f>
        <v>0</v>
      </c>
      <c r="B664" t="str">
        <f>COUNTIF($E$2:E819,E819)&amp;E819</f>
        <v>0</v>
      </c>
    </row>
    <row r="665" spans="1:2" x14ac:dyDescent="0.25">
      <c r="A665" t="str">
        <f>COUNTIF($D$2:D820,D820)&amp;D820</f>
        <v>0</v>
      </c>
      <c r="B665" t="str">
        <f>COUNTIF($E$2:E820,E820)&amp;E820</f>
        <v>0</v>
      </c>
    </row>
    <row r="666" spans="1:2" x14ac:dyDescent="0.25">
      <c r="A666" t="str">
        <f>COUNTIF($D$2:D821,D821)&amp;D821</f>
        <v>0</v>
      </c>
      <c r="B666" t="str">
        <f>COUNTIF($E$2:E821,E821)&amp;E821</f>
        <v>0</v>
      </c>
    </row>
    <row r="667" spans="1:2" x14ac:dyDescent="0.25">
      <c r="A667" t="str">
        <f>COUNTIF($D$2:D822,D822)&amp;D822</f>
        <v>0</v>
      </c>
      <c r="B667" t="str">
        <f>COUNTIF($E$2:E822,E822)&amp;E822</f>
        <v>0</v>
      </c>
    </row>
    <row r="668" spans="1:2" x14ac:dyDescent="0.25">
      <c r="A668" t="str">
        <f>COUNTIF($D$2:D823,D823)&amp;D823</f>
        <v>0</v>
      </c>
      <c r="B668" t="str">
        <f>COUNTIF($E$2:E823,E823)&amp;E823</f>
        <v>0</v>
      </c>
    </row>
    <row r="669" spans="1:2" x14ac:dyDescent="0.25">
      <c r="A669" t="str">
        <f>COUNTIF($D$2:D824,D824)&amp;D824</f>
        <v>0</v>
      </c>
      <c r="B669" t="str">
        <f>COUNTIF($E$2:E824,E824)&amp;E824</f>
        <v>0</v>
      </c>
    </row>
    <row r="670" spans="1:2" x14ac:dyDescent="0.25">
      <c r="A670" t="str">
        <f>COUNTIF($D$2:D825,D825)&amp;D825</f>
        <v>0</v>
      </c>
      <c r="B670" t="str">
        <f>COUNTIF($E$2:E825,E825)&amp;E825</f>
        <v>0</v>
      </c>
    </row>
    <row r="671" spans="1:2" x14ac:dyDescent="0.25">
      <c r="A671" t="str">
        <f>COUNTIF($D$2:D826,D826)&amp;D826</f>
        <v>0</v>
      </c>
      <c r="B671" t="str">
        <f>COUNTIF($E$2:E826,E826)&amp;E826</f>
        <v>0</v>
      </c>
    </row>
    <row r="672" spans="1:2" x14ac:dyDescent="0.25">
      <c r="A672" t="str">
        <f>COUNTIF($D$2:D827,D827)&amp;D827</f>
        <v>0</v>
      </c>
      <c r="B672" t="str">
        <f>COUNTIF($E$2:E827,E827)&amp;E827</f>
        <v>0</v>
      </c>
    </row>
    <row r="673" spans="1:2" x14ac:dyDescent="0.25">
      <c r="A673" t="str">
        <f>COUNTIF($D$2:D828,D828)&amp;D828</f>
        <v>0</v>
      </c>
      <c r="B673" t="str">
        <f>COUNTIF($E$2:E828,E828)&amp;E828</f>
        <v>0</v>
      </c>
    </row>
    <row r="674" spans="1:2" x14ac:dyDescent="0.25">
      <c r="A674" t="str">
        <f>COUNTIF($D$2:D829,D829)&amp;D829</f>
        <v>0</v>
      </c>
      <c r="B674" t="str">
        <f>COUNTIF($E$2:E829,E829)&amp;E829</f>
        <v>0</v>
      </c>
    </row>
    <row r="675" spans="1:2" x14ac:dyDescent="0.25">
      <c r="A675" t="str">
        <f>COUNTIF($D$2:D830,D830)&amp;D830</f>
        <v>0</v>
      </c>
      <c r="B675" t="str">
        <f>COUNTIF($E$2:E830,E830)&amp;E830</f>
        <v>0</v>
      </c>
    </row>
    <row r="676" spans="1:2" x14ac:dyDescent="0.25">
      <c r="A676" t="str">
        <f>COUNTIF($D$2:D831,D831)&amp;D831</f>
        <v>0</v>
      </c>
      <c r="B676" t="str">
        <f>COUNTIF($E$2:E831,E831)&amp;E831</f>
        <v>0</v>
      </c>
    </row>
    <row r="677" spans="1:2" x14ac:dyDescent="0.25">
      <c r="A677" t="str">
        <f>COUNTIF($D$2:D832,D832)&amp;D832</f>
        <v>0</v>
      </c>
      <c r="B677" t="str">
        <f>COUNTIF($E$2:E832,E832)&amp;E832</f>
        <v>0</v>
      </c>
    </row>
    <row r="678" spans="1:2" x14ac:dyDescent="0.25">
      <c r="A678" t="str">
        <f>COUNTIF($D$2:D833,D833)&amp;D833</f>
        <v>0</v>
      </c>
      <c r="B678" t="str">
        <f>COUNTIF($E$2:E833,E833)&amp;E833</f>
        <v>0</v>
      </c>
    </row>
    <row r="679" spans="1:2" x14ac:dyDescent="0.25">
      <c r="A679" t="str">
        <f>COUNTIF($D$2:D834,D834)&amp;D834</f>
        <v>0</v>
      </c>
      <c r="B679" t="str">
        <f>COUNTIF($E$2:E834,E834)&amp;E834</f>
        <v>0</v>
      </c>
    </row>
    <row r="680" spans="1:2" x14ac:dyDescent="0.25">
      <c r="A680" t="str">
        <f>COUNTIF($D$2:D835,D835)&amp;D835</f>
        <v>0</v>
      </c>
      <c r="B680" t="str">
        <f>COUNTIF($E$2:E835,E835)&amp;E835</f>
        <v>0</v>
      </c>
    </row>
    <row r="681" spans="1:2" x14ac:dyDescent="0.25">
      <c r="A681" t="str">
        <f>COUNTIF($D$2:D836,D836)&amp;D836</f>
        <v>0</v>
      </c>
      <c r="B681" t="str">
        <f>COUNTIF($E$2:E836,E836)&amp;E836</f>
        <v>0</v>
      </c>
    </row>
    <row r="682" spans="1:2" x14ac:dyDescent="0.25">
      <c r="A682" t="str">
        <f>COUNTIF($D$2:D837,D837)&amp;D837</f>
        <v>0</v>
      </c>
      <c r="B682" t="str">
        <f>COUNTIF($E$2:E837,E837)&amp;E837</f>
        <v>0</v>
      </c>
    </row>
    <row r="683" spans="1:2" x14ac:dyDescent="0.25">
      <c r="A683" t="str">
        <f>COUNTIF($D$2:D838,D838)&amp;D838</f>
        <v>0</v>
      </c>
      <c r="B683" t="str">
        <f>COUNTIF($E$2:E838,E838)&amp;E838</f>
        <v>0</v>
      </c>
    </row>
    <row r="684" spans="1:2" x14ac:dyDescent="0.25">
      <c r="A684" t="str">
        <f>COUNTIF($D$2:D839,D839)&amp;D839</f>
        <v>0</v>
      </c>
      <c r="B684" t="str">
        <f>COUNTIF($E$2:E839,E839)&amp;E839</f>
        <v>0</v>
      </c>
    </row>
    <row r="685" spans="1:2" x14ac:dyDescent="0.25">
      <c r="A685" t="str">
        <f>COUNTIF($D$2:D840,D840)&amp;D840</f>
        <v>0</v>
      </c>
      <c r="B685" t="str">
        <f>COUNTIF($E$2:E840,E840)&amp;E840</f>
        <v>0</v>
      </c>
    </row>
    <row r="686" spans="1:2" x14ac:dyDescent="0.25">
      <c r="A686" t="str">
        <f>COUNTIF($D$2:D841,D841)&amp;D841</f>
        <v>0</v>
      </c>
      <c r="B686" t="str">
        <f>COUNTIF($E$2:E841,E841)&amp;E841</f>
        <v>0</v>
      </c>
    </row>
    <row r="687" spans="1:2" x14ac:dyDescent="0.25">
      <c r="A687" t="str">
        <f>COUNTIF($D$2:D842,D842)&amp;D842</f>
        <v>0</v>
      </c>
      <c r="B687" t="str">
        <f>COUNTIF($E$2:E842,E842)&amp;E842</f>
        <v>0</v>
      </c>
    </row>
    <row r="688" spans="1:2" x14ac:dyDescent="0.25">
      <c r="A688" t="str">
        <f>COUNTIF($D$2:D843,D843)&amp;D843</f>
        <v>0</v>
      </c>
      <c r="B688" t="str">
        <f>COUNTIF($E$2:E843,E843)&amp;E843</f>
        <v>0</v>
      </c>
    </row>
    <row r="689" spans="1:2" x14ac:dyDescent="0.25">
      <c r="A689" t="str">
        <f>COUNTIF($D$2:D844,D844)&amp;D844</f>
        <v>0</v>
      </c>
      <c r="B689" t="str">
        <f>COUNTIF($E$2:E844,E844)&amp;E844</f>
        <v>0</v>
      </c>
    </row>
    <row r="690" spans="1:2" x14ac:dyDescent="0.25">
      <c r="A690" t="str">
        <f>COUNTIF($D$2:D845,D845)&amp;D845</f>
        <v>0</v>
      </c>
      <c r="B690" t="str">
        <f>COUNTIF($E$2:E845,E845)&amp;E845</f>
        <v>0</v>
      </c>
    </row>
    <row r="691" spans="1:2" x14ac:dyDescent="0.25">
      <c r="A691" t="str">
        <f>COUNTIF($D$2:D846,D846)&amp;D846</f>
        <v>0</v>
      </c>
      <c r="B691" t="str">
        <f>COUNTIF($E$2:E846,E846)&amp;E846</f>
        <v>0</v>
      </c>
    </row>
    <row r="692" spans="1:2" x14ac:dyDescent="0.25">
      <c r="A692" t="str">
        <f>COUNTIF($D$2:D847,D847)&amp;D847</f>
        <v>0</v>
      </c>
      <c r="B692" t="str">
        <f>COUNTIF($E$2:E847,E847)&amp;E847</f>
        <v>0</v>
      </c>
    </row>
    <row r="693" spans="1:2" x14ac:dyDescent="0.25">
      <c r="A693" t="str">
        <f>COUNTIF($D$2:D848,D848)&amp;D848</f>
        <v>0</v>
      </c>
      <c r="B693" t="str">
        <f>COUNTIF($E$2:E848,E848)&amp;E848</f>
        <v>0</v>
      </c>
    </row>
    <row r="694" spans="1:2" x14ac:dyDescent="0.25">
      <c r="A694" t="str">
        <f>COUNTIF($D$2:D849,D849)&amp;D849</f>
        <v>0</v>
      </c>
      <c r="B694" t="str">
        <f>COUNTIF($E$2:E849,E849)&amp;E849</f>
        <v>0</v>
      </c>
    </row>
    <row r="695" spans="1:2" x14ac:dyDescent="0.25">
      <c r="A695" t="str">
        <f>COUNTIF($D$2:D850,D850)&amp;D850</f>
        <v>0</v>
      </c>
      <c r="B695" t="str">
        <f>COUNTIF($E$2:E850,E850)&amp;E850</f>
        <v>0</v>
      </c>
    </row>
    <row r="696" spans="1:2" x14ac:dyDescent="0.25">
      <c r="A696" t="str">
        <f>COUNTIF($D$2:D851,D851)&amp;D851</f>
        <v>0</v>
      </c>
      <c r="B696" t="str">
        <f>COUNTIF($E$2:E851,E851)&amp;E851</f>
        <v>0</v>
      </c>
    </row>
    <row r="697" spans="1:2" x14ac:dyDescent="0.25">
      <c r="A697" t="str">
        <f>COUNTIF($D$2:D852,D852)&amp;D852</f>
        <v>0</v>
      </c>
      <c r="B697" t="str">
        <f>COUNTIF($E$2:E852,E852)&amp;E852</f>
        <v>0</v>
      </c>
    </row>
    <row r="698" spans="1:2" x14ac:dyDescent="0.25">
      <c r="A698" t="str">
        <f>COUNTIF($D$2:D853,D853)&amp;D853</f>
        <v>0</v>
      </c>
      <c r="B698" t="str">
        <f>COUNTIF($E$2:E853,E853)&amp;E853</f>
        <v>0</v>
      </c>
    </row>
    <row r="699" spans="1:2" x14ac:dyDescent="0.25">
      <c r="A699" t="str">
        <f>COUNTIF($D$2:D854,D854)&amp;D854</f>
        <v>0</v>
      </c>
      <c r="B699" t="str">
        <f>COUNTIF($E$2:E854,E854)&amp;E854</f>
        <v>0</v>
      </c>
    </row>
    <row r="700" spans="1:2" x14ac:dyDescent="0.25">
      <c r="A700" t="str">
        <f>COUNTIF($D$2:D855,D855)&amp;D855</f>
        <v>0</v>
      </c>
      <c r="B700" t="str">
        <f>COUNTIF($E$2:E855,E855)&amp;E855</f>
        <v>0</v>
      </c>
    </row>
    <row r="701" spans="1:2" x14ac:dyDescent="0.25">
      <c r="A701" t="str">
        <f>COUNTIF($D$2:D856,D856)&amp;D856</f>
        <v>0</v>
      </c>
      <c r="B701" t="str">
        <f>COUNTIF($E$2:E856,E856)&amp;E856</f>
        <v>0</v>
      </c>
    </row>
    <row r="702" spans="1:2" x14ac:dyDescent="0.25">
      <c r="A702" t="str">
        <f>COUNTIF($D$2:D857,D857)&amp;D857</f>
        <v>0</v>
      </c>
      <c r="B702" t="str">
        <f>COUNTIF($E$2:E857,E857)&amp;E857</f>
        <v>0</v>
      </c>
    </row>
    <row r="703" spans="1:2" x14ac:dyDescent="0.25">
      <c r="A703" t="str">
        <f>COUNTIF($D$2:D858,D858)&amp;D858</f>
        <v>0</v>
      </c>
      <c r="B703" t="str">
        <f>COUNTIF($E$2:E858,E858)&amp;E858</f>
        <v>0</v>
      </c>
    </row>
    <row r="704" spans="1:2" x14ac:dyDescent="0.25">
      <c r="A704" t="str">
        <f>COUNTIF($D$2:D859,D859)&amp;D859</f>
        <v>0</v>
      </c>
      <c r="B704" t="str">
        <f>COUNTIF($E$2:E859,E859)&amp;E859</f>
        <v>0</v>
      </c>
    </row>
    <row r="705" spans="1:2" x14ac:dyDescent="0.25">
      <c r="A705" t="str">
        <f>COUNTIF($D$2:D860,D860)&amp;D860</f>
        <v>0</v>
      </c>
      <c r="B705" t="str">
        <f>COUNTIF($E$2:E860,E860)&amp;E860</f>
        <v>0</v>
      </c>
    </row>
    <row r="706" spans="1:2" x14ac:dyDescent="0.25">
      <c r="A706" t="str">
        <f>COUNTIF($D$2:D861,D861)&amp;D861</f>
        <v>0</v>
      </c>
      <c r="B706" t="str">
        <f>COUNTIF($E$2:E861,E861)&amp;E861</f>
        <v>0</v>
      </c>
    </row>
    <row r="707" spans="1:2" x14ac:dyDescent="0.25">
      <c r="A707" t="str">
        <f>COUNTIF($D$2:D862,D862)&amp;D862</f>
        <v>0</v>
      </c>
      <c r="B707" t="str">
        <f>COUNTIF($E$2:E862,E862)&amp;E862</f>
        <v>0</v>
      </c>
    </row>
    <row r="708" spans="1:2" x14ac:dyDescent="0.25">
      <c r="A708" t="str">
        <f>COUNTIF($D$2:D863,D863)&amp;D863</f>
        <v>0</v>
      </c>
      <c r="B708" t="str">
        <f>COUNTIF($E$2:E863,E863)&amp;E863</f>
        <v>0</v>
      </c>
    </row>
    <row r="709" spans="1:2" x14ac:dyDescent="0.25">
      <c r="A709" t="str">
        <f>COUNTIF($D$2:D864,D864)&amp;D864</f>
        <v>0</v>
      </c>
      <c r="B709" t="str">
        <f>COUNTIF($E$2:E864,E864)&amp;E864</f>
        <v>0</v>
      </c>
    </row>
    <row r="710" spans="1:2" x14ac:dyDescent="0.25">
      <c r="A710" t="str">
        <f>COUNTIF($D$2:D865,D865)&amp;D865</f>
        <v>0</v>
      </c>
      <c r="B710" t="str">
        <f>COUNTIF($E$2:E865,E865)&amp;E865</f>
        <v>0</v>
      </c>
    </row>
    <row r="711" spans="1:2" x14ac:dyDescent="0.25">
      <c r="A711" t="str">
        <f>COUNTIF($D$2:D866,D866)&amp;D866</f>
        <v>0</v>
      </c>
      <c r="B711" t="str">
        <f>COUNTIF($E$2:E866,E866)&amp;E866</f>
        <v>0</v>
      </c>
    </row>
    <row r="712" spans="1:2" x14ac:dyDescent="0.25">
      <c r="A712" t="str">
        <f>COUNTIF($D$2:D867,D867)&amp;D867</f>
        <v>0</v>
      </c>
      <c r="B712" t="str">
        <f>COUNTIF($E$2:E867,E867)&amp;E867</f>
        <v>0</v>
      </c>
    </row>
    <row r="713" spans="1:2" x14ac:dyDescent="0.25">
      <c r="A713" t="str">
        <f>COUNTIF($D$2:D868,D868)&amp;D868</f>
        <v>0</v>
      </c>
      <c r="B713" t="str">
        <f>COUNTIF($E$2:E868,E868)&amp;E868</f>
        <v>0</v>
      </c>
    </row>
    <row r="714" spans="1:2" x14ac:dyDescent="0.25">
      <c r="A714" t="str">
        <f>COUNTIF($D$2:D869,D869)&amp;D869</f>
        <v>0</v>
      </c>
      <c r="B714" t="str">
        <f>COUNTIF($E$2:E869,E869)&amp;E869</f>
        <v>0</v>
      </c>
    </row>
    <row r="715" spans="1:2" x14ac:dyDescent="0.25">
      <c r="A715" t="str">
        <f>COUNTIF($D$2:D870,D870)&amp;D870</f>
        <v>0</v>
      </c>
      <c r="B715" t="str">
        <f>COUNTIF($E$2:E870,E870)&amp;E870</f>
        <v>0</v>
      </c>
    </row>
    <row r="716" spans="1:2" x14ac:dyDescent="0.25">
      <c r="A716" t="str">
        <f>COUNTIF($D$2:D871,D871)&amp;D871</f>
        <v>0</v>
      </c>
      <c r="B716" t="str">
        <f>COUNTIF($E$2:E871,E871)&amp;E871</f>
        <v>0</v>
      </c>
    </row>
    <row r="717" spans="1:2" x14ac:dyDescent="0.25">
      <c r="A717" t="str">
        <f>COUNTIF($D$2:D872,D872)&amp;D872</f>
        <v>0</v>
      </c>
      <c r="B717" t="str">
        <f>COUNTIF($E$2:E872,E872)&amp;E872</f>
        <v>0</v>
      </c>
    </row>
    <row r="718" spans="1:2" x14ac:dyDescent="0.25">
      <c r="A718" t="str">
        <f>COUNTIF($D$2:D873,D873)&amp;D873</f>
        <v>0</v>
      </c>
      <c r="B718" t="str">
        <f>COUNTIF($E$2:E873,E873)&amp;E873</f>
        <v>0</v>
      </c>
    </row>
    <row r="719" spans="1:2" x14ac:dyDescent="0.25">
      <c r="A719" t="str">
        <f>COUNTIF($D$2:D874,D874)&amp;D874</f>
        <v>0</v>
      </c>
      <c r="B719" t="str">
        <f>COUNTIF($E$2:E874,E874)&amp;E874</f>
        <v>0</v>
      </c>
    </row>
    <row r="720" spans="1:2" x14ac:dyDescent="0.25">
      <c r="A720" t="str">
        <f>COUNTIF($D$2:D875,D875)&amp;D875</f>
        <v>0</v>
      </c>
      <c r="B720" t="str">
        <f>COUNTIF($E$2:E875,E875)&amp;E875</f>
        <v>0</v>
      </c>
    </row>
    <row r="721" spans="1:2" x14ac:dyDescent="0.25">
      <c r="A721" t="str">
        <f>COUNTIF($D$2:D876,D876)&amp;D876</f>
        <v>0</v>
      </c>
      <c r="B721" t="str">
        <f>COUNTIF($E$2:E876,E876)&amp;E876</f>
        <v>0</v>
      </c>
    </row>
    <row r="722" spans="1:2" x14ac:dyDescent="0.25">
      <c r="A722" t="str">
        <f>COUNTIF($D$2:D877,D877)&amp;D877</f>
        <v>0</v>
      </c>
      <c r="B722" t="str">
        <f>COUNTIF($E$2:E877,E877)&amp;E877</f>
        <v>0</v>
      </c>
    </row>
    <row r="723" spans="1:2" x14ac:dyDescent="0.25">
      <c r="A723" t="str">
        <f>COUNTIF($D$2:D878,D878)&amp;D878</f>
        <v>0</v>
      </c>
      <c r="B723" t="str">
        <f>COUNTIF($E$2:E878,E878)&amp;E878</f>
        <v>0</v>
      </c>
    </row>
    <row r="724" spans="1:2" x14ac:dyDescent="0.25">
      <c r="A724" t="str">
        <f>COUNTIF($D$2:D879,D879)&amp;D879</f>
        <v>0</v>
      </c>
      <c r="B724" t="str">
        <f>COUNTIF($E$2:E879,E879)&amp;E879</f>
        <v>0</v>
      </c>
    </row>
    <row r="725" spans="1:2" x14ac:dyDescent="0.25">
      <c r="A725" t="str">
        <f>COUNTIF($D$2:D880,D880)&amp;D880</f>
        <v>0</v>
      </c>
      <c r="B725" t="str">
        <f>COUNTIF($E$2:E880,E880)&amp;E880</f>
        <v>0</v>
      </c>
    </row>
    <row r="726" spans="1:2" x14ac:dyDescent="0.25">
      <c r="A726" t="str">
        <f>COUNTIF($D$2:D881,D881)&amp;D881</f>
        <v>0</v>
      </c>
      <c r="B726" t="str">
        <f>COUNTIF($E$2:E881,E881)&amp;E881</f>
        <v>0</v>
      </c>
    </row>
    <row r="727" spans="1:2" x14ac:dyDescent="0.25">
      <c r="A727" t="str">
        <f>COUNTIF($D$2:D882,D882)&amp;D882</f>
        <v>0</v>
      </c>
      <c r="B727" t="str">
        <f>COUNTIF($E$2:E882,E882)&amp;E882</f>
        <v>0</v>
      </c>
    </row>
    <row r="728" spans="1:2" x14ac:dyDescent="0.25">
      <c r="A728" t="str">
        <f>COUNTIF($D$2:D883,D883)&amp;D883</f>
        <v>0</v>
      </c>
      <c r="B728" t="str">
        <f>COUNTIF($E$2:E883,E883)&amp;E883</f>
        <v>0</v>
      </c>
    </row>
    <row r="729" spans="1:2" x14ac:dyDescent="0.25">
      <c r="A729" t="str">
        <f>COUNTIF($D$2:D884,D884)&amp;D884</f>
        <v>0</v>
      </c>
      <c r="B729" t="str">
        <f>COUNTIF($E$2:E884,E884)&amp;E884</f>
        <v>0</v>
      </c>
    </row>
    <row r="730" spans="1:2" x14ac:dyDescent="0.25">
      <c r="A730" t="str">
        <f>COUNTIF($D$2:D885,D885)&amp;D885</f>
        <v>0</v>
      </c>
      <c r="B730" t="str">
        <f>COUNTIF($E$2:E885,E885)&amp;E885</f>
        <v>0</v>
      </c>
    </row>
    <row r="731" spans="1:2" x14ac:dyDescent="0.25">
      <c r="A731" t="str">
        <f>COUNTIF($D$2:D886,D886)&amp;D886</f>
        <v>0</v>
      </c>
      <c r="B731" t="str">
        <f>COUNTIF($E$2:E886,E886)&amp;E886</f>
        <v>0</v>
      </c>
    </row>
    <row r="732" spans="1:2" x14ac:dyDescent="0.25">
      <c r="A732" t="str">
        <f>COUNTIF($D$2:D887,D887)&amp;D887</f>
        <v>0</v>
      </c>
      <c r="B732" t="str">
        <f>COUNTIF($E$2:E887,E887)&amp;E887</f>
        <v>0</v>
      </c>
    </row>
    <row r="733" spans="1:2" x14ac:dyDescent="0.25">
      <c r="A733" t="str">
        <f>COUNTIF($D$2:D888,D888)&amp;D888</f>
        <v>0</v>
      </c>
      <c r="B733" t="str">
        <f>COUNTIF($E$2:E888,E888)&amp;E888</f>
        <v>0</v>
      </c>
    </row>
    <row r="734" spans="1:2" x14ac:dyDescent="0.25">
      <c r="A734" t="str">
        <f>COUNTIF($D$2:D889,D889)&amp;D889</f>
        <v>0</v>
      </c>
      <c r="B734" t="str">
        <f>COUNTIF($E$2:E889,E889)&amp;E889</f>
        <v>0</v>
      </c>
    </row>
    <row r="735" spans="1:2" x14ac:dyDescent="0.25">
      <c r="A735" t="str">
        <f>COUNTIF($D$2:D890,D890)&amp;D890</f>
        <v>0</v>
      </c>
      <c r="B735" t="str">
        <f>COUNTIF($E$2:E890,E890)&amp;E890</f>
        <v>0</v>
      </c>
    </row>
    <row r="736" spans="1:2" x14ac:dyDescent="0.25">
      <c r="A736" t="str">
        <f>COUNTIF($D$2:D891,D891)&amp;D891</f>
        <v>0</v>
      </c>
      <c r="B736" t="str">
        <f>COUNTIF($E$2:E891,E891)&amp;E891</f>
        <v>0</v>
      </c>
    </row>
    <row r="737" spans="1:2" x14ac:dyDescent="0.25">
      <c r="A737" t="str">
        <f>COUNTIF($D$2:D892,D892)&amp;D892</f>
        <v>0</v>
      </c>
      <c r="B737" t="str">
        <f>COUNTIF($E$2:E892,E892)&amp;E892</f>
        <v>0</v>
      </c>
    </row>
    <row r="738" spans="1:2" x14ac:dyDescent="0.25">
      <c r="A738" t="str">
        <f>COUNTIF($D$2:D893,D893)&amp;D893</f>
        <v>0</v>
      </c>
      <c r="B738" t="str">
        <f>COUNTIF($E$2:E893,E893)&amp;E893</f>
        <v>0</v>
      </c>
    </row>
    <row r="739" spans="1:2" x14ac:dyDescent="0.25">
      <c r="A739" t="str">
        <f>COUNTIF($D$2:D894,D894)&amp;D894</f>
        <v>0</v>
      </c>
      <c r="B739" t="str">
        <f>COUNTIF($E$2:E894,E894)&amp;E894</f>
        <v>0</v>
      </c>
    </row>
    <row r="740" spans="1:2" x14ac:dyDescent="0.25">
      <c r="A740" t="str">
        <f>COUNTIF($D$2:D895,D895)&amp;D895</f>
        <v>0</v>
      </c>
      <c r="B740" t="str">
        <f>COUNTIF($E$2:E895,E895)&amp;E895</f>
        <v>0</v>
      </c>
    </row>
    <row r="741" spans="1:2" x14ac:dyDescent="0.25">
      <c r="A741" t="str">
        <f>COUNTIF($D$2:D896,D896)&amp;D896</f>
        <v>0</v>
      </c>
      <c r="B741" t="str">
        <f>COUNTIF($E$2:E896,E896)&amp;E896</f>
        <v>0</v>
      </c>
    </row>
    <row r="742" spans="1:2" x14ac:dyDescent="0.25">
      <c r="A742" t="str">
        <f>COUNTIF($D$2:D897,D897)&amp;D897</f>
        <v>0</v>
      </c>
      <c r="B742" t="str">
        <f>COUNTIF($E$2:E897,E897)&amp;E897</f>
        <v>0</v>
      </c>
    </row>
    <row r="743" spans="1:2" x14ac:dyDescent="0.25">
      <c r="A743" t="str">
        <f>COUNTIF($D$2:D898,D898)&amp;D898</f>
        <v>0</v>
      </c>
      <c r="B743" t="str">
        <f>COUNTIF($E$2:E898,E898)&amp;E898</f>
        <v>0</v>
      </c>
    </row>
    <row r="744" spans="1:2" x14ac:dyDescent="0.25">
      <c r="A744" t="str">
        <f>COUNTIF($D$2:D899,D899)&amp;D899</f>
        <v>0</v>
      </c>
      <c r="B744" t="str">
        <f>COUNTIF($E$2:E899,E899)&amp;E899</f>
        <v>0</v>
      </c>
    </row>
    <row r="745" spans="1:2" x14ac:dyDescent="0.25">
      <c r="A745" t="str">
        <f>COUNTIF($D$2:D900,D900)&amp;D900</f>
        <v>0</v>
      </c>
      <c r="B745" t="str">
        <f>COUNTIF($E$2:E900,E900)&amp;E900</f>
        <v>0</v>
      </c>
    </row>
    <row r="746" spans="1:2" x14ac:dyDescent="0.25">
      <c r="A746" t="str">
        <f>COUNTIF($D$2:D901,D901)&amp;D901</f>
        <v>0</v>
      </c>
      <c r="B746" t="str">
        <f>COUNTIF($E$2:E901,E901)&amp;E901</f>
        <v>0</v>
      </c>
    </row>
    <row r="747" spans="1:2" x14ac:dyDescent="0.25">
      <c r="A747" t="str">
        <f>COUNTIF($D$2:D902,D902)&amp;D902</f>
        <v>0</v>
      </c>
      <c r="B747" t="str">
        <f>COUNTIF($E$2:E902,E902)&amp;E902</f>
        <v>0</v>
      </c>
    </row>
    <row r="748" spans="1:2" x14ac:dyDescent="0.25">
      <c r="A748" t="str">
        <f>COUNTIF($D$2:D903,D903)&amp;D903</f>
        <v>0</v>
      </c>
      <c r="B748" t="str">
        <f>COUNTIF($E$2:E903,E903)&amp;E903</f>
        <v>0</v>
      </c>
    </row>
    <row r="749" spans="1:2" x14ac:dyDescent="0.25">
      <c r="A749" t="str">
        <f>COUNTIF($D$2:D904,D904)&amp;D904</f>
        <v>0</v>
      </c>
      <c r="B749" t="str">
        <f>COUNTIF($E$2:E904,E904)&amp;E904</f>
        <v>0</v>
      </c>
    </row>
    <row r="750" spans="1:2" x14ac:dyDescent="0.25">
      <c r="A750" t="str">
        <f>COUNTIF($D$2:D905,D905)&amp;D905</f>
        <v>0</v>
      </c>
      <c r="B750" t="str">
        <f>COUNTIF($E$2:E905,E905)&amp;E905</f>
        <v>0</v>
      </c>
    </row>
    <row r="751" spans="1:2" x14ac:dyDescent="0.25">
      <c r="A751" t="str">
        <f>COUNTIF($D$2:D906,D906)&amp;D906</f>
        <v>0</v>
      </c>
      <c r="B751" t="str">
        <f>COUNTIF($E$2:E906,E906)&amp;E906</f>
        <v>0</v>
      </c>
    </row>
    <row r="752" spans="1:2" x14ac:dyDescent="0.25">
      <c r="A752" t="str">
        <f>COUNTIF($D$2:D907,D907)&amp;D907</f>
        <v>0</v>
      </c>
      <c r="B752" t="str">
        <f>COUNTIF($E$2:E907,E907)&amp;E907</f>
        <v>0</v>
      </c>
    </row>
    <row r="753" spans="1:2" x14ac:dyDescent="0.25">
      <c r="A753" t="str">
        <f>COUNTIF($D$2:D908,D908)&amp;D908</f>
        <v>0</v>
      </c>
      <c r="B753" t="str">
        <f>COUNTIF($E$2:E908,E908)&amp;E908</f>
        <v>0</v>
      </c>
    </row>
    <row r="754" spans="1:2" x14ac:dyDescent="0.25">
      <c r="A754" t="str">
        <f>COUNTIF($D$2:D909,D909)&amp;D909</f>
        <v>0</v>
      </c>
      <c r="B754" t="str">
        <f>COUNTIF($E$2:E909,E909)&amp;E909</f>
        <v>0</v>
      </c>
    </row>
    <row r="755" spans="1:2" x14ac:dyDescent="0.25">
      <c r="A755" t="str">
        <f>COUNTIF($D$2:D910,D910)&amp;D910</f>
        <v>0</v>
      </c>
      <c r="B755" t="str">
        <f>COUNTIF($E$2:E910,E910)&amp;E910</f>
        <v>0</v>
      </c>
    </row>
    <row r="756" spans="1:2" x14ac:dyDescent="0.25">
      <c r="A756" t="str">
        <f>COUNTIF($D$2:D911,D911)&amp;D911</f>
        <v>0</v>
      </c>
      <c r="B756" t="str">
        <f>COUNTIF($E$2:E911,E911)&amp;E911</f>
        <v>0</v>
      </c>
    </row>
    <row r="757" spans="1:2" x14ac:dyDescent="0.25">
      <c r="A757" t="str">
        <f>COUNTIF($D$2:D912,D912)&amp;D912</f>
        <v>0</v>
      </c>
      <c r="B757" t="str">
        <f>COUNTIF($E$2:E912,E912)&amp;E912</f>
        <v>0</v>
      </c>
    </row>
    <row r="758" spans="1:2" x14ac:dyDescent="0.25">
      <c r="A758" t="str">
        <f>COUNTIF($D$2:D913,D913)&amp;D913</f>
        <v>0</v>
      </c>
      <c r="B758" t="str">
        <f>COUNTIF($E$2:E913,E913)&amp;E913</f>
        <v>0</v>
      </c>
    </row>
    <row r="759" spans="1:2" x14ac:dyDescent="0.25">
      <c r="A759" t="str">
        <f>COUNTIF($D$2:D914,D914)&amp;D914</f>
        <v>0</v>
      </c>
      <c r="B759" t="str">
        <f>COUNTIF($E$2:E914,E914)&amp;E914</f>
        <v>0</v>
      </c>
    </row>
    <row r="760" spans="1:2" x14ac:dyDescent="0.25">
      <c r="A760" t="str">
        <f>COUNTIF($D$2:D915,D915)&amp;D915</f>
        <v>0</v>
      </c>
      <c r="B760" t="str">
        <f>COUNTIF($E$2:E915,E915)&amp;E915</f>
        <v>0</v>
      </c>
    </row>
    <row r="761" spans="1:2" x14ac:dyDescent="0.25">
      <c r="A761" t="str">
        <f>COUNTIF($D$2:D916,D916)&amp;D916</f>
        <v>0</v>
      </c>
      <c r="B761" t="str">
        <f>COUNTIF($E$2:E916,E916)&amp;E916</f>
        <v>0</v>
      </c>
    </row>
    <row r="762" spans="1:2" x14ac:dyDescent="0.25">
      <c r="A762" t="str">
        <f>COUNTIF($D$2:D917,D917)&amp;D917</f>
        <v>0</v>
      </c>
      <c r="B762" t="str">
        <f>COUNTIF($E$2:E917,E917)&amp;E917</f>
        <v>0</v>
      </c>
    </row>
    <row r="763" spans="1:2" x14ac:dyDescent="0.25">
      <c r="A763" t="str">
        <f>COUNTIF($D$2:D918,D918)&amp;D918</f>
        <v>0</v>
      </c>
      <c r="B763" t="str">
        <f>COUNTIF($E$2:E918,E918)&amp;E918</f>
        <v>0</v>
      </c>
    </row>
    <row r="764" spans="1:2" x14ac:dyDescent="0.25">
      <c r="A764" t="str">
        <f>COUNTIF($D$2:D919,D919)&amp;D919</f>
        <v>0</v>
      </c>
      <c r="B764" t="str">
        <f>COUNTIF($E$2:E919,E919)&amp;E919</f>
        <v>0</v>
      </c>
    </row>
    <row r="765" spans="1:2" x14ac:dyDescent="0.25">
      <c r="A765" t="str">
        <f>COUNTIF($D$2:D920,D920)&amp;D920</f>
        <v>0</v>
      </c>
      <c r="B765" t="str">
        <f>COUNTIF($E$2:E920,E920)&amp;E920</f>
        <v>0</v>
      </c>
    </row>
    <row r="766" spans="1:2" x14ac:dyDescent="0.25">
      <c r="A766" t="str">
        <f>COUNTIF($D$2:D921,D921)&amp;D921</f>
        <v>0</v>
      </c>
      <c r="B766" t="str">
        <f>COUNTIF($E$2:E921,E921)&amp;E921</f>
        <v>0</v>
      </c>
    </row>
    <row r="767" spans="1:2" x14ac:dyDescent="0.25">
      <c r="A767" t="str">
        <f>COUNTIF($D$2:D922,D922)&amp;D922</f>
        <v>0</v>
      </c>
      <c r="B767" t="str">
        <f>COUNTIF($E$2:E922,E922)&amp;E922</f>
        <v>0</v>
      </c>
    </row>
    <row r="768" spans="1:2" x14ac:dyDescent="0.25">
      <c r="A768" t="str">
        <f>COUNTIF($D$2:D923,D923)&amp;D923</f>
        <v>0</v>
      </c>
      <c r="B768" t="str">
        <f>COUNTIF($E$2:E923,E923)&amp;E923</f>
        <v>0</v>
      </c>
    </row>
    <row r="769" spans="1:2" x14ac:dyDescent="0.25">
      <c r="A769" t="str">
        <f>COUNTIF($D$2:D924,D924)&amp;D924</f>
        <v>0</v>
      </c>
      <c r="B769" t="str">
        <f>COUNTIF($E$2:E924,E924)&amp;E924</f>
        <v>0</v>
      </c>
    </row>
    <row r="770" spans="1:2" x14ac:dyDescent="0.25">
      <c r="A770" t="str">
        <f>COUNTIF($D$2:D925,D925)&amp;D925</f>
        <v>0</v>
      </c>
      <c r="B770" t="str">
        <f>COUNTIF($E$2:E925,E925)&amp;E925</f>
        <v>0</v>
      </c>
    </row>
    <row r="771" spans="1:2" x14ac:dyDescent="0.25">
      <c r="A771" t="str">
        <f>COUNTIF($D$2:D926,D926)&amp;D926</f>
        <v>0</v>
      </c>
      <c r="B771" t="str">
        <f>COUNTIF($E$2:E926,E926)&amp;E926</f>
        <v>0</v>
      </c>
    </row>
    <row r="772" spans="1:2" x14ac:dyDescent="0.25">
      <c r="A772" t="str">
        <f>COUNTIF($D$2:D927,D927)&amp;D927</f>
        <v>0</v>
      </c>
      <c r="B772" t="str">
        <f>COUNTIF($E$2:E927,E927)&amp;E927</f>
        <v>0</v>
      </c>
    </row>
    <row r="773" spans="1:2" x14ac:dyDescent="0.25">
      <c r="A773" t="str">
        <f>COUNTIF($D$2:D928,D928)&amp;D928</f>
        <v>0</v>
      </c>
      <c r="B773" t="str">
        <f>COUNTIF($E$2:E928,E928)&amp;E928</f>
        <v>0</v>
      </c>
    </row>
    <row r="774" spans="1:2" x14ac:dyDescent="0.25">
      <c r="A774" t="str">
        <f>COUNTIF($D$2:D929,D929)&amp;D929</f>
        <v>0</v>
      </c>
      <c r="B774" t="str">
        <f>COUNTIF($E$2:E929,E929)&amp;E929</f>
        <v>0</v>
      </c>
    </row>
    <row r="775" spans="1:2" x14ac:dyDescent="0.25">
      <c r="A775" t="str">
        <f>COUNTIF($D$2:D930,D930)&amp;D930</f>
        <v>0</v>
      </c>
      <c r="B775" t="str">
        <f>COUNTIF($E$2:E930,E930)&amp;E930</f>
        <v>0</v>
      </c>
    </row>
    <row r="776" spans="1:2" x14ac:dyDescent="0.25">
      <c r="A776" t="str">
        <f>COUNTIF($D$2:D931,D931)&amp;D931</f>
        <v>0</v>
      </c>
      <c r="B776" t="str">
        <f>COUNTIF($E$2:E931,E931)&amp;E931</f>
        <v>0</v>
      </c>
    </row>
    <row r="777" spans="1:2" x14ac:dyDescent="0.25">
      <c r="A777" t="str">
        <f>COUNTIF($D$2:D932,D932)&amp;D932</f>
        <v>0</v>
      </c>
      <c r="B777" t="str">
        <f>COUNTIF($E$2:E932,E932)&amp;E932</f>
        <v>0</v>
      </c>
    </row>
    <row r="778" spans="1:2" x14ac:dyDescent="0.25">
      <c r="A778" t="str">
        <f>COUNTIF($D$2:D933,D933)&amp;D933</f>
        <v>0</v>
      </c>
      <c r="B778" t="str">
        <f>COUNTIF($E$2:E933,E933)&amp;E933</f>
        <v>0</v>
      </c>
    </row>
    <row r="779" spans="1:2" x14ac:dyDescent="0.25">
      <c r="A779" t="str">
        <f>COUNTIF($D$2:D934,D934)&amp;D934</f>
        <v>0</v>
      </c>
      <c r="B779" t="str">
        <f>COUNTIF($E$2:E934,E934)&amp;E934</f>
        <v>0</v>
      </c>
    </row>
    <row r="780" spans="1:2" x14ac:dyDescent="0.25">
      <c r="A780" t="str">
        <f>COUNTIF($D$2:D935,D935)&amp;D935</f>
        <v>0</v>
      </c>
      <c r="B780" t="str">
        <f>COUNTIF($E$2:E935,E935)&amp;E935</f>
        <v>0</v>
      </c>
    </row>
    <row r="781" spans="1:2" x14ac:dyDescent="0.25">
      <c r="A781" t="str">
        <f>COUNTIF($D$2:D936,D936)&amp;D936</f>
        <v>0</v>
      </c>
      <c r="B781" t="str">
        <f>COUNTIF($E$2:E936,E936)&amp;E936</f>
        <v>0</v>
      </c>
    </row>
    <row r="782" spans="1:2" x14ac:dyDescent="0.25">
      <c r="A782" t="str">
        <f>COUNTIF($D$2:D937,D937)&amp;D937</f>
        <v>0</v>
      </c>
      <c r="B782" t="str">
        <f>COUNTIF($E$2:E937,E937)&amp;E937</f>
        <v>0</v>
      </c>
    </row>
    <row r="783" spans="1:2" x14ac:dyDescent="0.25">
      <c r="A783" t="str">
        <f>COUNTIF($D$2:D938,D938)&amp;D938</f>
        <v>0</v>
      </c>
      <c r="B783" t="str">
        <f>COUNTIF($E$2:E938,E938)&amp;E938</f>
        <v>0</v>
      </c>
    </row>
    <row r="784" spans="1:2" x14ac:dyDescent="0.25">
      <c r="A784" t="str">
        <f>COUNTIF($D$2:D939,D939)&amp;D939</f>
        <v>0</v>
      </c>
      <c r="B784" t="str">
        <f>COUNTIF($E$2:E939,E939)&amp;E939</f>
        <v>0</v>
      </c>
    </row>
    <row r="785" spans="1:2" x14ac:dyDescent="0.25">
      <c r="A785" t="str">
        <f>COUNTIF($D$2:D940,D940)&amp;D940</f>
        <v>0</v>
      </c>
      <c r="B785" t="str">
        <f>COUNTIF($E$2:E940,E940)&amp;E940</f>
        <v>0</v>
      </c>
    </row>
    <row r="786" spans="1:2" x14ac:dyDescent="0.25">
      <c r="A786" t="str">
        <f>COUNTIF($D$2:D941,D941)&amp;D941</f>
        <v>0</v>
      </c>
      <c r="B786" t="str">
        <f>COUNTIF($E$2:E941,E941)&amp;E941</f>
        <v>0</v>
      </c>
    </row>
    <row r="787" spans="1:2" x14ac:dyDescent="0.25">
      <c r="A787" t="str">
        <f>COUNTIF($D$2:D942,D942)&amp;D942</f>
        <v>0</v>
      </c>
      <c r="B787" t="str">
        <f>COUNTIF($E$2:E942,E942)&amp;E942</f>
        <v>0</v>
      </c>
    </row>
    <row r="788" spans="1:2" x14ac:dyDescent="0.25">
      <c r="A788" t="str">
        <f>COUNTIF($D$2:D943,D943)&amp;D943</f>
        <v>0</v>
      </c>
      <c r="B788" t="str">
        <f>COUNTIF($E$2:E943,E943)&amp;E943</f>
        <v>0</v>
      </c>
    </row>
    <row r="789" spans="1:2" x14ac:dyDescent="0.25">
      <c r="A789" t="str">
        <f>COUNTIF($D$2:D944,D944)&amp;D944</f>
        <v>0</v>
      </c>
      <c r="B789" t="str">
        <f>COUNTIF($E$2:E944,E944)&amp;E944</f>
        <v>0</v>
      </c>
    </row>
    <row r="790" spans="1:2" x14ac:dyDescent="0.25">
      <c r="A790" t="str">
        <f>COUNTIF($D$2:D945,D945)&amp;D945</f>
        <v>0</v>
      </c>
      <c r="B790" t="str">
        <f>COUNTIF($E$2:E945,E945)&amp;E945</f>
        <v>0</v>
      </c>
    </row>
    <row r="791" spans="1:2" x14ac:dyDescent="0.25">
      <c r="A791" t="str">
        <f>COUNTIF($D$2:D946,D946)&amp;D946</f>
        <v>0</v>
      </c>
      <c r="B791" t="str">
        <f>COUNTIF($E$2:E946,E946)&amp;E946</f>
        <v>0</v>
      </c>
    </row>
    <row r="792" spans="1:2" x14ac:dyDescent="0.25">
      <c r="A792" t="str">
        <f>COUNTIF($D$2:D947,D947)&amp;D947</f>
        <v>0</v>
      </c>
      <c r="B792" t="str">
        <f>COUNTIF($E$2:E947,E947)&amp;E947</f>
        <v>0</v>
      </c>
    </row>
    <row r="793" spans="1:2" x14ac:dyDescent="0.25">
      <c r="A793" t="str">
        <f>COUNTIF($D$2:D948,D948)&amp;D948</f>
        <v>0</v>
      </c>
      <c r="B793" t="str">
        <f>COUNTIF($E$2:E948,E948)&amp;E948</f>
        <v>0</v>
      </c>
    </row>
    <row r="794" spans="1:2" x14ac:dyDescent="0.25">
      <c r="A794" t="str">
        <f>COUNTIF($D$2:D949,D949)&amp;D949</f>
        <v>0</v>
      </c>
      <c r="B794" t="str">
        <f>COUNTIF($E$2:E949,E949)&amp;E949</f>
        <v>0</v>
      </c>
    </row>
    <row r="795" spans="1:2" x14ac:dyDescent="0.25">
      <c r="A795" t="str">
        <f>COUNTIF($D$2:D950,D950)&amp;D950</f>
        <v>0</v>
      </c>
      <c r="B795" t="str">
        <f>COUNTIF($E$2:E950,E950)&amp;E950</f>
        <v>0</v>
      </c>
    </row>
    <row r="796" spans="1:2" x14ac:dyDescent="0.25">
      <c r="A796" t="str">
        <f>COUNTIF($D$2:D951,D951)&amp;D951</f>
        <v>0</v>
      </c>
      <c r="B796" t="str">
        <f>COUNTIF($E$2:E951,E951)&amp;E951</f>
        <v>0</v>
      </c>
    </row>
    <row r="797" spans="1:2" x14ac:dyDescent="0.25">
      <c r="A797" t="str">
        <f>COUNTIF($D$2:D952,D952)&amp;D952</f>
        <v>0</v>
      </c>
      <c r="B797" t="str">
        <f>COUNTIF($E$2:E952,E952)&amp;E952</f>
        <v>0</v>
      </c>
    </row>
    <row r="798" spans="1:2" x14ac:dyDescent="0.25">
      <c r="A798" t="str">
        <f>COUNTIF($D$2:D953,D953)&amp;D953</f>
        <v>0</v>
      </c>
      <c r="B798" t="str">
        <f>COUNTIF($E$2:E953,E953)&amp;E953</f>
        <v>0</v>
      </c>
    </row>
    <row r="799" spans="1:2" x14ac:dyDescent="0.25">
      <c r="A799" t="str">
        <f>COUNTIF($D$2:D954,D954)&amp;D954</f>
        <v>0</v>
      </c>
      <c r="B799" t="str">
        <f>COUNTIF($E$2:E954,E954)&amp;E954</f>
        <v>0</v>
      </c>
    </row>
    <row r="800" spans="1:2" x14ac:dyDescent="0.25">
      <c r="A800" t="str">
        <f>COUNTIF($D$2:D955,D955)&amp;D955</f>
        <v>0</v>
      </c>
      <c r="B800" t="str">
        <f>COUNTIF($E$2:E955,E955)&amp;E955</f>
        <v>0</v>
      </c>
    </row>
    <row r="801" spans="1:2" x14ac:dyDescent="0.25">
      <c r="A801" t="str">
        <f>COUNTIF($D$2:D956,D956)&amp;D956</f>
        <v>0</v>
      </c>
      <c r="B801" t="str">
        <f>COUNTIF($E$2:E956,E956)&amp;E956</f>
        <v>0</v>
      </c>
    </row>
    <row r="802" spans="1:2" x14ac:dyDescent="0.25">
      <c r="A802" t="str">
        <f>COUNTIF($D$2:D957,D957)&amp;D957</f>
        <v>0</v>
      </c>
      <c r="B802" t="str">
        <f>COUNTIF($E$2:E957,E957)&amp;E957</f>
        <v>0</v>
      </c>
    </row>
    <row r="803" spans="1:2" x14ac:dyDescent="0.25">
      <c r="A803" t="str">
        <f>COUNTIF($D$2:D958,D958)&amp;D958</f>
        <v>0</v>
      </c>
      <c r="B803" t="str">
        <f>COUNTIF($E$2:E958,E958)&amp;E958</f>
        <v>0</v>
      </c>
    </row>
    <row r="804" spans="1:2" x14ac:dyDescent="0.25">
      <c r="A804" t="str">
        <f>COUNTIF($D$2:D959,D959)&amp;D959</f>
        <v>0</v>
      </c>
      <c r="B804" t="str">
        <f>COUNTIF($E$2:E959,E959)&amp;E959</f>
        <v>0</v>
      </c>
    </row>
    <row r="805" spans="1:2" x14ac:dyDescent="0.25">
      <c r="A805" t="str">
        <f>COUNTIF($D$2:D960,D960)&amp;D960</f>
        <v>0</v>
      </c>
      <c r="B805" t="str">
        <f>COUNTIF($E$2:E960,E960)&amp;E960</f>
        <v>0</v>
      </c>
    </row>
    <row r="806" spans="1:2" x14ac:dyDescent="0.25">
      <c r="A806" t="str">
        <f>COUNTIF($D$2:D961,D961)&amp;D961</f>
        <v>0</v>
      </c>
      <c r="B806" t="str">
        <f>COUNTIF($E$2:E961,E961)&amp;E961</f>
        <v>0</v>
      </c>
    </row>
    <row r="807" spans="1:2" x14ac:dyDescent="0.25">
      <c r="A807" t="str">
        <f>COUNTIF($D$2:D962,D962)&amp;D962</f>
        <v>0</v>
      </c>
      <c r="B807" t="str">
        <f>COUNTIF($E$2:E962,E962)&amp;E962</f>
        <v>0</v>
      </c>
    </row>
    <row r="808" spans="1:2" x14ac:dyDescent="0.25">
      <c r="A808" t="str">
        <f>COUNTIF($D$2:D963,D963)&amp;D963</f>
        <v>0</v>
      </c>
      <c r="B808" t="str">
        <f>COUNTIF($E$2:E963,E963)&amp;E963</f>
        <v>0</v>
      </c>
    </row>
    <row r="809" spans="1:2" x14ac:dyDescent="0.25">
      <c r="A809" t="str">
        <f>COUNTIF($D$2:D964,D964)&amp;D964</f>
        <v>0</v>
      </c>
      <c r="B809" t="str">
        <f>COUNTIF($E$2:E964,E964)&amp;E964</f>
        <v>0</v>
      </c>
    </row>
    <row r="810" spans="1:2" x14ac:dyDescent="0.25">
      <c r="A810" t="str">
        <f>COUNTIF($D$2:D965,D965)&amp;D965</f>
        <v>0</v>
      </c>
      <c r="B810" t="str">
        <f>COUNTIF($E$2:E965,E965)&amp;E965</f>
        <v>0</v>
      </c>
    </row>
    <row r="811" spans="1:2" x14ac:dyDescent="0.25">
      <c r="A811" t="str">
        <f>COUNTIF($D$2:D966,D966)&amp;D966</f>
        <v>0</v>
      </c>
      <c r="B811" t="str">
        <f>COUNTIF($E$2:E966,E966)&amp;E966</f>
        <v>0</v>
      </c>
    </row>
    <row r="812" spans="1:2" x14ac:dyDescent="0.25">
      <c r="A812" t="str">
        <f>COUNTIF($D$2:D967,D967)&amp;D967</f>
        <v>0</v>
      </c>
      <c r="B812" t="str">
        <f>COUNTIF($E$2:E967,E967)&amp;E967</f>
        <v>0</v>
      </c>
    </row>
    <row r="813" spans="1:2" x14ac:dyDescent="0.25">
      <c r="A813" t="str">
        <f>COUNTIF($D$2:D968,D968)&amp;D968</f>
        <v>0</v>
      </c>
      <c r="B813" t="str">
        <f>COUNTIF($E$2:E968,E968)&amp;E968</f>
        <v>0</v>
      </c>
    </row>
    <row r="814" spans="1:2" x14ac:dyDescent="0.25">
      <c r="A814" t="str">
        <f>COUNTIF($D$2:D969,D969)&amp;D969</f>
        <v>0</v>
      </c>
      <c r="B814" t="str">
        <f>COUNTIF($E$2:E969,E969)&amp;E969</f>
        <v>0</v>
      </c>
    </row>
    <row r="815" spans="1:2" x14ac:dyDescent="0.25">
      <c r="A815" t="str">
        <f>COUNTIF($D$2:D970,D970)&amp;D970</f>
        <v>0</v>
      </c>
      <c r="B815" t="str">
        <f>COUNTIF($E$2:E970,E970)&amp;E970</f>
        <v>0</v>
      </c>
    </row>
    <row r="816" spans="1:2" x14ac:dyDescent="0.25">
      <c r="A816" t="str">
        <f>COUNTIF($D$2:D971,D971)&amp;D971</f>
        <v>0</v>
      </c>
      <c r="B816" t="str">
        <f>COUNTIF($E$2:E971,E971)&amp;E971</f>
        <v>0</v>
      </c>
    </row>
    <row r="817" spans="1:2" x14ac:dyDescent="0.25">
      <c r="A817" t="str">
        <f>COUNTIF($D$2:D972,D972)&amp;D972</f>
        <v>0</v>
      </c>
      <c r="B817" t="str">
        <f>COUNTIF($E$2:E972,E972)&amp;E972</f>
        <v>0</v>
      </c>
    </row>
    <row r="818" spans="1:2" x14ac:dyDescent="0.25">
      <c r="A818" t="str">
        <f>COUNTIF($D$2:D973,D973)&amp;D973</f>
        <v>0</v>
      </c>
      <c r="B818" t="str">
        <f>COUNTIF($E$2:E973,E973)&amp;E973</f>
        <v>0</v>
      </c>
    </row>
    <row r="819" spans="1:2" x14ac:dyDescent="0.25">
      <c r="A819" t="str">
        <f>COUNTIF($D$2:D974,D974)&amp;D974</f>
        <v>0</v>
      </c>
      <c r="B819" t="str">
        <f>COUNTIF($E$2:E974,E974)&amp;E974</f>
        <v>0</v>
      </c>
    </row>
    <row r="820" spans="1:2" x14ac:dyDescent="0.25">
      <c r="A820" t="str">
        <f>COUNTIF($D$2:D975,D975)&amp;D975</f>
        <v>0</v>
      </c>
      <c r="B820" t="str">
        <f>COUNTIF($E$2:E975,E975)&amp;E975</f>
        <v>0</v>
      </c>
    </row>
    <row r="821" spans="1:2" x14ac:dyDescent="0.25">
      <c r="A821" t="str">
        <f>COUNTIF($D$2:D976,D976)&amp;D976</f>
        <v>0</v>
      </c>
      <c r="B821" t="str">
        <f>COUNTIF($E$2:E976,E976)&amp;E976</f>
        <v>0</v>
      </c>
    </row>
    <row r="822" spans="1:2" x14ac:dyDescent="0.25">
      <c r="A822" t="str">
        <f>COUNTIF($D$2:D977,D977)&amp;D977</f>
        <v>0</v>
      </c>
      <c r="B822" t="str">
        <f>COUNTIF($E$2:E977,E977)&amp;E977</f>
        <v>0</v>
      </c>
    </row>
    <row r="823" spans="1:2" x14ac:dyDescent="0.25">
      <c r="A823" t="str">
        <f>COUNTIF($D$2:D978,D978)&amp;D978</f>
        <v>0</v>
      </c>
      <c r="B823" t="str">
        <f>COUNTIF($E$2:E978,E978)&amp;E978</f>
        <v>0</v>
      </c>
    </row>
    <row r="824" spans="1:2" x14ac:dyDescent="0.25">
      <c r="A824" t="str">
        <f>COUNTIF($D$2:D979,D979)&amp;D979</f>
        <v>0</v>
      </c>
      <c r="B824" t="str">
        <f>COUNTIF($E$2:E979,E979)&amp;E979</f>
        <v>0</v>
      </c>
    </row>
    <row r="825" spans="1:2" x14ac:dyDescent="0.25">
      <c r="A825" t="str">
        <f>COUNTIF($D$2:D980,D980)&amp;D980</f>
        <v>0</v>
      </c>
      <c r="B825" t="str">
        <f>COUNTIF($E$2:E980,E980)&amp;E980</f>
        <v>0</v>
      </c>
    </row>
    <row r="826" spans="1:2" x14ac:dyDescent="0.25">
      <c r="A826" t="str">
        <f>COUNTIF($D$2:D981,D981)&amp;D981</f>
        <v>0</v>
      </c>
      <c r="B826" t="str">
        <f>COUNTIF($E$2:E981,E981)&amp;E981</f>
        <v>0</v>
      </c>
    </row>
    <row r="827" spans="1:2" x14ac:dyDescent="0.25">
      <c r="A827" t="str">
        <f>COUNTIF($D$2:D982,D982)&amp;D982</f>
        <v>0</v>
      </c>
      <c r="B827" t="str">
        <f>COUNTIF($E$2:E982,E982)&amp;E982</f>
        <v>0</v>
      </c>
    </row>
    <row r="828" spans="1:2" x14ac:dyDescent="0.25">
      <c r="A828" t="str">
        <f>COUNTIF($D$2:D983,D983)&amp;D983</f>
        <v>0</v>
      </c>
      <c r="B828" t="str">
        <f>COUNTIF($E$2:E983,E983)&amp;E983</f>
        <v>0</v>
      </c>
    </row>
    <row r="829" spans="1:2" x14ac:dyDescent="0.25">
      <c r="A829" t="str">
        <f>COUNTIF($D$2:D984,D984)&amp;D984</f>
        <v>0</v>
      </c>
      <c r="B829" t="str">
        <f>COUNTIF($E$2:E984,E984)&amp;E984</f>
        <v>0</v>
      </c>
    </row>
    <row r="830" spans="1:2" x14ac:dyDescent="0.25">
      <c r="A830" t="str">
        <f>COUNTIF($D$2:D985,D985)&amp;D985</f>
        <v>0</v>
      </c>
      <c r="B830" t="str">
        <f>COUNTIF($E$2:E985,E985)&amp;E985</f>
        <v>0</v>
      </c>
    </row>
    <row r="831" spans="1:2" x14ac:dyDescent="0.25">
      <c r="A831" t="str">
        <f>COUNTIF($D$2:D986,D986)&amp;D986</f>
        <v>0</v>
      </c>
      <c r="B831" t="str">
        <f>COUNTIF($E$2:E986,E986)&amp;E986</f>
        <v>0</v>
      </c>
    </row>
    <row r="832" spans="1:2" x14ac:dyDescent="0.25">
      <c r="A832" t="str">
        <f>COUNTIF($D$2:D987,D987)&amp;D987</f>
        <v>0</v>
      </c>
      <c r="B832" t="str">
        <f>COUNTIF($E$2:E987,E987)&amp;E987</f>
        <v>0</v>
      </c>
    </row>
    <row r="833" spans="1:2" x14ac:dyDescent="0.25">
      <c r="A833" t="str">
        <f>COUNTIF($D$2:D988,D988)&amp;D988</f>
        <v>0</v>
      </c>
      <c r="B833" t="str">
        <f>COUNTIF($E$2:E988,E988)&amp;E988</f>
        <v>0</v>
      </c>
    </row>
    <row r="834" spans="1:2" x14ac:dyDescent="0.25">
      <c r="A834" t="str">
        <f>COUNTIF($D$2:D989,D989)&amp;D989</f>
        <v>0</v>
      </c>
      <c r="B834" t="str">
        <f>COUNTIF($E$2:E989,E989)&amp;E989</f>
        <v>0</v>
      </c>
    </row>
    <row r="835" spans="1:2" x14ac:dyDescent="0.25">
      <c r="A835" t="str">
        <f>COUNTIF($D$2:D990,D990)&amp;D990</f>
        <v>0</v>
      </c>
      <c r="B835" t="str">
        <f>COUNTIF($E$2:E990,E990)&amp;E990</f>
        <v>0</v>
      </c>
    </row>
    <row r="836" spans="1:2" x14ac:dyDescent="0.25">
      <c r="A836" t="str">
        <f>COUNTIF($D$2:D991,D991)&amp;D991</f>
        <v>0</v>
      </c>
      <c r="B836" t="str">
        <f>COUNTIF($E$2:E991,E991)&amp;E991</f>
        <v>0</v>
      </c>
    </row>
    <row r="837" spans="1:2" x14ac:dyDescent="0.25">
      <c r="A837" t="str">
        <f>COUNTIF($D$2:D992,D992)&amp;D992</f>
        <v>0</v>
      </c>
      <c r="B837" t="str">
        <f>COUNTIF($E$2:E992,E992)&amp;E992</f>
        <v>0</v>
      </c>
    </row>
    <row r="838" spans="1:2" x14ac:dyDescent="0.25">
      <c r="A838" t="str">
        <f>COUNTIF($D$2:D993,D993)&amp;D993</f>
        <v>0</v>
      </c>
      <c r="B838" t="str">
        <f>COUNTIF($E$2:E993,E993)&amp;E993</f>
        <v>0</v>
      </c>
    </row>
    <row r="839" spans="1:2" x14ac:dyDescent="0.25">
      <c r="A839" t="str">
        <f>COUNTIF($D$2:D994,D994)&amp;D994</f>
        <v>0</v>
      </c>
      <c r="B839" t="str">
        <f>COUNTIF($E$2:E994,E994)&amp;E994</f>
        <v>0</v>
      </c>
    </row>
    <row r="840" spans="1:2" x14ac:dyDescent="0.25">
      <c r="A840" t="str">
        <f>COUNTIF($D$2:D995,D995)&amp;D995</f>
        <v>0</v>
      </c>
      <c r="B840" t="str">
        <f>COUNTIF($E$2:E995,E995)&amp;E995</f>
        <v>0</v>
      </c>
    </row>
    <row r="841" spans="1:2" x14ac:dyDescent="0.25">
      <c r="A841" t="str">
        <f>COUNTIF($D$2:D996,D996)&amp;D996</f>
        <v>0</v>
      </c>
      <c r="B841" t="str">
        <f>COUNTIF($E$2:E996,E996)&amp;E996</f>
        <v>0</v>
      </c>
    </row>
    <row r="842" spans="1:2" x14ac:dyDescent="0.25">
      <c r="A842" t="str">
        <f>COUNTIF($D$2:D997,D997)&amp;D997</f>
        <v>0</v>
      </c>
      <c r="B842" t="str">
        <f>COUNTIF($E$2:E997,E997)&amp;E997</f>
        <v>0</v>
      </c>
    </row>
    <row r="843" spans="1:2" x14ac:dyDescent="0.25">
      <c r="A843" t="str">
        <f>COUNTIF($D$2:D998,D998)&amp;D998</f>
        <v>0</v>
      </c>
      <c r="B843" t="str">
        <f>COUNTIF($E$2:E998,E998)&amp;E998</f>
        <v>0</v>
      </c>
    </row>
    <row r="844" spans="1:2" x14ac:dyDescent="0.25">
      <c r="A844" t="str">
        <f>COUNTIF($D$2:D999,D999)&amp;D999</f>
        <v>0</v>
      </c>
      <c r="B844" t="str">
        <f>COUNTIF($E$2:E999,E999)&amp;E999</f>
        <v>0</v>
      </c>
    </row>
    <row r="845" spans="1:2" x14ac:dyDescent="0.25">
      <c r="A845" t="str">
        <f>COUNTIF($D$2:D1000,D1000)&amp;D1000</f>
        <v>0</v>
      </c>
      <c r="B845" t="str">
        <f>COUNTIF($E$2:E1000,E1000)&amp;E1000</f>
        <v>0</v>
      </c>
    </row>
    <row r="846" spans="1:2" x14ac:dyDescent="0.25">
      <c r="A846" t="str">
        <f>COUNTIF($D$2:D1001,D1001)&amp;D1001</f>
        <v>0</v>
      </c>
      <c r="B846" t="str">
        <f>COUNTIF($E$2:E1001,E1001)&amp;E1001</f>
        <v>0</v>
      </c>
    </row>
    <row r="847" spans="1:2" x14ac:dyDescent="0.25">
      <c r="A847" t="str">
        <f>COUNTIF($D$2:D1002,D1002)&amp;D1002</f>
        <v>0</v>
      </c>
      <c r="B847" t="str">
        <f>COUNTIF($E$2:E1002,E1002)&amp;E1002</f>
        <v>0</v>
      </c>
    </row>
    <row r="848" spans="1:2" x14ac:dyDescent="0.25">
      <c r="A848" t="str">
        <f>COUNTIF($D$2:D1003,D1003)&amp;D1003</f>
        <v>0</v>
      </c>
      <c r="B848" t="str">
        <f>COUNTIF($E$2:E1003,E1003)&amp;E1003</f>
        <v>0</v>
      </c>
    </row>
    <row r="849" spans="1:2" x14ac:dyDescent="0.25">
      <c r="A849" t="str">
        <f>COUNTIF($D$2:D1004,D1004)&amp;D1004</f>
        <v>0</v>
      </c>
      <c r="B849" t="str">
        <f>COUNTIF($E$2:E1004,E1004)&amp;E1004</f>
        <v>0</v>
      </c>
    </row>
    <row r="850" spans="1:2" x14ac:dyDescent="0.25">
      <c r="A850" t="str">
        <f>COUNTIF($D$2:D1005,D1005)&amp;D1005</f>
        <v>0</v>
      </c>
      <c r="B850" t="str">
        <f>COUNTIF($E$2:E1005,E1005)&amp;E1005</f>
        <v>0</v>
      </c>
    </row>
    <row r="851" spans="1:2" x14ac:dyDescent="0.25">
      <c r="A851" t="str">
        <f>COUNTIF($D$2:D1006,D1006)&amp;D1006</f>
        <v>0</v>
      </c>
      <c r="B851" t="str">
        <f>COUNTIF($E$2:E1006,E1006)&amp;E1006</f>
        <v>0</v>
      </c>
    </row>
    <row r="852" spans="1:2" x14ac:dyDescent="0.25">
      <c r="A852" t="str">
        <f>COUNTIF($D$2:D1007,D1007)&amp;D1007</f>
        <v>0</v>
      </c>
      <c r="B852" t="str">
        <f>COUNTIF($E$2:E1007,E1007)&amp;E1007</f>
        <v>0</v>
      </c>
    </row>
    <row r="853" spans="1:2" x14ac:dyDescent="0.25">
      <c r="A853" t="str">
        <f>COUNTIF($D$2:D1008,D1008)&amp;D1008</f>
        <v>0</v>
      </c>
      <c r="B853" t="str">
        <f>COUNTIF($E$2:E1008,E1008)&amp;E1008</f>
        <v>0</v>
      </c>
    </row>
    <row r="854" spans="1:2" x14ac:dyDescent="0.25">
      <c r="A854" t="str">
        <f>COUNTIF($D$2:D1009,D1009)&amp;D1009</f>
        <v>0</v>
      </c>
      <c r="B854" t="str">
        <f>COUNTIF($E$2:E1009,E1009)&amp;E1009</f>
        <v>0</v>
      </c>
    </row>
    <row r="855" spans="1:2" x14ac:dyDescent="0.25">
      <c r="A855" t="str">
        <f>COUNTIF($D$2:D1010,D1010)&amp;D1010</f>
        <v>0</v>
      </c>
      <c r="B855" t="str">
        <f>COUNTIF($E$2:E1010,E1010)&amp;E1010</f>
        <v>0</v>
      </c>
    </row>
    <row r="856" spans="1:2" x14ac:dyDescent="0.25">
      <c r="A856" t="str">
        <f>COUNTIF($D$2:D1011,D1011)&amp;D1011</f>
        <v>0</v>
      </c>
      <c r="B856" t="str">
        <f>COUNTIF($E$2:E1011,E1011)&amp;E1011</f>
        <v>0</v>
      </c>
    </row>
    <row r="857" spans="1:2" x14ac:dyDescent="0.25">
      <c r="A857" t="str">
        <f>COUNTIF($D$2:D1012,D1012)&amp;D1012</f>
        <v>0</v>
      </c>
      <c r="B857" t="str">
        <f>COUNTIF($E$2:E1012,E1012)&amp;E1012</f>
        <v>0</v>
      </c>
    </row>
    <row r="858" spans="1:2" x14ac:dyDescent="0.25">
      <c r="A858" t="str">
        <f>COUNTIF($D$2:D1013,D1013)&amp;D1013</f>
        <v>0</v>
      </c>
      <c r="B858" t="str">
        <f>COUNTIF($E$2:E1013,E1013)&amp;E1013</f>
        <v>0</v>
      </c>
    </row>
    <row r="859" spans="1:2" x14ac:dyDescent="0.25">
      <c r="A859" t="str">
        <f>COUNTIF($D$2:D1014,D1014)&amp;D1014</f>
        <v>0</v>
      </c>
      <c r="B859" t="str">
        <f>COUNTIF($E$2:E1014,E1014)&amp;E1014</f>
        <v>0</v>
      </c>
    </row>
    <row r="860" spans="1:2" x14ac:dyDescent="0.25">
      <c r="A860" t="str">
        <f>COUNTIF($D$2:D1015,D1015)&amp;D1015</f>
        <v>0</v>
      </c>
      <c r="B860" t="str">
        <f>COUNTIF($E$2:E1015,E1015)&amp;E1015</f>
        <v>0</v>
      </c>
    </row>
    <row r="861" spans="1:2" x14ac:dyDescent="0.25">
      <c r="A861" t="str">
        <f>COUNTIF($D$2:D1016,D1016)&amp;D1016</f>
        <v>0</v>
      </c>
      <c r="B861" t="str">
        <f>COUNTIF($E$2:E1016,E1016)&amp;E1016</f>
        <v>0</v>
      </c>
    </row>
    <row r="862" spans="1:2" x14ac:dyDescent="0.25">
      <c r="A862" t="str">
        <f>COUNTIF($D$2:D1017,D1017)&amp;D1017</f>
        <v>0</v>
      </c>
      <c r="B862" t="str">
        <f>COUNTIF($E$2:E1017,E1017)&amp;E1017</f>
        <v>0</v>
      </c>
    </row>
    <row r="863" spans="1:2" x14ac:dyDescent="0.25">
      <c r="A863" t="str">
        <f>COUNTIF($D$2:D1018,D1018)&amp;D1018</f>
        <v>0</v>
      </c>
      <c r="B863" t="str">
        <f>COUNTIF($E$2:E1018,E1018)&amp;E1018</f>
        <v>0</v>
      </c>
    </row>
    <row r="864" spans="1:2" x14ac:dyDescent="0.25">
      <c r="A864" t="str">
        <f>COUNTIF($D$2:D1019,D1019)&amp;D1019</f>
        <v>0</v>
      </c>
      <c r="B864" t="str">
        <f>COUNTIF($E$2:E1019,E1019)&amp;E1019</f>
        <v>0</v>
      </c>
    </row>
    <row r="865" spans="1:2" x14ac:dyDescent="0.25">
      <c r="A865" t="str">
        <f>COUNTIF($D$2:D1020,D1020)&amp;D1020</f>
        <v>0</v>
      </c>
      <c r="B865" t="str">
        <f>COUNTIF($E$2:E1020,E1020)&amp;E1020</f>
        <v>0</v>
      </c>
    </row>
    <row r="866" spans="1:2" x14ac:dyDescent="0.25">
      <c r="A866" t="str">
        <f>COUNTIF($D$2:D1021,D1021)&amp;D1021</f>
        <v>0</v>
      </c>
      <c r="B866" t="str">
        <f>COUNTIF($E$2:E1021,E1021)&amp;E1021</f>
        <v>0</v>
      </c>
    </row>
    <row r="867" spans="1:2" x14ac:dyDescent="0.25">
      <c r="A867" t="str">
        <f>COUNTIF($D$2:D1022,D1022)&amp;D1022</f>
        <v>0</v>
      </c>
      <c r="B867" t="str">
        <f>COUNTIF($E$2:E1022,E1022)&amp;E1022</f>
        <v>0</v>
      </c>
    </row>
    <row r="868" spans="1:2" x14ac:dyDescent="0.25">
      <c r="A868" t="str">
        <f>COUNTIF($D$2:D755,D755)&amp;D755</f>
        <v>0</v>
      </c>
      <c r="B868" t="str">
        <f>COUNTIF($E$2:E755,E755)&amp;E755</f>
        <v>0</v>
      </c>
    </row>
    <row r="869" spans="1:2" x14ac:dyDescent="0.25">
      <c r="A869" t="str">
        <f>COUNTIF($D$2:D756,D756)&amp;D756</f>
        <v>0</v>
      </c>
      <c r="B869" t="str">
        <f>COUNTIF($E$2:E756,E756)&amp;E756</f>
        <v>0</v>
      </c>
    </row>
    <row r="870" spans="1:2" x14ac:dyDescent="0.25">
      <c r="A870" t="str">
        <f>COUNTIF($D$2:D757,D757)&amp;D757</f>
        <v>0</v>
      </c>
      <c r="B870" t="str">
        <f>COUNTIF($E$2:E757,E757)&amp;E757</f>
        <v>0</v>
      </c>
    </row>
    <row r="871" spans="1:2" x14ac:dyDescent="0.25">
      <c r="A871" t="str">
        <f>COUNTIF($D$2:D758,D758)&amp;D758</f>
        <v>0</v>
      </c>
      <c r="B871" t="str">
        <f>COUNTIF($E$2:E758,E758)&amp;E758</f>
        <v>0</v>
      </c>
    </row>
    <row r="872" spans="1:2" x14ac:dyDescent="0.25">
      <c r="A872" t="str">
        <f>COUNTIF($D$2:D759,D759)&amp;D759</f>
        <v>0</v>
      </c>
      <c r="B872" t="str">
        <f>COUNTIF($E$2:E759,E759)&amp;E759</f>
        <v>0</v>
      </c>
    </row>
    <row r="873" spans="1:2" x14ac:dyDescent="0.25">
      <c r="A873" t="str">
        <f>COUNTIF($D$2:D760,D760)&amp;D760</f>
        <v>0</v>
      </c>
      <c r="B873" t="str">
        <f>COUNTIF($E$2:E760,E760)&amp;E760</f>
        <v>0</v>
      </c>
    </row>
    <row r="874" spans="1:2" x14ac:dyDescent="0.25">
      <c r="A874" t="str">
        <f>COUNTIF($D$2:D761,D761)&amp;D761</f>
        <v>0</v>
      </c>
      <c r="B874" t="str">
        <f>COUNTIF($E$2:E761,E761)&amp;E761</f>
        <v>0</v>
      </c>
    </row>
    <row r="875" spans="1:2" x14ac:dyDescent="0.25">
      <c r="A875" t="str">
        <f>COUNTIF($D$2:D762,D762)&amp;D762</f>
        <v>0</v>
      </c>
      <c r="B875" t="str">
        <f>COUNTIF($E$2:E762,E762)&amp;E762</f>
        <v>0</v>
      </c>
    </row>
    <row r="876" spans="1:2" x14ac:dyDescent="0.25">
      <c r="A876" t="str">
        <f>COUNTIF($D$2:D763,D763)&amp;D763</f>
        <v>0</v>
      </c>
      <c r="B876" t="str">
        <f>COUNTIF($E$2:E763,E763)&amp;E763</f>
        <v>0</v>
      </c>
    </row>
    <row r="877" spans="1:2" x14ac:dyDescent="0.25">
      <c r="A877" t="str">
        <f>COUNTIF($D$2:D764,D764)&amp;D764</f>
        <v>0</v>
      </c>
      <c r="B877" t="str">
        <f>COUNTIF($E$2:E764,E764)&amp;E764</f>
        <v>0</v>
      </c>
    </row>
    <row r="878" spans="1:2" x14ac:dyDescent="0.25">
      <c r="A878" t="str">
        <f>COUNTIF($D$2:D765,D765)&amp;D765</f>
        <v>0</v>
      </c>
      <c r="B878" t="str">
        <f>COUNTIF($E$2:E765,E765)&amp;E765</f>
        <v>0</v>
      </c>
    </row>
    <row r="879" spans="1:2" x14ac:dyDescent="0.25">
      <c r="A879" t="str">
        <f>COUNTIF($D$2:D766,D766)&amp;D766</f>
        <v>0</v>
      </c>
      <c r="B879" t="str">
        <f>COUNTIF($E$2:E766,E766)&amp;E766</f>
        <v>0</v>
      </c>
    </row>
    <row r="880" spans="1:2" x14ac:dyDescent="0.25">
      <c r="A880" t="str">
        <f>COUNTIF($D$2:D767,D767)&amp;D767</f>
        <v>0</v>
      </c>
      <c r="B880" t="str">
        <f>COUNTIF($E$2:E767,E767)&amp;E767</f>
        <v>0</v>
      </c>
    </row>
    <row r="881" spans="1:2" x14ac:dyDescent="0.25">
      <c r="A881" t="str">
        <f>COUNTIF($D$2:D768,D768)&amp;D768</f>
        <v>0</v>
      </c>
      <c r="B881" t="str">
        <f>COUNTIF($E$2:E768,E768)&amp;E768</f>
        <v>0</v>
      </c>
    </row>
    <row r="882" spans="1:2" x14ac:dyDescent="0.25">
      <c r="A882" t="str">
        <f>COUNTIF($D$2:D769,D769)&amp;D769</f>
        <v>0</v>
      </c>
      <c r="B882" t="str">
        <f>COUNTIF($E$2:E769,E769)&amp;E769</f>
        <v>0</v>
      </c>
    </row>
    <row r="883" spans="1:2" x14ac:dyDescent="0.25">
      <c r="A883" t="str">
        <f>COUNTIF($D$2:D770,D770)&amp;D770</f>
        <v>0</v>
      </c>
      <c r="B883" t="str">
        <f>COUNTIF($E$2:E770,E770)&amp;E770</f>
        <v>0</v>
      </c>
    </row>
    <row r="884" spans="1:2" x14ac:dyDescent="0.25">
      <c r="A884" t="str">
        <f>COUNTIF($D$2:D771,D771)&amp;D771</f>
        <v>0</v>
      </c>
      <c r="B884" t="str">
        <f>COUNTIF($E$2:E771,E771)&amp;E771</f>
        <v>0</v>
      </c>
    </row>
    <row r="885" spans="1:2" x14ac:dyDescent="0.25">
      <c r="A885" t="str">
        <f>COUNTIF($D$2:D772,D772)&amp;D772</f>
        <v>0</v>
      </c>
      <c r="B885" t="str">
        <f>COUNTIF($E$2:E772,E772)&amp;E772</f>
        <v>0</v>
      </c>
    </row>
    <row r="886" spans="1:2" x14ac:dyDescent="0.25">
      <c r="A886" t="str">
        <f>COUNTIF($D$2:D773,D773)&amp;D773</f>
        <v>0</v>
      </c>
      <c r="B886" t="str">
        <f>COUNTIF($E$2:E773,E773)&amp;E773</f>
        <v>0</v>
      </c>
    </row>
    <row r="887" spans="1:2" x14ac:dyDescent="0.25">
      <c r="A887" t="str">
        <f>COUNTIF($D$2:D774,D774)&amp;D774</f>
        <v>0</v>
      </c>
      <c r="B887" t="str">
        <f>COUNTIF($E$2:E774,E774)&amp;E774</f>
        <v>0</v>
      </c>
    </row>
    <row r="888" spans="1:2" x14ac:dyDescent="0.25">
      <c r="A888" t="str">
        <f>COUNTIF($D$2:D775,D775)&amp;D775</f>
        <v>0</v>
      </c>
      <c r="B888" t="str">
        <f>COUNTIF($E$2:E775,E775)&amp;E775</f>
        <v>0</v>
      </c>
    </row>
    <row r="889" spans="1:2" x14ac:dyDescent="0.25">
      <c r="A889" t="str">
        <f>COUNTIF($D$2:D776,D776)&amp;D776</f>
        <v>0</v>
      </c>
      <c r="B889" t="str">
        <f>COUNTIF($E$2:E776,E776)&amp;E776</f>
        <v>0</v>
      </c>
    </row>
    <row r="890" spans="1:2" x14ac:dyDescent="0.25">
      <c r="A890" t="str">
        <f>COUNTIF($D$2:D777,D777)&amp;D777</f>
        <v>0</v>
      </c>
      <c r="B890" t="str">
        <f>COUNTIF($E$2:E777,E777)&amp;E777</f>
        <v>0</v>
      </c>
    </row>
    <row r="891" spans="1:2" x14ac:dyDescent="0.25">
      <c r="A891" t="str">
        <f>COUNTIF($D$2:D778,D778)&amp;D778</f>
        <v>0</v>
      </c>
      <c r="B891" t="str">
        <f>COUNTIF($E$2:E778,E778)&amp;E778</f>
        <v>0</v>
      </c>
    </row>
    <row r="892" spans="1:2" x14ac:dyDescent="0.25">
      <c r="A892" t="str">
        <f>COUNTIF($D$2:D779,D779)&amp;D779</f>
        <v>0</v>
      </c>
      <c r="B892" t="str">
        <f>COUNTIF($E$2:E779,E779)&amp;E779</f>
        <v>0</v>
      </c>
    </row>
    <row r="893" spans="1:2" x14ac:dyDescent="0.25">
      <c r="A893" t="str">
        <f>COUNTIF($D$2:D780,D780)&amp;D780</f>
        <v>0</v>
      </c>
      <c r="B893" t="str">
        <f>COUNTIF($E$2:E780,E780)&amp;E780</f>
        <v>0</v>
      </c>
    </row>
    <row r="894" spans="1:2" x14ac:dyDescent="0.25">
      <c r="A894" t="str">
        <f>COUNTIF($D$2:D781,D781)&amp;D781</f>
        <v>0</v>
      </c>
      <c r="B894" t="str">
        <f>COUNTIF($E$2:E781,E781)&amp;E781</f>
        <v>0</v>
      </c>
    </row>
    <row r="895" spans="1:2" x14ac:dyDescent="0.25">
      <c r="A895" t="str">
        <f>COUNTIF($D$2:D782,D782)&amp;D782</f>
        <v>0</v>
      </c>
      <c r="B895" t="str">
        <f>COUNTIF($E$2:E782,E782)&amp;E782</f>
        <v>0</v>
      </c>
    </row>
    <row r="896" spans="1:2" x14ac:dyDescent="0.25">
      <c r="A896" t="str">
        <f>COUNTIF($D$2:D783,D783)&amp;D783</f>
        <v>0</v>
      </c>
      <c r="B896" t="str">
        <f>COUNTIF($E$2:E783,E783)&amp;E783</f>
        <v>0</v>
      </c>
    </row>
    <row r="897" spans="1:2" x14ac:dyDescent="0.25">
      <c r="A897" t="str">
        <f>COUNTIF($D$2:D784,D784)&amp;D784</f>
        <v>0</v>
      </c>
      <c r="B897" t="str">
        <f>COUNTIF($E$2:E784,E784)&amp;E784</f>
        <v>0</v>
      </c>
    </row>
    <row r="898" spans="1:2" x14ac:dyDescent="0.25">
      <c r="A898" t="str">
        <f>COUNTIF($D$2:D785,D785)&amp;D785</f>
        <v>0</v>
      </c>
      <c r="B898" t="str">
        <f>COUNTIF($E$2:E785,E785)&amp;E785</f>
        <v>0</v>
      </c>
    </row>
    <row r="899" spans="1:2" x14ac:dyDescent="0.25">
      <c r="A899" t="str">
        <f>COUNTIF($D$2:D786,D786)&amp;D786</f>
        <v>0</v>
      </c>
      <c r="B899" t="str">
        <f>COUNTIF($E$2:E786,E786)&amp;E786</f>
        <v>0</v>
      </c>
    </row>
    <row r="900" spans="1:2" x14ac:dyDescent="0.25">
      <c r="A900" t="str">
        <f>COUNTIF($D$2:D787,D787)&amp;D787</f>
        <v>0</v>
      </c>
      <c r="B900" t="str">
        <f>COUNTIF($E$2:E787,E787)&amp;E787</f>
        <v>0</v>
      </c>
    </row>
    <row r="901" spans="1:2" x14ac:dyDescent="0.25">
      <c r="A901" t="str">
        <f>COUNTIF($D$2:D788,D788)&amp;D788</f>
        <v>0</v>
      </c>
      <c r="B901" t="str">
        <f>COUNTIF($E$2:E788,E788)&amp;E788</f>
        <v>0</v>
      </c>
    </row>
    <row r="902" spans="1:2" x14ac:dyDescent="0.25">
      <c r="A902" t="str">
        <f>COUNTIF($D$2:D789,D789)&amp;D789</f>
        <v>0</v>
      </c>
      <c r="B902" t="str">
        <f>COUNTIF($E$2:E789,E789)&amp;E789</f>
        <v>0</v>
      </c>
    </row>
    <row r="903" spans="1:2" x14ac:dyDescent="0.25">
      <c r="A903" t="str">
        <f>COUNTIF($D$2:D790,D790)&amp;D790</f>
        <v>0</v>
      </c>
      <c r="B903" t="str">
        <f>COUNTIF($E$2:E790,E790)&amp;E790</f>
        <v>0</v>
      </c>
    </row>
    <row r="904" spans="1:2" x14ac:dyDescent="0.25">
      <c r="A904" t="str">
        <f>COUNTIF($D$2:D791,D791)&amp;D791</f>
        <v>0</v>
      </c>
      <c r="B904" t="str">
        <f>COUNTIF($E$2:E791,E791)&amp;E791</f>
        <v>0</v>
      </c>
    </row>
    <row r="905" spans="1:2" x14ac:dyDescent="0.25">
      <c r="A905" t="str">
        <f>COUNTIF($D$2:D792,D792)&amp;D792</f>
        <v>0</v>
      </c>
      <c r="B905" t="str">
        <f>COUNTIF($E$2:E792,E792)&amp;E792</f>
        <v>0</v>
      </c>
    </row>
    <row r="906" spans="1:2" x14ac:dyDescent="0.25">
      <c r="A906" t="str">
        <f>COUNTIF($D$2:D793,D793)&amp;D793</f>
        <v>0</v>
      </c>
      <c r="B906" t="str">
        <f>COUNTIF($E$2:E793,E793)&amp;E793</f>
        <v>0</v>
      </c>
    </row>
    <row r="907" spans="1:2" x14ac:dyDescent="0.25">
      <c r="A907" t="str">
        <f>COUNTIF($D$2:D794,D794)&amp;D794</f>
        <v>0</v>
      </c>
      <c r="B907" t="str">
        <f>COUNTIF($E$2:E794,E794)&amp;E794</f>
        <v>0</v>
      </c>
    </row>
    <row r="908" spans="1:2" x14ac:dyDescent="0.25">
      <c r="A908" t="str">
        <f>COUNTIF($D$2:D795,D795)&amp;D795</f>
        <v>0</v>
      </c>
      <c r="B908" t="str">
        <f>COUNTIF($E$2:E795,E795)&amp;E795</f>
        <v>0</v>
      </c>
    </row>
    <row r="909" spans="1:2" x14ac:dyDescent="0.25">
      <c r="A909" t="str">
        <f>COUNTIF($D$2:D796,D796)&amp;D796</f>
        <v>0</v>
      </c>
      <c r="B909" t="str">
        <f>COUNTIF($E$2:E796,E796)&amp;E796</f>
        <v>0</v>
      </c>
    </row>
    <row r="910" spans="1:2" x14ac:dyDescent="0.25">
      <c r="A910" t="str">
        <f>COUNTIF($D$2:D797,D797)&amp;D797</f>
        <v>0</v>
      </c>
      <c r="B910" t="str">
        <f>COUNTIF($E$2:E797,E797)&amp;E797</f>
        <v>0</v>
      </c>
    </row>
    <row r="911" spans="1:2" x14ac:dyDescent="0.25">
      <c r="A911" t="str">
        <f>COUNTIF($D$2:D798,D798)&amp;D798</f>
        <v>0</v>
      </c>
      <c r="B911" t="str">
        <f>COUNTIF($E$2:E798,E798)&amp;E798</f>
        <v>0</v>
      </c>
    </row>
    <row r="912" spans="1:2" x14ac:dyDescent="0.25">
      <c r="A912" t="str">
        <f>COUNTIF($D$2:D799,D799)&amp;D799</f>
        <v>0</v>
      </c>
      <c r="B912" t="str">
        <f>COUNTIF($E$2:E799,E799)&amp;E799</f>
        <v>0</v>
      </c>
    </row>
    <row r="913" spans="1:2" x14ac:dyDescent="0.25">
      <c r="A913" t="str">
        <f>COUNTIF($D$2:D800,D800)&amp;D800</f>
        <v>0</v>
      </c>
      <c r="B913" t="str">
        <f>COUNTIF($E$2:E800,E800)&amp;E800</f>
        <v>0</v>
      </c>
    </row>
    <row r="914" spans="1:2" x14ac:dyDescent="0.25">
      <c r="A914" t="str">
        <f>COUNTIF($D$2:D801,D801)&amp;D801</f>
        <v>0</v>
      </c>
      <c r="B914" t="str">
        <f>COUNTIF($E$2:E801,E801)&amp;E801</f>
        <v>0</v>
      </c>
    </row>
    <row r="915" spans="1:2" x14ac:dyDescent="0.25">
      <c r="A915" t="str">
        <f>COUNTIF($D$2:D802,D802)&amp;D802</f>
        <v>0</v>
      </c>
      <c r="B915" t="str">
        <f>COUNTIF($E$2:E802,E802)&amp;E802</f>
        <v>0</v>
      </c>
    </row>
    <row r="916" spans="1:2" x14ac:dyDescent="0.25">
      <c r="A916" t="str">
        <f>COUNTIF($D$2:D803,D803)&amp;D803</f>
        <v>0</v>
      </c>
      <c r="B916" t="str">
        <f>COUNTIF($E$2:E803,E803)&amp;E803</f>
        <v>0</v>
      </c>
    </row>
    <row r="917" spans="1:2" x14ac:dyDescent="0.25">
      <c r="A917" t="str">
        <f>COUNTIF($D$2:D804,D804)&amp;D804</f>
        <v>0</v>
      </c>
      <c r="B917" t="str">
        <f>COUNTIF($E$2:E804,E804)&amp;E804</f>
        <v>0</v>
      </c>
    </row>
    <row r="918" spans="1:2" x14ac:dyDescent="0.25">
      <c r="A918" t="str">
        <f>COUNTIF($D$2:D805,D805)&amp;D805</f>
        <v>0</v>
      </c>
      <c r="B918" t="str">
        <f>COUNTIF($E$2:E805,E805)&amp;E805</f>
        <v>0</v>
      </c>
    </row>
    <row r="919" spans="1:2" x14ac:dyDescent="0.25">
      <c r="A919" t="str">
        <f>COUNTIF($D$2:D806,D806)&amp;D806</f>
        <v>0</v>
      </c>
      <c r="B919" t="str">
        <f>COUNTIF($E$2:E806,E806)&amp;E806</f>
        <v>0</v>
      </c>
    </row>
    <row r="920" spans="1:2" x14ac:dyDescent="0.25">
      <c r="A920" t="str">
        <f>COUNTIF($D$2:D807,D807)&amp;D807</f>
        <v>0</v>
      </c>
      <c r="B920" t="str">
        <f>COUNTIF($E$2:E807,E807)&amp;E807</f>
        <v>0</v>
      </c>
    </row>
    <row r="921" spans="1:2" x14ac:dyDescent="0.25">
      <c r="A921" t="str">
        <f>COUNTIF($D$2:D808,D808)&amp;D808</f>
        <v>0</v>
      </c>
      <c r="B921" t="str">
        <f>COUNTIF($E$2:E808,E808)&amp;E808</f>
        <v>0</v>
      </c>
    </row>
    <row r="922" spans="1:2" x14ac:dyDescent="0.25">
      <c r="A922" t="str">
        <f>COUNTIF($D$2:D809,D809)&amp;D809</f>
        <v>0</v>
      </c>
      <c r="B922" t="str">
        <f>COUNTIF($E$2:E809,E809)&amp;E809</f>
        <v>0</v>
      </c>
    </row>
    <row r="923" spans="1:2" x14ac:dyDescent="0.25">
      <c r="A923" t="str">
        <f>COUNTIF($D$2:D810,D810)&amp;D810</f>
        <v>0</v>
      </c>
      <c r="B923" t="str">
        <f>COUNTIF($E$2:E810,E810)&amp;E810</f>
        <v>0</v>
      </c>
    </row>
    <row r="924" spans="1:2" x14ac:dyDescent="0.25">
      <c r="A924" t="str">
        <f>COUNTIF($D$2:D811,D811)&amp;D811</f>
        <v>0</v>
      </c>
      <c r="B924" t="str">
        <f>COUNTIF($E$2:E811,E811)&amp;E811</f>
        <v>0</v>
      </c>
    </row>
    <row r="925" spans="1:2" x14ac:dyDescent="0.25">
      <c r="A925" t="str">
        <f>COUNTIF($D$2:D812,D812)&amp;D812</f>
        <v>0</v>
      </c>
      <c r="B925" t="str">
        <f>COUNTIF($E$2:E812,E812)&amp;E812</f>
        <v>0</v>
      </c>
    </row>
    <row r="926" spans="1:2" x14ac:dyDescent="0.25">
      <c r="A926" t="str">
        <f>COUNTIF($D$2:D813,D813)&amp;D813</f>
        <v>0</v>
      </c>
      <c r="B926" t="str">
        <f>COUNTIF($E$2:E813,E813)&amp;E813</f>
        <v>0</v>
      </c>
    </row>
    <row r="927" spans="1:2" x14ac:dyDescent="0.25">
      <c r="A927" t="str">
        <f>COUNTIF($D$2:D814,D814)&amp;D814</f>
        <v>0</v>
      </c>
      <c r="B927" t="str">
        <f>COUNTIF($E$2:E814,E814)&amp;E814</f>
        <v>0</v>
      </c>
    </row>
    <row r="928" spans="1:2" x14ac:dyDescent="0.25">
      <c r="A928" t="str">
        <f>COUNTIF($D$2:D815,D815)&amp;D815</f>
        <v>0</v>
      </c>
      <c r="B928" t="str">
        <f>COUNTIF($E$2:E815,E815)&amp;E815</f>
        <v>0</v>
      </c>
    </row>
    <row r="929" spans="1:2" x14ac:dyDescent="0.25">
      <c r="A929" t="str">
        <f>COUNTIF($D$2:D816,D816)&amp;D816</f>
        <v>0</v>
      </c>
      <c r="B929" t="str">
        <f>COUNTIF($E$2:E816,E816)&amp;E816</f>
        <v>0</v>
      </c>
    </row>
    <row r="930" spans="1:2" x14ac:dyDescent="0.25">
      <c r="A930" t="str">
        <f>COUNTIF($D$2:D817,D817)&amp;D817</f>
        <v>0</v>
      </c>
      <c r="B930" t="str">
        <f>COUNTIF($E$2:E817,E817)&amp;E817</f>
        <v>0</v>
      </c>
    </row>
    <row r="931" spans="1:2" x14ac:dyDescent="0.25">
      <c r="A931" t="str">
        <f>COUNTIF($D$2:D818,D818)&amp;D818</f>
        <v>0</v>
      </c>
      <c r="B931" t="str">
        <f>COUNTIF($E$2:E818,E818)&amp;E818</f>
        <v>0</v>
      </c>
    </row>
    <row r="932" spans="1:2" x14ac:dyDescent="0.25">
      <c r="A932" t="str">
        <f>COUNTIF($D$2:D819,D819)&amp;D819</f>
        <v>0</v>
      </c>
      <c r="B932" t="str">
        <f>COUNTIF($E$2:E819,E819)&amp;E819</f>
        <v>0</v>
      </c>
    </row>
    <row r="933" spans="1:2" x14ac:dyDescent="0.25">
      <c r="A933" t="str">
        <f>COUNTIF($D$2:D820,D820)&amp;D820</f>
        <v>0</v>
      </c>
      <c r="B933" t="str">
        <f>COUNTIF($E$2:E820,E820)&amp;E820</f>
        <v>0</v>
      </c>
    </row>
    <row r="934" spans="1:2" x14ac:dyDescent="0.25">
      <c r="A934" t="str">
        <f>COUNTIF($D$2:D821,D821)&amp;D821</f>
        <v>0</v>
      </c>
      <c r="B934" t="str">
        <f>COUNTIF($E$2:E821,E821)&amp;E821</f>
        <v>0</v>
      </c>
    </row>
    <row r="935" spans="1:2" x14ac:dyDescent="0.25">
      <c r="A935" t="str">
        <f>COUNTIF($D$2:D822,D822)&amp;D822</f>
        <v>0</v>
      </c>
      <c r="B935" t="str">
        <f>COUNTIF($E$2:E822,E822)&amp;E822</f>
        <v>0</v>
      </c>
    </row>
    <row r="936" spans="1:2" x14ac:dyDescent="0.25">
      <c r="A936" t="str">
        <f>COUNTIF($D$2:D823,D823)&amp;D823</f>
        <v>0</v>
      </c>
      <c r="B936" t="str">
        <f>COUNTIF($E$2:E823,E823)&amp;E823</f>
        <v>0</v>
      </c>
    </row>
    <row r="937" spans="1:2" x14ac:dyDescent="0.25">
      <c r="A937" t="str">
        <f>COUNTIF($D$2:D824,D824)&amp;D824</f>
        <v>0</v>
      </c>
      <c r="B937" t="str">
        <f>COUNTIF($E$2:E824,E824)&amp;E824</f>
        <v>0</v>
      </c>
    </row>
    <row r="938" spans="1:2" x14ac:dyDescent="0.25">
      <c r="A938" t="str">
        <f>COUNTIF($D$2:D825,D825)&amp;D825</f>
        <v>0</v>
      </c>
      <c r="B938" t="str">
        <f>COUNTIF($E$2:E825,E825)&amp;E825</f>
        <v>0</v>
      </c>
    </row>
    <row r="939" spans="1:2" x14ac:dyDescent="0.25">
      <c r="A939" t="str">
        <f>COUNTIF($D$2:D826,D826)&amp;D826</f>
        <v>0</v>
      </c>
      <c r="B939" t="str">
        <f>COUNTIF($E$2:E826,E826)&amp;E826</f>
        <v>0</v>
      </c>
    </row>
    <row r="940" spans="1:2" x14ac:dyDescent="0.25">
      <c r="A940" t="str">
        <f>COUNTIF($D$2:D827,D827)&amp;D827</f>
        <v>0</v>
      </c>
      <c r="B940" t="str">
        <f>COUNTIF($E$2:E827,E827)&amp;E827</f>
        <v>0</v>
      </c>
    </row>
    <row r="941" spans="1:2" x14ac:dyDescent="0.25">
      <c r="A941" t="str">
        <f>COUNTIF($D$2:D828,D828)&amp;D828</f>
        <v>0</v>
      </c>
      <c r="B941" t="str">
        <f>COUNTIF($E$2:E828,E828)&amp;E828</f>
        <v>0</v>
      </c>
    </row>
    <row r="942" spans="1:2" x14ac:dyDescent="0.25">
      <c r="A942" t="str">
        <f>COUNTIF($D$2:D829,D829)&amp;D829</f>
        <v>0</v>
      </c>
      <c r="B942" t="str">
        <f>COUNTIF($E$2:E829,E829)&amp;E829</f>
        <v>0</v>
      </c>
    </row>
    <row r="943" spans="1:2" x14ac:dyDescent="0.25">
      <c r="A943" t="str">
        <f>COUNTIF($D$2:D830,D830)&amp;D830</f>
        <v>0</v>
      </c>
      <c r="B943" t="str">
        <f>COUNTIF($E$2:E830,E830)&amp;E830</f>
        <v>0</v>
      </c>
    </row>
    <row r="944" spans="1:2" x14ac:dyDescent="0.25">
      <c r="A944" t="str">
        <f>COUNTIF($D$2:D831,D831)&amp;D831</f>
        <v>0</v>
      </c>
      <c r="B944" t="str">
        <f>COUNTIF($E$2:E831,E831)&amp;E831</f>
        <v>0</v>
      </c>
    </row>
    <row r="945" spans="1:2" x14ac:dyDescent="0.25">
      <c r="A945" t="str">
        <f>COUNTIF($D$2:D832,D832)&amp;D832</f>
        <v>0</v>
      </c>
      <c r="B945" t="str">
        <f>COUNTIF($E$2:E832,E832)&amp;E832</f>
        <v>0</v>
      </c>
    </row>
    <row r="946" spans="1:2" x14ac:dyDescent="0.25">
      <c r="A946" t="str">
        <f>COUNTIF($D$2:D833,D833)&amp;D833</f>
        <v>0</v>
      </c>
      <c r="B946" t="str">
        <f>COUNTIF($E$2:E833,E833)&amp;E833</f>
        <v>0</v>
      </c>
    </row>
    <row r="947" spans="1:2" x14ac:dyDescent="0.25">
      <c r="A947" t="str">
        <f>COUNTIF($D$2:D834,D834)&amp;D834</f>
        <v>0</v>
      </c>
      <c r="B947" t="str">
        <f>COUNTIF($E$2:E834,E834)&amp;E834</f>
        <v>0</v>
      </c>
    </row>
    <row r="948" spans="1:2" x14ac:dyDescent="0.25">
      <c r="A948" t="str">
        <f>COUNTIF($D$2:D835,D835)&amp;D835</f>
        <v>0</v>
      </c>
      <c r="B948" t="str">
        <f>COUNTIF($E$2:E835,E835)&amp;E835</f>
        <v>0</v>
      </c>
    </row>
    <row r="949" spans="1:2" x14ac:dyDescent="0.25">
      <c r="A949" t="str">
        <f>COUNTIF($D$2:D836,D836)&amp;D836</f>
        <v>0</v>
      </c>
      <c r="B949" t="str">
        <f>COUNTIF($E$2:E836,E836)&amp;E836</f>
        <v>0</v>
      </c>
    </row>
    <row r="950" spans="1:2" x14ac:dyDescent="0.25">
      <c r="A950" t="str">
        <f>COUNTIF($D$2:D837,D837)&amp;D837</f>
        <v>0</v>
      </c>
      <c r="B950" t="str">
        <f>COUNTIF($E$2:E837,E837)&amp;E837</f>
        <v>0</v>
      </c>
    </row>
    <row r="951" spans="1:2" x14ac:dyDescent="0.25">
      <c r="A951" t="str">
        <f>COUNTIF($D$2:D838,D838)&amp;D838</f>
        <v>0</v>
      </c>
      <c r="B951" t="str">
        <f>COUNTIF($E$2:E838,E838)&amp;E838</f>
        <v>0</v>
      </c>
    </row>
    <row r="952" spans="1:2" x14ac:dyDescent="0.25">
      <c r="A952" t="str">
        <f>COUNTIF($D$2:D839,D839)&amp;D839</f>
        <v>0</v>
      </c>
      <c r="B952" t="str">
        <f>COUNTIF($E$2:E839,E839)&amp;E839</f>
        <v>0</v>
      </c>
    </row>
    <row r="953" spans="1:2" x14ac:dyDescent="0.25">
      <c r="A953" t="str">
        <f>COUNTIF($D$2:D840,D840)&amp;D840</f>
        <v>0</v>
      </c>
      <c r="B953" t="str">
        <f>COUNTIF($E$2:E840,E840)&amp;E840</f>
        <v>0</v>
      </c>
    </row>
    <row r="954" spans="1:2" x14ac:dyDescent="0.25">
      <c r="A954" t="str">
        <f>COUNTIF($D$2:D841,D841)&amp;D841</f>
        <v>0</v>
      </c>
      <c r="B954" t="str">
        <f>COUNTIF($E$2:E841,E841)&amp;E841</f>
        <v>0</v>
      </c>
    </row>
    <row r="955" spans="1:2" x14ac:dyDescent="0.25">
      <c r="A955" t="str">
        <f>COUNTIF($D$2:D842,D842)&amp;D842</f>
        <v>0</v>
      </c>
      <c r="B955" t="str">
        <f>COUNTIF($E$2:E842,E842)&amp;E842</f>
        <v>0</v>
      </c>
    </row>
    <row r="956" spans="1:2" x14ac:dyDescent="0.25">
      <c r="A956" t="str">
        <f>COUNTIF($D$2:D843,D843)&amp;D843</f>
        <v>0</v>
      </c>
      <c r="B956" t="str">
        <f>COUNTIF($E$2:E843,E843)&amp;E843</f>
        <v>0</v>
      </c>
    </row>
    <row r="957" spans="1:2" x14ac:dyDescent="0.25">
      <c r="A957" t="str">
        <f>COUNTIF($D$2:D844,D844)&amp;D844</f>
        <v>0</v>
      </c>
      <c r="B957" t="str">
        <f>COUNTIF($E$2:E844,E844)&amp;E844</f>
        <v>0</v>
      </c>
    </row>
    <row r="958" spans="1:2" x14ac:dyDescent="0.25">
      <c r="A958" t="str">
        <f>COUNTIF($D$2:D845,D845)&amp;D845</f>
        <v>0</v>
      </c>
      <c r="B958" t="str">
        <f>COUNTIF($E$2:E845,E845)&amp;E845</f>
        <v>0</v>
      </c>
    </row>
    <row r="959" spans="1:2" x14ac:dyDescent="0.25">
      <c r="A959" t="str">
        <f>COUNTIF($D$2:D846,D846)&amp;D846</f>
        <v>0</v>
      </c>
      <c r="B959" t="str">
        <f>COUNTIF($E$2:E846,E846)&amp;E846</f>
        <v>0</v>
      </c>
    </row>
    <row r="960" spans="1:2" x14ac:dyDescent="0.25">
      <c r="A960" t="str">
        <f>COUNTIF($D$2:D847,D847)&amp;D847</f>
        <v>0</v>
      </c>
      <c r="B960" t="str">
        <f>COUNTIF($E$2:E847,E847)&amp;E847</f>
        <v>0</v>
      </c>
    </row>
    <row r="961" spans="1:2" x14ac:dyDescent="0.25">
      <c r="A961" t="str">
        <f>COUNTIF($D$2:D848,D848)&amp;D848</f>
        <v>0</v>
      </c>
      <c r="B961" t="str">
        <f>COUNTIF($E$2:E848,E848)&amp;E848</f>
        <v>0</v>
      </c>
    </row>
    <row r="962" spans="1:2" x14ac:dyDescent="0.25">
      <c r="A962" t="str">
        <f>COUNTIF($D$2:D849,D849)&amp;D849</f>
        <v>0</v>
      </c>
      <c r="B962" t="str">
        <f>COUNTIF($E$2:E849,E849)&amp;E849</f>
        <v>0</v>
      </c>
    </row>
    <row r="963" spans="1:2" x14ac:dyDescent="0.25">
      <c r="A963" t="str">
        <f>COUNTIF($D$2:D850,D850)&amp;D850</f>
        <v>0</v>
      </c>
      <c r="B963" t="str">
        <f>COUNTIF($E$2:E850,E850)&amp;E850</f>
        <v>0</v>
      </c>
    </row>
    <row r="964" spans="1:2" x14ac:dyDescent="0.25">
      <c r="A964" t="str">
        <f>COUNTIF($D$2:D851,D851)&amp;D851</f>
        <v>0</v>
      </c>
      <c r="B964" t="str">
        <f>COUNTIF($E$2:E851,E851)&amp;E851</f>
        <v>0</v>
      </c>
    </row>
    <row r="965" spans="1:2" x14ac:dyDescent="0.25">
      <c r="A965" t="str">
        <f>COUNTIF($D$2:D852,D852)&amp;D852</f>
        <v>0</v>
      </c>
      <c r="B965" t="str">
        <f>COUNTIF($E$2:E852,E852)&amp;E852</f>
        <v>0</v>
      </c>
    </row>
    <row r="966" spans="1:2" x14ac:dyDescent="0.25">
      <c r="A966" t="str">
        <f>COUNTIF($D$2:D853,D853)&amp;D853</f>
        <v>0</v>
      </c>
      <c r="B966" t="str">
        <f>COUNTIF($E$2:E853,E853)&amp;E853</f>
        <v>0</v>
      </c>
    </row>
    <row r="967" spans="1:2" x14ac:dyDescent="0.25">
      <c r="A967" t="str">
        <f>COUNTIF($D$2:D854,D854)&amp;D854</f>
        <v>0</v>
      </c>
      <c r="B967" t="str">
        <f>COUNTIF($E$2:E854,E854)&amp;E854</f>
        <v>0</v>
      </c>
    </row>
    <row r="968" spans="1:2" x14ac:dyDescent="0.25">
      <c r="A968" t="str">
        <f>COUNTIF($D$2:D855,D855)&amp;D855</f>
        <v>0</v>
      </c>
      <c r="B968" t="str">
        <f>COUNTIF($E$2:E855,E855)&amp;E855</f>
        <v>0</v>
      </c>
    </row>
    <row r="969" spans="1:2" x14ac:dyDescent="0.25">
      <c r="A969" t="str">
        <f>COUNTIF($D$2:D856,D856)&amp;D856</f>
        <v>0</v>
      </c>
      <c r="B969" t="str">
        <f>COUNTIF($E$2:E856,E856)&amp;E856</f>
        <v>0</v>
      </c>
    </row>
    <row r="970" spans="1:2" x14ac:dyDescent="0.25">
      <c r="A970" t="str">
        <f>COUNTIF($D$2:D857,D857)&amp;D857</f>
        <v>0</v>
      </c>
      <c r="B970" t="str">
        <f>COUNTIF($E$2:E857,E857)&amp;E857</f>
        <v>0</v>
      </c>
    </row>
    <row r="971" spans="1:2" x14ac:dyDescent="0.25">
      <c r="A971" t="str">
        <f>COUNTIF($D$2:D858,D858)&amp;D858</f>
        <v>0</v>
      </c>
      <c r="B971" t="str">
        <f>COUNTIF($E$2:E858,E858)&amp;E858</f>
        <v>0</v>
      </c>
    </row>
    <row r="972" spans="1:2" x14ac:dyDescent="0.25">
      <c r="A972" t="str">
        <f>COUNTIF($D$2:D859,D859)&amp;D859</f>
        <v>0</v>
      </c>
      <c r="B972" t="str">
        <f>COUNTIF($E$2:E859,E859)&amp;E859</f>
        <v>0</v>
      </c>
    </row>
    <row r="973" spans="1:2" x14ac:dyDescent="0.25">
      <c r="A973" t="str">
        <f>COUNTIF($D$2:D860,D860)&amp;D860</f>
        <v>0</v>
      </c>
      <c r="B973" t="str">
        <f>COUNTIF($E$2:E860,E860)&amp;E860</f>
        <v>0</v>
      </c>
    </row>
    <row r="974" spans="1:2" x14ac:dyDescent="0.25">
      <c r="A974" t="str">
        <f>COUNTIF($D$2:D861,D861)&amp;D861</f>
        <v>0</v>
      </c>
      <c r="B974" t="str">
        <f>COUNTIF($E$2:E861,E861)&amp;E861</f>
        <v>0</v>
      </c>
    </row>
    <row r="975" spans="1:2" x14ac:dyDescent="0.25">
      <c r="A975" t="str">
        <f>COUNTIF($D$2:D862,D862)&amp;D862</f>
        <v>0</v>
      </c>
      <c r="B975" t="str">
        <f>COUNTIF($E$2:E862,E862)&amp;E862</f>
        <v>0</v>
      </c>
    </row>
    <row r="976" spans="1:2" x14ac:dyDescent="0.25">
      <c r="A976" t="str">
        <f>COUNTIF($D$2:D863,D863)&amp;D863</f>
        <v>0</v>
      </c>
      <c r="B976" t="str">
        <f>COUNTIF($E$2:E863,E863)&amp;E863</f>
        <v>0</v>
      </c>
    </row>
    <row r="977" spans="1:2" x14ac:dyDescent="0.25">
      <c r="A977" t="str">
        <f>COUNTIF($D$2:D864,D864)&amp;D864</f>
        <v>0</v>
      </c>
      <c r="B977" t="str">
        <f>COUNTIF($E$2:E864,E864)&amp;E864</f>
        <v>0</v>
      </c>
    </row>
    <row r="978" spans="1:2" x14ac:dyDescent="0.25">
      <c r="A978" t="str">
        <f>COUNTIF($D$2:D865,D865)&amp;D865</f>
        <v>0</v>
      </c>
      <c r="B978" t="str">
        <f>COUNTIF($E$2:E865,E865)&amp;E865</f>
        <v>0</v>
      </c>
    </row>
    <row r="979" spans="1:2" x14ac:dyDescent="0.25">
      <c r="A979" t="str">
        <f>COUNTIF($D$2:D866,D866)&amp;D866</f>
        <v>0</v>
      </c>
      <c r="B979" t="str">
        <f>COUNTIF($E$2:E866,E866)&amp;E866</f>
        <v>0</v>
      </c>
    </row>
    <row r="980" spans="1:2" x14ac:dyDescent="0.25">
      <c r="A980" t="str">
        <f>COUNTIF($D$2:D867,D867)&amp;D867</f>
        <v>0</v>
      </c>
      <c r="B980" t="str">
        <f>COUNTIF($E$2:E867,E867)&amp;E867</f>
        <v>0</v>
      </c>
    </row>
    <row r="981" spans="1:2" x14ac:dyDescent="0.25">
      <c r="A981" t="str">
        <f>COUNTIF($D$2:D868,D868)&amp;D868</f>
        <v>0</v>
      </c>
      <c r="B981" t="str">
        <f>COUNTIF($E$2:E868,E868)&amp;E868</f>
        <v>0</v>
      </c>
    </row>
    <row r="982" spans="1:2" x14ac:dyDescent="0.25">
      <c r="A982" t="str">
        <f>COUNTIF($D$2:D869,D869)&amp;D869</f>
        <v>0</v>
      </c>
      <c r="B982" t="str">
        <f>COUNTIF($E$2:E869,E869)&amp;E869</f>
        <v>0</v>
      </c>
    </row>
    <row r="983" spans="1:2" x14ac:dyDescent="0.25">
      <c r="A983" t="str">
        <f>COUNTIF($D$2:D870,D870)&amp;D870</f>
        <v>0</v>
      </c>
      <c r="B983" t="str">
        <f>COUNTIF($E$2:E870,E870)&amp;E870</f>
        <v>0</v>
      </c>
    </row>
    <row r="984" spans="1:2" x14ac:dyDescent="0.25">
      <c r="A984" t="str">
        <f>COUNTIF($D$2:D871,D871)&amp;D871</f>
        <v>0</v>
      </c>
      <c r="B984" t="str">
        <f>COUNTIF($E$2:E871,E871)&amp;E871</f>
        <v>0</v>
      </c>
    </row>
    <row r="985" spans="1:2" x14ac:dyDescent="0.25">
      <c r="A985" t="str">
        <f>COUNTIF($D$2:D872,D872)&amp;D872</f>
        <v>0</v>
      </c>
      <c r="B985" t="str">
        <f>COUNTIF($E$2:E872,E872)&amp;E872</f>
        <v>0</v>
      </c>
    </row>
    <row r="986" spans="1:2" x14ac:dyDescent="0.25">
      <c r="A986" t="str">
        <f>COUNTIF($D$2:D873,D873)&amp;D873</f>
        <v>0</v>
      </c>
      <c r="B986" t="str">
        <f>COUNTIF($E$2:E873,E873)&amp;E873</f>
        <v>0</v>
      </c>
    </row>
    <row r="987" spans="1:2" x14ac:dyDescent="0.25">
      <c r="A987" t="str">
        <f>COUNTIF($D$2:D874,D874)&amp;D874</f>
        <v>0</v>
      </c>
      <c r="B987" t="str">
        <f>COUNTIF($E$2:E874,E874)&amp;E874</f>
        <v>0</v>
      </c>
    </row>
    <row r="988" spans="1:2" x14ac:dyDescent="0.25">
      <c r="A988" t="str">
        <f>COUNTIF($D$2:D875,D875)&amp;D875</f>
        <v>0</v>
      </c>
      <c r="B988" t="str">
        <f>COUNTIF($E$2:E875,E875)&amp;E875</f>
        <v>0</v>
      </c>
    </row>
    <row r="989" spans="1:2" x14ac:dyDescent="0.25">
      <c r="A989" t="str">
        <f>COUNTIF($D$2:D876,D876)&amp;D876</f>
        <v>0</v>
      </c>
      <c r="B989" t="str">
        <f>COUNTIF($E$2:E876,E876)&amp;E876</f>
        <v>0</v>
      </c>
    </row>
    <row r="990" spans="1:2" x14ac:dyDescent="0.25">
      <c r="A990" t="str">
        <f>COUNTIF($D$2:D877,D877)&amp;D877</f>
        <v>0</v>
      </c>
      <c r="B990" t="str">
        <f>COUNTIF($E$2:E877,E877)&amp;E877</f>
        <v>0</v>
      </c>
    </row>
    <row r="991" spans="1:2" x14ac:dyDescent="0.25">
      <c r="A991" t="str">
        <f>COUNTIF($D$2:D878,D878)&amp;D878</f>
        <v>0</v>
      </c>
      <c r="B991" t="str">
        <f>COUNTIF($E$2:E878,E878)&amp;E878</f>
        <v>0</v>
      </c>
    </row>
    <row r="992" spans="1:2" x14ac:dyDescent="0.25">
      <c r="A992" t="str">
        <f>COUNTIF($D$2:D879,D879)&amp;D879</f>
        <v>0</v>
      </c>
      <c r="B992" t="str">
        <f>COUNTIF($E$2:E879,E879)&amp;E879</f>
        <v>0</v>
      </c>
    </row>
    <row r="993" spans="1:2" x14ac:dyDescent="0.25">
      <c r="A993" t="str">
        <f>COUNTIF($D$2:D880,D880)&amp;D880</f>
        <v>0</v>
      </c>
      <c r="B993" t="str">
        <f>COUNTIF($E$2:E880,E880)&amp;E880</f>
        <v>0</v>
      </c>
    </row>
    <row r="994" spans="1:2" x14ac:dyDescent="0.25">
      <c r="A994" t="str">
        <f>COUNTIF($D$2:D881,D881)&amp;D881</f>
        <v>0</v>
      </c>
      <c r="B994" t="str">
        <f>COUNTIF($E$2:E881,E881)&amp;E881</f>
        <v>0</v>
      </c>
    </row>
    <row r="995" spans="1:2" x14ac:dyDescent="0.25">
      <c r="A995" t="str">
        <f>COUNTIF($D$2:D882,D882)&amp;D882</f>
        <v>0</v>
      </c>
      <c r="B995" t="str">
        <f>COUNTIF($E$2:E882,E882)&amp;E882</f>
        <v>0</v>
      </c>
    </row>
    <row r="996" spans="1:2" x14ac:dyDescent="0.25">
      <c r="A996" t="str">
        <f>COUNTIF($D$2:D883,D883)&amp;D883</f>
        <v>0</v>
      </c>
      <c r="B996" t="str">
        <f>COUNTIF($E$2:E883,E883)&amp;E883</f>
        <v>0</v>
      </c>
    </row>
    <row r="997" spans="1:2" x14ac:dyDescent="0.25">
      <c r="A997" t="str">
        <f>COUNTIF($D$2:D884,D884)&amp;D884</f>
        <v>0</v>
      </c>
      <c r="B997" t="str">
        <f>COUNTIF($E$2:E884,E884)&amp;E884</f>
        <v>0</v>
      </c>
    </row>
    <row r="998" spans="1:2" x14ac:dyDescent="0.25">
      <c r="A998" t="str">
        <f>COUNTIF($D$2:D885,D885)&amp;D885</f>
        <v>0</v>
      </c>
      <c r="B998" t="str">
        <f>COUNTIF($E$2:E885,E885)&amp;E885</f>
        <v>0</v>
      </c>
    </row>
    <row r="999" spans="1:2" x14ac:dyDescent="0.25">
      <c r="A999" t="str">
        <f>COUNTIF($D$2:D886,D886)&amp;D886</f>
        <v>0</v>
      </c>
      <c r="B999" t="str">
        <f>COUNTIF($E$2:E886,E886)&amp;E886</f>
        <v>0</v>
      </c>
    </row>
    <row r="1000" spans="1:2" x14ac:dyDescent="0.25">
      <c r="A1000" t="str">
        <f>COUNTIF($D$2:D887,D887)&amp;D887</f>
        <v>0</v>
      </c>
      <c r="B1000" t="str">
        <f>COUNTIF($E$2:E887,E887)&amp;E887</f>
        <v>0</v>
      </c>
    </row>
    <row r="1001" spans="1:2" x14ac:dyDescent="0.25">
      <c r="A1001" t="str">
        <f>COUNTIF($D$2:D888,D888)&amp;D888</f>
        <v>0</v>
      </c>
      <c r="B1001" t="str">
        <f>COUNTIF($E$2:E888,E888)&amp;E888</f>
        <v>0</v>
      </c>
    </row>
    <row r="1002" spans="1:2" x14ac:dyDescent="0.25">
      <c r="A1002" t="str">
        <f>COUNTIF($D$2:D889,D889)&amp;D889</f>
        <v>0</v>
      </c>
      <c r="B1002" t="str">
        <f>COUNTIF($E$2:E889,E889)&amp;E889</f>
        <v>0</v>
      </c>
    </row>
    <row r="1003" spans="1:2" x14ac:dyDescent="0.25">
      <c r="A1003" t="str">
        <f>COUNTIF($D$2:D890,D890)&amp;D890</f>
        <v>0</v>
      </c>
      <c r="B1003" t="str">
        <f>COUNTIF($E$2:E890,E890)&amp;E890</f>
        <v>0</v>
      </c>
    </row>
    <row r="1004" spans="1:2" x14ac:dyDescent="0.25">
      <c r="A1004" t="str">
        <f>COUNTIF($D$2:D891,D891)&amp;D891</f>
        <v>0</v>
      </c>
      <c r="B1004" t="str">
        <f>COUNTIF($E$2:E891,E891)&amp;E891</f>
        <v>0</v>
      </c>
    </row>
    <row r="1005" spans="1:2" x14ac:dyDescent="0.25">
      <c r="A1005" t="str">
        <f>COUNTIF($D$2:D892,D892)&amp;D892</f>
        <v>0</v>
      </c>
      <c r="B1005" t="str">
        <f>COUNTIF($E$2:E892,E892)&amp;E892</f>
        <v>0</v>
      </c>
    </row>
    <row r="1006" spans="1:2" x14ac:dyDescent="0.25">
      <c r="A1006" t="str">
        <f>COUNTIF($D$2:D893,D893)&amp;D893</f>
        <v>0</v>
      </c>
      <c r="B1006" t="str">
        <f>COUNTIF($E$2:E893,E893)&amp;E893</f>
        <v>0</v>
      </c>
    </row>
    <row r="1007" spans="1:2" x14ac:dyDescent="0.25">
      <c r="A1007" t="str">
        <f>COUNTIF($D$2:D894,D894)&amp;D894</f>
        <v>0</v>
      </c>
      <c r="B1007" t="str">
        <f>COUNTIF($E$2:E894,E894)&amp;E894</f>
        <v>0</v>
      </c>
    </row>
    <row r="1008" spans="1:2" x14ac:dyDescent="0.25">
      <c r="A1008" t="str">
        <f>COUNTIF($D$2:D895,D895)&amp;D895</f>
        <v>0</v>
      </c>
      <c r="B1008" t="str">
        <f>COUNTIF($E$2:E895,E895)&amp;E895</f>
        <v>0</v>
      </c>
    </row>
    <row r="1009" spans="1:2" x14ac:dyDescent="0.25">
      <c r="A1009" t="str">
        <f>COUNTIF($D$2:D896,D896)&amp;D896</f>
        <v>0</v>
      </c>
      <c r="B1009" t="str">
        <f>COUNTIF($E$2:E896,E896)&amp;E896</f>
        <v>0</v>
      </c>
    </row>
    <row r="1010" spans="1:2" x14ac:dyDescent="0.25">
      <c r="A1010" t="str">
        <f>COUNTIF($D$2:D897,D897)&amp;D897</f>
        <v>0</v>
      </c>
      <c r="B1010" t="str">
        <f>COUNTIF($E$2:E897,E897)&amp;E897</f>
        <v>0</v>
      </c>
    </row>
    <row r="1011" spans="1:2" x14ac:dyDescent="0.25">
      <c r="A1011" t="str">
        <f>COUNTIF($D$2:D898,D898)&amp;D898</f>
        <v>0</v>
      </c>
      <c r="B1011" t="str">
        <f>COUNTIF($E$2:E898,E898)&amp;E898</f>
        <v>0</v>
      </c>
    </row>
    <row r="1012" spans="1:2" x14ac:dyDescent="0.25">
      <c r="A1012" t="str">
        <f>COUNTIF($D$2:D899,D899)&amp;D899</f>
        <v>0</v>
      </c>
      <c r="B1012" t="str">
        <f>COUNTIF($E$2:E899,E899)&amp;E899</f>
        <v>0</v>
      </c>
    </row>
    <row r="1013" spans="1:2" x14ac:dyDescent="0.25">
      <c r="A1013" t="str">
        <f>COUNTIF($D$2:D900,D900)&amp;D900</f>
        <v>0</v>
      </c>
      <c r="B1013" t="str">
        <f>COUNTIF($E$2:E900,E900)&amp;E900</f>
        <v>0</v>
      </c>
    </row>
    <row r="1014" spans="1:2" x14ac:dyDescent="0.25">
      <c r="A1014" t="str">
        <f>COUNTIF($D$2:D901,D901)&amp;D901</f>
        <v>0</v>
      </c>
      <c r="B1014" t="str">
        <f>COUNTIF($E$2:E901,E901)&amp;E901</f>
        <v>0</v>
      </c>
    </row>
    <row r="1015" spans="1:2" x14ac:dyDescent="0.25">
      <c r="A1015" t="str">
        <f>COUNTIF($D$2:D902,D902)&amp;D902</f>
        <v>0</v>
      </c>
      <c r="B1015" t="str">
        <f>COUNTIF($E$2:E902,E902)&amp;E902</f>
        <v>0</v>
      </c>
    </row>
    <row r="1016" spans="1:2" x14ac:dyDescent="0.25">
      <c r="A1016" t="str">
        <f>COUNTIF($D$2:D903,D903)&amp;D903</f>
        <v>0</v>
      </c>
      <c r="B1016" t="str">
        <f>COUNTIF($E$2:E903,E903)&amp;E903</f>
        <v>0</v>
      </c>
    </row>
    <row r="1017" spans="1:2" x14ac:dyDescent="0.25">
      <c r="A1017" t="str">
        <f>COUNTIF($D$2:D904,D904)&amp;D904</f>
        <v>0</v>
      </c>
      <c r="B1017" t="str">
        <f>COUNTIF($E$2:E904,E904)&amp;E904</f>
        <v>0</v>
      </c>
    </row>
    <row r="1018" spans="1:2" x14ac:dyDescent="0.25">
      <c r="A1018" t="str">
        <f>COUNTIF($D$2:D905,D905)&amp;D905</f>
        <v>0</v>
      </c>
      <c r="B1018" t="str">
        <f>COUNTIF($E$2:E905,E905)&amp;E905</f>
        <v>0</v>
      </c>
    </row>
    <row r="1019" spans="1:2" x14ac:dyDescent="0.25">
      <c r="A1019" t="str">
        <f>COUNTIF($D$2:D906,D906)&amp;D906</f>
        <v>0</v>
      </c>
      <c r="B1019" t="str">
        <f>COUNTIF($E$2:E906,E906)&amp;E906</f>
        <v>0</v>
      </c>
    </row>
    <row r="1020" spans="1:2" x14ac:dyDescent="0.25">
      <c r="A1020" t="str">
        <f>COUNTIF($D$2:D907,D907)&amp;D907</f>
        <v>0</v>
      </c>
      <c r="B1020" t="str">
        <f>COUNTIF($E$2:E907,E907)&amp;E907</f>
        <v>0</v>
      </c>
    </row>
    <row r="1021" spans="1:2" x14ac:dyDescent="0.25">
      <c r="A1021" t="str">
        <f>COUNTIF($D$2:D908,D908)&amp;D908</f>
        <v>0</v>
      </c>
      <c r="B1021" t="str">
        <f>COUNTIF($E$2:E908,E908)&amp;E908</f>
        <v>0</v>
      </c>
    </row>
    <row r="1022" spans="1:2" x14ac:dyDescent="0.25">
      <c r="A1022" t="str">
        <f>COUNTIF($D$2:D909,D909)&amp;D909</f>
        <v>0</v>
      </c>
      <c r="B1022" t="str">
        <f>COUNTIF($E$2:E909,E909)&amp;E909</f>
        <v>0</v>
      </c>
    </row>
    <row r="1023" spans="1:2" x14ac:dyDescent="0.25">
      <c r="A1023" t="str">
        <f>COUNTIF($D$2:D910,D910)&amp;D910</f>
        <v>0</v>
      </c>
      <c r="B1023" t="str">
        <f>COUNTIF($E$2:E910,E910)&amp;E910</f>
        <v>0</v>
      </c>
    </row>
    <row r="1024" spans="1:2" x14ac:dyDescent="0.25">
      <c r="A1024" t="str">
        <f>COUNTIF($D$2:D911,D911)&amp;D911</f>
        <v>0</v>
      </c>
      <c r="B1024" t="str">
        <f>COUNTIF($E$2:E911,E911)&amp;E911</f>
        <v>0</v>
      </c>
    </row>
    <row r="1025" spans="1:2" x14ac:dyDescent="0.25">
      <c r="A1025" t="str">
        <f>COUNTIF($D$2:D912,D912)&amp;D912</f>
        <v>0</v>
      </c>
      <c r="B1025" t="str">
        <f>COUNTIF($E$2:E912,E912)&amp;E912</f>
        <v>0</v>
      </c>
    </row>
    <row r="1026" spans="1:2" x14ac:dyDescent="0.25">
      <c r="A1026" t="str">
        <f>COUNTIF($D$2:D913,D913)&amp;D913</f>
        <v>0</v>
      </c>
      <c r="B1026" t="str">
        <f>COUNTIF($E$2:E913,E913)&amp;E913</f>
        <v>0</v>
      </c>
    </row>
    <row r="1027" spans="1:2" x14ac:dyDescent="0.25">
      <c r="A1027" t="str">
        <f>COUNTIF($D$2:D914,D914)&amp;D914</f>
        <v>0</v>
      </c>
      <c r="B1027" t="str">
        <f>COUNTIF($E$2:E914,E914)&amp;E914</f>
        <v>0</v>
      </c>
    </row>
    <row r="1028" spans="1:2" x14ac:dyDescent="0.25">
      <c r="A1028" t="str">
        <f>COUNTIF($D$2:D915,D915)&amp;D915</f>
        <v>0</v>
      </c>
      <c r="B1028" t="str">
        <f>COUNTIF($E$2:E915,E915)&amp;E915</f>
        <v>0</v>
      </c>
    </row>
    <row r="1029" spans="1:2" x14ac:dyDescent="0.25">
      <c r="A1029" t="str">
        <f>COUNTIF($D$2:D916,D916)&amp;D916</f>
        <v>0</v>
      </c>
      <c r="B1029" t="str">
        <f>COUNTIF($E$2:E916,E916)&amp;E916</f>
        <v>0</v>
      </c>
    </row>
    <row r="1030" spans="1:2" x14ac:dyDescent="0.25">
      <c r="A1030" t="str">
        <f>COUNTIF($D$2:D917,D917)&amp;D917</f>
        <v>0</v>
      </c>
      <c r="B1030" t="str">
        <f>COUNTIF($E$2:E917,E917)&amp;E917</f>
        <v>0</v>
      </c>
    </row>
    <row r="1031" spans="1:2" x14ac:dyDescent="0.25">
      <c r="A1031" t="str">
        <f>COUNTIF($D$2:D918,D918)&amp;D918</f>
        <v>0</v>
      </c>
      <c r="B1031" t="str">
        <f>COUNTIF($E$2:E918,E918)&amp;E918</f>
        <v>0</v>
      </c>
    </row>
    <row r="1032" spans="1:2" x14ac:dyDescent="0.25">
      <c r="A1032" t="str">
        <f>COUNTIF($D$2:D919,D919)&amp;D919</f>
        <v>0</v>
      </c>
      <c r="B1032" t="str">
        <f>COUNTIF($E$2:E919,E919)&amp;E919</f>
        <v>0</v>
      </c>
    </row>
    <row r="1033" spans="1:2" x14ac:dyDescent="0.25">
      <c r="A1033" t="str">
        <f>COUNTIF($D$2:D920,D920)&amp;D920</f>
        <v>0</v>
      </c>
      <c r="B1033" t="str">
        <f>COUNTIF($E$2:E920,E920)&amp;E920</f>
        <v>0</v>
      </c>
    </row>
    <row r="1034" spans="1:2" x14ac:dyDescent="0.25">
      <c r="A1034" t="str">
        <f>COUNTIF($D$2:D921,D921)&amp;D921</f>
        <v>0</v>
      </c>
      <c r="B1034" t="str">
        <f>COUNTIF($E$2:E921,E921)&amp;E921</f>
        <v>0</v>
      </c>
    </row>
    <row r="1035" spans="1:2" x14ac:dyDescent="0.25">
      <c r="A1035" t="str">
        <f>COUNTIF($D$2:D922,D922)&amp;D922</f>
        <v>0</v>
      </c>
      <c r="B1035" t="str">
        <f>COUNTIF($E$2:E922,E922)&amp;E922</f>
        <v>0</v>
      </c>
    </row>
    <row r="1036" spans="1:2" x14ac:dyDescent="0.25">
      <c r="A1036" t="str">
        <f>COUNTIF($D$2:D923,D923)&amp;D923</f>
        <v>0</v>
      </c>
      <c r="B1036" t="str">
        <f>COUNTIF($E$2:E923,E923)&amp;E923</f>
        <v>0</v>
      </c>
    </row>
    <row r="1037" spans="1:2" x14ac:dyDescent="0.25">
      <c r="A1037" t="str">
        <f>COUNTIF($D$2:D924,D924)&amp;D924</f>
        <v>0</v>
      </c>
      <c r="B1037" t="str">
        <f>COUNTIF($E$2:E924,E924)&amp;E924</f>
        <v>0</v>
      </c>
    </row>
    <row r="1038" spans="1:2" x14ac:dyDescent="0.25">
      <c r="A1038" t="str">
        <f>COUNTIF($D$2:D925,D925)&amp;D925</f>
        <v>0</v>
      </c>
      <c r="B1038" t="str">
        <f>COUNTIF($E$2:E925,E925)&amp;E925</f>
        <v>0</v>
      </c>
    </row>
    <row r="1039" spans="1:2" x14ac:dyDescent="0.25">
      <c r="A1039" t="str">
        <f>COUNTIF($D$2:D926,D926)&amp;D926</f>
        <v>0</v>
      </c>
      <c r="B1039" t="str">
        <f>COUNTIF($E$2:E926,E926)&amp;E926</f>
        <v>0</v>
      </c>
    </row>
    <row r="1040" spans="1:2" x14ac:dyDescent="0.25">
      <c r="A1040" t="str">
        <f>COUNTIF($D$2:D927,D927)&amp;D927</f>
        <v>0</v>
      </c>
      <c r="B1040" t="str">
        <f>COUNTIF($E$2:E927,E927)&amp;E927</f>
        <v>0</v>
      </c>
    </row>
    <row r="1041" spans="1:2" x14ac:dyDescent="0.25">
      <c r="A1041" t="str">
        <f>COUNTIF($D$2:D928,D928)&amp;D928</f>
        <v>0</v>
      </c>
      <c r="B1041" t="str">
        <f>COUNTIF($E$2:E928,E928)&amp;E928</f>
        <v>0</v>
      </c>
    </row>
    <row r="1042" spans="1:2" x14ac:dyDescent="0.25">
      <c r="A1042" t="str">
        <f>COUNTIF($D$2:D929,D929)&amp;D929</f>
        <v>0</v>
      </c>
      <c r="B1042" t="str">
        <f>COUNTIF($E$2:E929,E929)&amp;E929</f>
        <v>0</v>
      </c>
    </row>
    <row r="1043" spans="1:2" x14ac:dyDescent="0.25">
      <c r="A1043" t="str">
        <f>COUNTIF($D$2:D930,D930)&amp;D930</f>
        <v>0</v>
      </c>
      <c r="B1043" t="str">
        <f>COUNTIF($E$2:E930,E930)&amp;E930</f>
        <v>0</v>
      </c>
    </row>
    <row r="1044" spans="1:2" x14ac:dyDescent="0.25">
      <c r="A1044" t="str">
        <f>COUNTIF($D$2:D931,D931)&amp;D931</f>
        <v>0</v>
      </c>
      <c r="B1044" t="str">
        <f>COUNTIF($E$2:E931,E931)&amp;E931</f>
        <v>0</v>
      </c>
    </row>
    <row r="1045" spans="1:2" x14ac:dyDescent="0.25">
      <c r="A1045" t="str">
        <f>COUNTIF($D$2:D932,D932)&amp;D932</f>
        <v>0</v>
      </c>
      <c r="B1045" t="str">
        <f>COUNTIF($E$2:E932,E932)&amp;E932</f>
        <v>0</v>
      </c>
    </row>
    <row r="1046" spans="1:2" x14ac:dyDescent="0.25">
      <c r="A1046" t="str">
        <f>COUNTIF($D$2:D933,D933)&amp;D933</f>
        <v>0</v>
      </c>
      <c r="B1046" t="str">
        <f>COUNTIF($E$2:E933,E933)&amp;E933</f>
        <v>0</v>
      </c>
    </row>
    <row r="1047" spans="1:2" x14ac:dyDescent="0.25">
      <c r="A1047" t="str">
        <f>COUNTIF($D$2:D934,D934)&amp;D934</f>
        <v>0</v>
      </c>
      <c r="B1047" t="str">
        <f>COUNTIF($E$2:E934,E934)&amp;E934</f>
        <v>0</v>
      </c>
    </row>
    <row r="1048" spans="1:2" x14ac:dyDescent="0.25">
      <c r="A1048" t="str">
        <f>COUNTIF($D$2:D935,D935)&amp;D935</f>
        <v>0</v>
      </c>
      <c r="B1048" t="str">
        <f>COUNTIF($E$2:E935,E935)&amp;E935</f>
        <v>0</v>
      </c>
    </row>
    <row r="1049" spans="1:2" x14ac:dyDescent="0.25">
      <c r="A1049" t="str">
        <f>COUNTIF($D$2:D936,D936)&amp;D936</f>
        <v>0</v>
      </c>
      <c r="B1049" t="str">
        <f>COUNTIF($E$2:E936,E936)&amp;E936</f>
        <v>0</v>
      </c>
    </row>
    <row r="1050" spans="1:2" x14ac:dyDescent="0.25">
      <c r="A1050" t="str">
        <f>COUNTIF($D$2:D937,D937)&amp;D937</f>
        <v>0</v>
      </c>
      <c r="B1050" t="str">
        <f>COUNTIF($E$2:E937,E937)&amp;E937</f>
        <v>0</v>
      </c>
    </row>
    <row r="1051" spans="1:2" x14ac:dyDescent="0.25">
      <c r="A1051" t="str">
        <f>COUNTIF($D$2:D938,D938)&amp;D938</f>
        <v>0</v>
      </c>
      <c r="B1051" t="str">
        <f>COUNTIF($E$2:E938,E938)&amp;E938</f>
        <v>0</v>
      </c>
    </row>
    <row r="1052" spans="1:2" x14ac:dyDescent="0.25">
      <c r="A1052" t="str">
        <f>COUNTIF($D$2:D939,D939)&amp;D939</f>
        <v>0</v>
      </c>
      <c r="B1052" t="str">
        <f>COUNTIF($E$2:E939,E939)&amp;E939</f>
        <v>0</v>
      </c>
    </row>
    <row r="1053" spans="1:2" x14ac:dyDescent="0.25">
      <c r="A1053" t="str">
        <f>COUNTIF($D$2:D940,D940)&amp;D940</f>
        <v>0</v>
      </c>
      <c r="B1053" t="str">
        <f>COUNTIF($E$2:E940,E940)&amp;E940</f>
        <v>0</v>
      </c>
    </row>
    <row r="1054" spans="1:2" x14ac:dyDescent="0.25">
      <c r="A1054" t="str">
        <f>COUNTIF($D$2:D941,D941)&amp;D941</f>
        <v>0</v>
      </c>
      <c r="B1054" t="str">
        <f>COUNTIF($E$2:E941,E941)&amp;E941</f>
        <v>0</v>
      </c>
    </row>
    <row r="1055" spans="1:2" x14ac:dyDescent="0.25">
      <c r="A1055" t="str">
        <f>COUNTIF($D$2:D942,D942)&amp;D942</f>
        <v>0</v>
      </c>
      <c r="B1055" t="str">
        <f>COUNTIF($E$2:E942,E942)&amp;E942</f>
        <v>0</v>
      </c>
    </row>
    <row r="1056" spans="1:2" x14ac:dyDescent="0.25">
      <c r="A1056" t="str">
        <f>COUNTIF($D$2:D943,D943)&amp;D943</f>
        <v>0</v>
      </c>
      <c r="B1056" t="str">
        <f>COUNTIF($E$2:E943,E943)&amp;E943</f>
        <v>0</v>
      </c>
    </row>
    <row r="1057" spans="1:2" x14ac:dyDescent="0.25">
      <c r="A1057" t="str">
        <f>COUNTIF($D$2:D944,D944)&amp;D944</f>
        <v>0</v>
      </c>
      <c r="B1057" t="str">
        <f>COUNTIF($E$2:E944,E944)&amp;E944</f>
        <v>0</v>
      </c>
    </row>
    <row r="1058" spans="1:2" x14ac:dyDescent="0.25">
      <c r="A1058" t="str">
        <f>COUNTIF($D$2:D945,D945)&amp;D945</f>
        <v>0</v>
      </c>
      <c r="B1058" t="str">
        <f>COUNTIF($E$2:E945,E945)&amp;E945</f>
        <v>0</v>
      </c>
    </row>
    <row r="1059" spans="1:2" x14ac:dyDescent="0.25">
      <c r="A1059" t="str">
        <f>COUNTIF($D$2:D946,D946)&amp;D946</f>
        <v>0</v>
      </c>
      <c r="B1059" t="str">
        <f>COUNTIF($E$2:E946,E946)&amp;E946</f>
        <v>0</v>
      </c>
    </row>
    <row r="1060" spans="1:2" x14ac:dyDescent="0.25">
      <c r="A1060" t="str">
        <f>COUNTIF($D$2:D947,D947)&amp;D947</f>
        <v>0</v>
      </c>
      <c r="B1060" t="str">
        <f>COUNTIF($E$2:E947,E947)&amp;E947</f>
        <v>0</v>
      </c>
    </row>
    <row r="1061" spans="1:2" x14ac:dyDescent="0.25">
      <c r="A1061" t="str">
        <f>COUNTIF($D$2:D948,D948)&amp;D948</f>
        <v>0</v>
      </c>
      <c r="B1061" t="str">
        <f>COUNTIF($E$2:E948,E948)&amp;E948</f>
        <v>0</v>
      </c>
    </row>
    <row r="1062" spans="1:2" x14ac:dyDescent="0.25">
      <c r="A1062" t="str">
        <f>COUNTIF($D$2:D949,D949)&amp;D949</f>
        <v>0</v>
      </c>
      <c r="B1062" t="str">
        <f>COUNTIF($E$2:E949,E949)&amp;E949</f>
        <v>0</v>
      </c>
    </row>
    <row r="1063" spans="1:2" x14ac:dyDescent="0.25">
      <c r="A1063" t="str">
        <f>COUNTIF($D$2:D950,D950)&amp;D950</f>
        <v>0</v>
      </c>
      <c r="B1063" t="str">
        <f>COUNTIF($E$2:E950,E950)&amp;E950</f>
        <v>0</v>
      </c>
    </row>
    <row r="1064" spans="1:2" x14ac:dyDescent="0.25">
      <c r="A1064" t="str">
        <f>COUNTIF($D$2:D951,D951)&amp;D951</f>
        <v>0</v>
      </c>
      <c r="B1064" t="str">
        <f>COUNTIF($E$2:E951,E951)&amp;E951</f>
        <v>0</v>
      </c>
    </row>
    <row r="1065" spans="1:2" x14ac:dyDescent="0.25">
      <c r="A1065" t="str">
        <f>COUNTIF($D$2:D952,D952)&amp;D952</f>
        <v>0</v>
      </c>
      <c r="B1065" t="str">
        <f>COUNTIF($E$2:E952,E952)&amp;E952</f>
        <v>0</v>
      </c>
    </row>
    <row r="1066" spans="1:2" x14ac:dyDescent="0.25">
      <c r="A1066" t="str">
        <f>COUNTIF($D$2:D953,D953)&amp;D953</f>
        <v>0</v>
      </c>
      <c r="B1066" t="str">
        <f>COUNTIF($E$2:E953,E953)&amp;E953</f>
        <v>0</v>
      </c>
    </row>
    <row r="1067" spans="1:2" x14ac:dyDescent="0.25">
      <c r="A1067" t="str">
        <f>COUNTIF($D$2:D954,D954)&amp;D954</f>
        <v>0</v>
      </c>
      <c r="B1067" t="str">
        <f>COUNTIF($E$2:E954,E954)&amp;E954</f>
        <v>0</v>
      </c>
    </row>
    <row r="1068" spans="1:2" x14ac:dyDescent="0.25">
      <c r="A1068" t="str">
        <f>COUNTIF($D$2:D955,D955)&amp;D955</f>
        <v>0</v>
      </c>
      <c r="B1068" t="str">
        <f>COUNTIF($E$2:E955,E955)&amp;E955</f>
        <v>0</v>
      </c>
    </row>
    <row r="1069" spans="1:2" x14ac:dyDescent="0.25">
      <c r="A1069" t="str">
        <f>COUNTIF($D$2:D956,D956)&amp;D956</f>
        <v>0</v>
      </c>
      <c r="B1069" t="str">
        <f>COUNTIF($E$2:E956,E956)&amp;E956</f>
        <v>0</v>
      </c>
    </row>
    <row r="1070" spans="1:2" x14ac:dyDescent="0.25">
      <c r="A1070" t="str">
        <f>COUNTIF($D$2:D957,D957)&amp;D957</f>
        <v>0</v>
      </c>
      <c r="B1070" t="str">
        <f>COUNTIF($E$2:E957,E957)&amp;E957</f>
        <v>0</v>
      </c>
    </row>
    <row r="1071" spans="1:2" x14ac:dyDescent="0.25">
      <c r="A1071" t="str">
        <f>COUNTIF($D$2:D958,D958)&amp;D958</f>
        <v>0</v>
      </c>
      <c r="B1071" t="str">
        <f>COUNTIF($E$2:E958,E958)&amp;E958</f>
        <v>0</v>
      </c>
    </row>
    <row r="1072" spans="1:2" x14ac:dyDescent="0.25">
      <c r="A1072" t="str">
        <f>COUNTIF($D$2:D959,D959)&amp;D959</f>
        <v>0</v>
      </c>
      <c r="B1072" t="str">
        <f>COUNTIF($E$2:E959,E959)&amp;E959</f>
        <v>0</v>
      </c>
    </row>
    <row r="1073" spans="1:2" x14ac:dyDescent="0.25">
      <c r="A1073" t="str">
        <f>COUNTIF($D$2:D960,D960)&amp;D960</f>
        <v>0</v>
      </c>
      <c r="B1073" t="str">
        <f>COUNTIF($E$2:E960,E960)&amp;E960</f>
        <v>0</v>
      </c>
    </row>
    <row r="1074" spans="1:2" x14ac:dyDescent="0.25">
      <c r="A1074" t="str">
        <f>COUNTIF($D$2:D961,D961)&amp;D961</f>
        <v>0</v>
      </c>
      <c r="B1074" t="str">
        <f>COUNTIF($E$2:E961,E961)&amp;E961</f>
        <v>0</v>
      </c>
    </row>
    <row r="1075" spans="1:2" x14ac:dyDescent="0.25">
      <c r="A1075" t="str">
        <f>COUNTIF($D$2:D962,D962)&amp;D962</f>
        <v>0</v>
      </c>
      <c r="B1075" t="str">
        <f>COUNTIF($E$2:E962,E962)&amp;E962</f>
        <v>0</v>
      </c>
    </row>
    <row r="1076" spans="1:2" x14ac:dyDescent="0.25">
      <c r="A1076" t="str">
        <f>COUNTIF($D$2:D963,D963)&amp;D963</f>
        <v>0</v>
      </c>
      <c r="B1076" t="str">
        <f>COUNTIF($E$2:E963,E963)&amp;E963</f>
        <v>0</v>
      </c>
    </row>
    <row r="1077" spans="1:2" x14ac:dyDescent="0.25">
      <c r="A1077" t="str">
        <f>COUNTIF($D$2:D964,D964)&amp;D964</f>
        <v>0</v>
      </c>
      <c r="B1077" t="str">
        <f>COUNTIF($E$2:E964,E964)&amp;E964</f>
        <v>0</v>
      </c>
    </row>
    <row r="1078" spans="1:2" x14ac:dyDescent="0.25">
      <c r="A1078" t="str">
        <f>COUNTIF($D$2:D965,D965)&amp;D965</f>
        <v>0</v>
      </c>
      <c r="B1078" t="str">
        <f>COUNTIF($E$2:E965,E965)&amp;E965</f>
        <v>0</v>
      </c>
    </row>
    <row r="1079" spans="1:2" x14ac:dyDescent="0.25">
      <c r="A1079" t="str">
        <f>COUNTIF($D$2:D966,D966)&amp;D966</f>
        <v>0</v>
      </c>
      <c r="B1079" t="str">
        <f>COUNTIF($E$2:E966,E966)&amp;E966</f>
        <v>0</v>
      </c>
    </row>
    <row r="1080" spans="1:2" x14ac:dyDescent="0.25">
      <c r="A1080" t="str">
        <f>COUNTIF($D$2:D967,D967)&amp;D967</f>
        <v>0</v>
      </c>
      <c r="B1080" t="str">
        <f>COUNTIF($E$2:E967,E967)&amp;E967</f>
        <v>0</v>
      </c>
    </row>
    <row r="1081" spans="1:2" x14ac:dyDescent="0.25">
      <c r="A1081" t="str">
        <f>COUNTIF($D$2:D968,D968)&amp;D968</f>
        <v>0</v>
      </c>
      <c r="B1081" t="str">
        <f>COUNTIF($E$2:E968,E968)&amp;E968</f>
        <v>0</v>
      </c>
    </row>
    <row r="1082" spans="1:2" x14ac:dyDescent="0.25">
      <c r="A1082" t="str">
        <f>COUNTIF($D$2:D969,D969)&amp;D969</f>
        <v>0</v>
      </c>
      <c r="B1082" t="str">
        <f>COUNTIF($E$2:E969,E969)&amp;E969</f>
        <v>0</v>
      </c>
    </row>
    <row r="1083" spans="1:2" x14ac:dyDescent="0.25">
      <c r="A1083" t="str">
        <f>COUNTIF($D$2:D970,D970)&amp;D970</f>
        <v>0</v>
      </c>
      <c r="B1083" t="str">
        <f>COUNTIF($E$2:E970,E970)&amp;E970</f>
        <v>0</v>
      </c>
    </row>
    <row r="1084" spans="1:2" x14ac:dyDescent="0.25">
      <c r="A1084" t="str">
        <f>COUNTIF($D$2:D971,D971)&amp;D971</f>
        <v>0</v>
      </c>
      <c r="B1084" t="str">
        <f>COUNTIF($E$2:E971,E971)&amp;E971</f>
        <v>0</v>
      </c>
    </row>
    <row r="1085" spans="1:2" x14ac:dyDescent="0.25">
      <c r="A1085" t="str">
        <f>COUNTIF($D$2:D972,D972)&amp;D972</f>
        <v>0</v>
      </c>
      <c r="B1085" t="str">
        <f>COUNTIF($E$2:E972,E972)&amp;E972</f>
        <v>0</v>
      </c>
    </row>
    <row r="1086" spans="1:2" x14ac:dyDescent="0.25">
      <c r="A1086" t="str">
        <f>COUNTIF($D$2:D973,D973)&amp;D973</f>
        <v>0</v>
      </c>
      <c r="B1086" t="str">
        <f>COUNTIF($E$2:E973,E973)&amp;E973</f>
        <v>0</v>
      </c>
    </row>
    <row r="1087" spans="1:2" x14ac:dyDescent="0.25">
      <c r="A1087" t="str">
        <f>COUNTIF($D$2:D974,D974)&amp;D974</f>
        <v>0</v>
      </c>
      <c r="B1087" t="str">
        <f>COUNTIF($E$2:E974,E974)&amp;E974</f>
        <v>0</v>
      </c>
    </row>
    <row r="1088" spans="1:2" x14ac:dyDescent="0.25">
      <c r="A1088" t="str">
        <f>COUNTIF($D$2:D975,D975)&amp;D975</f>
        <v>0</v>
      </c>
      <c r="B1088" t="str">
        <f>COUNTIF($E$2:E975,E975)&amp;E975</f>
        <v>0</v>
      </c>
    </row>
    <row r="1089" spans="1:2" x14ac:dyDescent="0.25">
      <c r="A1089" t="str">
        <f>COUNTIF($D$2:D976,D976)&amp;D976</f>
        <v>0</v>
      </c>
      <c r="B1089" t="str">
        <f>COUNTIF($E$2:E976,E976)&amp;E976</f>
        <v>0</v>
      </c>
    </row>
    <row r="1090" spans="1:2" x14ac:dyDescent="0.25">
      <c r="A1090" t="str">
        <f>COUNTIF($D$2:D977,D977)&amp;D977</f>
        <v>0</v>
      </c>
      <c r="B1090" t="str">
        <f>COUNTIF($E$2:E977,E977)&amp;E977</f>
        <v>0</v>
      </c>
    </row>
    <row r="1091" spans="1:2" x14ac:dyDescent="0.25">
      <c r="A1091" t="str">
        <f>COUNTIF($D$2:D978,D978)&amp;D978</f>
        <v>0</v>
      </c>
      <c r="B1091" t="str">
        <f>COUNTIF($E$2:E978,E978)&amp;E978</f>
        <v>0</v>
      </c>
    </row>
    <row r="1092" spans="1:2" x14ac:dyDescent="0.25">
      <c r="A1092" t="str">
        <f>COUNTIF($D$2:D979,D979)&amp;D979</f>
        <v>0</v>
      </c>
      <c r="B1092" t="str">
        <f>COUNTIF($E$2:E979,E979)&amp;E979</f>
        <v>0</v>
      </c>
    </row>
    <row r="1093" spans="1:2" x14ac:dyDescent="0.25">
      <c r="A1093" t="str">
        <f>COUNTIF($D$2:D980,D980)&amp;D980</f>
        <v>0</v>
      </c>
      <c r="B1093" t="str">
        <f>COUNTIF($E$2:E980,E980)&amp;E980</f>
        <v>0</v>
      </c>
    </row>
    <row r="1094" spans="1:2" x14ac:dyDescent="0.25">
      <c r="A1094" t="str">
        <f>COUNTIF($D$2:D981,D981)&amp;D981</f>
        <v>0</v>
      </c>
      <c r="B1094" t="str">
        <f>COUNTIF($E$2:E981,E981)&amp;E981</f>
        <v>0</v>
      </c>
    </row>
    <row r="1095" spans="1:2" x14ac:dyDescent="0.25">
      <c r="A1095" t="str">
        <f>COUNTIF($D$2:D982,D982)&amp;D982</f>
        <v>0</v>
      </c>
      <c r="B1095" t="str">
        <f>COUNTIF($E$2:E982,E982)&amp;E982</f>
        <v>0</v>
      </c>
    </row>
    <row r="1096" spans="1:2" x14ac:dyDescent="0.25">
      <c r="A1096" t="str">
        <f>COUNTIF($D$2:D983,D983)&amp;D983</f>
        <v>0</v>
      </c>
      <c r="B1096" t="str">
        <f>COUNTIF($E$2:E983,E983)&amp;E983</f>
        <v>0</v>
      </c>
    </row>
    <row r="1097" spans="1:2" x14ac:dyDescent="0.25">
      <c r="A1097" t="str">
        <f>COUNTIF($D$2:D984,D984)&amp;D984</f>
        <v>0</v>
      </c>
      <c r="B1097" t="str">
        <f>COUNTIF($E$2:E984,E984)&amp;E984</f>
        <v>0</v>
      </c>
    </row>
    <row r="1098" spans="1:2" x14ac:dyDescent="0.25">
      <c r="A1098" t="str">
        <f>COUNTIF($D$2:D985,D985)&amp;D985</f>
        <v>0</v>
      </c>
      <c r="B1098" t="str">
        <f>COUNTIF($E$2:E985,E985)&amp;E985</f>
        <v>0</v>
      </c>
    </row>
    <row r="1099" spans="1:2" x14ac:dyDescent="0.25">
      <c r="A1099" t="str">
        <f>COUNTIF($D$2:D986,D986)&amp;D986</f>
        <v>0</v>
      </c>
      <c r="B1099" t="str">
        <f>COUNTIF($E$2:E986,E986)&amp;E986</f>
        <v>0</v>
      </c>
    </row>
    <row r="1100" spans="1:2" x14ac:dyDescent="0.25">
      <c r="A1100" t="str">
        <f>COUNTIF($D$2:D987,D987)&amp;D987</f>
        <v>0</v>
      </c>
      <c r="B1100" t="str">
        <f>COUNTIF($E$2:E987,E987)&amp;E987</f>
        <v>0</v>
      </c>
    </row>
    <row r="1101" spans="1:2" x14ac:dyDescent="0.25">
      <c r="A1101" t="str">
        <f>COUNTIF($D$2:D988,D988)&amp;D988</f>
        <v>0</v>
      </c>
      <c r="B1101" t="str">
        <f>COUNTIF($E$2:E988,E988)&amp;E988</f>
        <v>0</v>
      </c>
    </row>
    <row r="1102" spans="1:2" x14ac:dyDescent="0.25">
      <c r="A1102" t="str">
        <f>COUNTIF($D$2:D989,D989)&amp;D989</f>
        <v>0</v>
      </c>
      <c r="B1102" t="str">
        <f>COUNTIF($E$2:E989,E989)&amp;E989</f>
        <v>0</v>
      </c>
    </row>
    <row r="1103" spans="1:2" x14ac:dyDescent="0.25">
      <c r="A1103" t="str">
        <f>COUNTIF($D$2:D990,D990)&amp;D990</f>
        <v>0</v>
      </c>
      <c r="B1103" t="str">
        <f>COUNTIF($E$2:E990,E990)&amp;E990</f>
        <v>0</v>
      </c>
    </row>
    <row r="1104" spans="1:2" x14ac:dyDescent="0.25">
      <c r="A1104" t="str">
        <f>COUNTIF($D$2:D991,D991)&amp;D991</f>
        <v>0</v>
      </c>
      <c r="B1104" t="str">
        <f>COUNTIF($E$2:E991,E991)&amp;E991</f>
        <v>0</v>
      </c>
    </row>
    <row r="1105" spans="1:2" x14ac:dyDescent="0.25">
      <c r="A1105" t="str">
        <f>COUNTIF($D$2:D992,D992)&amp;D992</f>
        <v>0</v>
      </c>
      <c r="B1105" t="str">
        <f>COUNTIF($E$2:E992,E992)&amp;E992</f>
        <v>0</v>
      </c>
    </row>
    <row r="1106" spans="1:2" x14ac:dyDescent="0.25">
      <c r="A1106" t="str">
        <f>COUNTIF($D$2:D993,D993)&amp;D993</f>
        <v>0</v>
      </c>
      <c r="B1106" t="str">
        <f>COUNTIF($E$2:E993,E993)&amp;E993</f>
        <v>0</v>
      </c>
    </row>
    <row r="1107" spans="1:2" x14ac:dyDescent="0.25">
      <c r="A1107" t="str">
        <f>COUNTIF($D$2:D994,D994)&amp;D994</f>
        <v>0</v>
      </c>
      <c r="B1107" t="str">
        <f>COUNTIF($E$2:E994,E994)&amp;E994</f>
        <v>0</v>
      </c>
    </row>
    <row r="1108" spans="1:2" x14ac:dyDescent="0.25">
      <c r="A1108" t="str">
        <f>COUNTIF($D$2:D995,D995)&amp;D995</f>
        <v>0</v>
      </c>
      <c r="B1108" t="str">
        <f>COUNTIF($E$2:E995,E995)&amp;E995</f>
        <v>0</v>
      </c>
    </row>
    <row r="1109" spans="1:2" x14ac:dyDescent="0.25">
      <c r="A1109" t="str">
        <f>COUNTIF($D$2:D996,D996)&amp;D996</f>
        <v>0</v>
      </c>
      <c r="B1109" t="str">
        <f>COUNTIF($E$2:E996,E996)&amp;E996</f>
        <v>0</v>
      </c>
    </row>
    <row r="1110" spans="1:2" x14ac:dyDescent="0.25">
      <c r="A1110" t="str">
        <f>COUNTIF($D$2:D997,D997)&amp;D997</f>
        <v>0</v>
      </c>
      <c r="B1110" t="str">
        <f>COUNTIF($E$2:E997,E997)&amp;E997</f>
        <v>0</v>
      </c>
    </row>
    <row r="1111" spans="1:2" x14ac:dyDescent="0.25">
      <c r="A1111" t="str">
        <f>COUNTIF($D$2:D998,D998)&amp;D998</f>
        <v>0</v>
      </c>
      <c r="B1111" t="str">
        <f>COUNTIF($E$2:E998,E998)&amp;E998</f>
        <v>0</v>
      </c>
    </row>
    <row r="1112" spans="1:2" x14ac:dyDescent="0.25">
      <c r="A1112" t="str">
        <f>COUNTIF($D$2:D999,D999)&amp;D999</f>
        <v>0</v>
      </c>
      <c r="B1112" t="str">
        <f>COUNTIF($E$2:E999,E999)&amp;E999</f>
        <v>0</v>
      </c>
    </row>
    <row r="1113" spans="1:2" x14ac:dyDescent="0.25">
      <c r="A1113" t="str">
        <f>COUNTIF($D$2:D1000,D1000)&amp;D1000</f>
        <v>0</v>
      </c>
      <c r="B1113" t="str">
        <f>COUNTIF($E$2:E1000,E1000)&amp;E1000</f>
        <v>0</v>
      </c>
    </row>
    <row r="1114" spans="1:2" x14ac:dyDescent="0.25">
      <c r="A1114" t="str">
        <f>COUNTIF($D$2:D1001,D1001)&amp;D1001</f>
        <v>0</v>
      </c>
      <c r="B1114" t="str">
        <f>COUNTIF($E$2:E1001,E1001)&amp;E1001</f>
        <v>0</v>
      </c>
    </row>
    <row r="1115" spans="1:2" x14ac:dyDescent="0.25">
      <c r="A1115" t="str">
        <f>COUNTIF($D$2:D1002,D1002)&amp;D1002</f>
        <v>0</v>
      </c>
      <c r="B1115" t="str">
        <f>COUNTIF($E$2:E1002,E1002)&amp;E1002</f>
        <v>0</v>
      </c>
    </row>
    <row r="1116" spans="1:2" x14ac:dyDescent="0.25">
      <c r="A1116" t="str">
        <f>COUNTIF($D$2:D1003,D1003)&amp;D1003</f>
        <v>0</v>
      </c>
      <c r="B1116" t="str">
        <f>COUNTIF($E$2:E1003,E1003)&amp;E1003</f>
        <v>0</v>
      </c>
    </row>
    <row r="1117" spans="1:2" x14ac:dyDescent="0.25">
      <c r="A1117" t="str">
        <f>COUNTIF($D$2:D1004,D1004)&amp;D1004</f>
        <v>0</v>
      </c>
      <c r="B1117" t="str">
        <f>COUNTIF($E$2:E1004,E1004)&amp;E1004</f>
        <v>0</v>
      </c>
    </row>
    <row r="1118" spans="1:2" x14ac:dyDescent="0.25">
      <c r="A1118" t="str">
        <f>COUNTIF($D$2:D1005,D1005)&amp;D1005</f>
        <v>0</v>
      </c>
      <c r="B1118" t="str">
        <f>COUNTIF($E$2:E1005,E1005)&amp;E1005</f>
        <v>0</v>
      </c>
    </row>
    <row r="1119" spans="1:2" x14ac:dyDescent="0.25">
      <c r="A1119" t="str">
        <f>COUNTIF($D$2:D1006,D1006)&amp;D1006</f>
        <v>0</v>
      </c>
      <c r="B1119" t="str">
        <f>COUNTIF($E$2:E1006,E1006)&amp;E1006</f>
        <v>0</v>
      </c>
    </row>
    <row r="1120" spans="1:2" x14ac:dyDescent="0.25">
      <c r="A1120" t="str">
        <f>COUNTIF($D$2:D1007,D1007)&amp;D1007</f>
        <v>0</v>
      </c>
      <c r="B1120" t="str">
        <f>COUNTIF($E$2:E1007,E1007)&amp;E1007</f>
        <v>0</v>
      </c>
    </row>
    <row r="1121" spans="1:2" x14ac:dyDescent="0.25">
      <c r="A1121" t="str">
        <f>COUNTIF($D$2:D1008,D1008)&amp;D1008</f>
        <v>0</v>
      </c>
      <c r="B1121" t="str">
        <f>COUNTIF($E$2:E1008,E1008)&amp;E1008</f>
        <v>0</v>
      </c>
    </row>
    <row r="1122" spans="1:2" x14ac:dyDescent="0.25">
      <c r="A1122" t="str">
        <f>COUNTIF($D$2:D1009,D1009)&amp;D1009</f>
        <v>0</v>
      </c>
      <c r="B1122" t="str">
        <f>COUNTIF($E$2:E1009,E1009)&amp;E1009</f>
        <v>0</v>
      </c>
    </row>
    <row r="1123" spans="1:2" x14ac:dyDescent="0.25">
      <c r="A1123" t="str">
        <f>COUNTIF($D$2:D1010,D1010)&amp;D1010</f>
        <v>0</v>
      </c>
      <c r="B1123" t="str">
        <f>COUNTIF($E$2:E1010,E1010)&amp;E1010</f>
        <v>0</v>
      </c>
    </row>
    <row r="1124" spans="1:2" x14ac:dyDescent="0.25">
      <c r="A1124" t="str">
        <f>COUNTIF($D$2:D1011,D1011)&amp;D1011</f>
        <v>0</v>
      </c>
      <c r="B1124" t="str">
        <f>COUNTIF($E$2:E1011,E1011)&amp;E1011</f>
        <v>0</v>
      </c>
    </row>
    <row r="1125" spans="1:2" x14ac:dyDescent="0.25">
      <c r="A1125" t="str">
        <f>COUNTIF($D$2:D1012,D1012)&amp;D1012</f>
        <v>0</v>
      </c>
      <c r="B1125" t="str">
        <f>COUNTIF($E$2:E1012,E1012)&amp;E1012</f>
        <v>0</v>
      </c>
    </row>
    <row r="1126" spans="1:2" x14ac:dyDescent="0.25">
      <c r="A1126" t="str">
        <f>COUNTIF($D$2:D1013,D1013)&amp;D1013</f>
        <v>0</v>
      </c>
      <c r="B1126" t="str">
        <f>COUNTIF($E$2:E1013,E1013)&amp;E1013</f>
        <v>0</v>
      </c>
    </row>
    <row r="1127" spans="1:2" x14ac:dyDescent="0.25">
      <c r="A1127" t="str">
        <f>COUNTIF($D$2:D1014,D1014)&amp;D1014</f>
        <v>0</v>
      </c>
      <c r="B1127" t="str">
        <f>COUNTIF($E$2:E1014,E1014)&amp;E1014</f>
        <v>0</v>
      </c>
    </row>
    <row r="1128" spans="1:2" x14ac:dyDescent="0.25">
      <c r="A1128" t="str">
        <f>COUNTIF($D$2:D1015,D1015)&amp;D1015</f>
        <v>0</v>
      </c>
      <c r="B1128" t="str">
        <f>COUNTIF($E$2:E1015,E1015)&amp;E1015</f>
        <v>0</v>
      </c>
    </row>
    <row r="1129" spans="1:2" x14ac:dyDescent="0.25">
      <c r="A1129" t="str">
        <f>COUNTIF($D$2:D1016,D1016)&amp;D1016</f>
        <v>0</v>
      </c>
      <c r="B1129" t="str">
        <f>COUNTIF($E$2:E1016,E1016)&amp;E1016</f>
        <v>0</v>
      </c>
    </row>
    <row r="1130" spans="1:2" x14ac:dyDescent="0.25">
      <c r="A1130" t="str">
        <f>COUNTIF($D$2:D1017,D1017)&amp;D1017</f>
        <v>0</v>
      </c>
      <c r="B1130" t="str">
        <f>COUNTIF($E$2:E1017,E1017)&amp;E1017</f>
        <v>0</v>
      </c>
    </row>
    <row r="1131" spans="1:2" x14ac:dyDescent="0.25">
      <c r="A1131" t="str">
        <f>COUNTIF($D$2:D1018,D1018)&amp;D1018</f>
        <v>0</v>
      </c>
      <c r="B1131" t="str">
        <f>COUNTIF($E$2:E1018,E1018)&amp;E1018</f>
        <v>0</v>
      </c>
    </row>
    <row r="1132" spans="1:2" x14ac:dyDescent="0.25">
      <c r="A1132" t="str">
        <f>COUNTIF($D$2:D1019,D1019)&amp;D1019</f>
        <v>0</v>
      </c>
      <c r="B1132" t="str">
        <f>COUNTIF($E$2:E1019,E1019)&amp;E1019</f>
        <v>0</v>
      </c>
    </row>
    <row r="1133" spans="1:2" x14ac:dyDescent="0.25">
      <c r="A1133" t="str">
        <f>COUNTIF($D$2:D1020,D1020)&amp;D1020</f>
        <v>0</v>
      </c>
      <c r="B1133" t="str">
        <f>COUNTIF($E$2:E1020,E1020)&amp;E1020</f>
        <v>0</v>
      </c>
    </row>
    <row r="1134" spans="1:2" x14ac:dyDescent="0.25">
      <c r="A1134" t="str">
        <f>COUNTIF($D$2:D1021,D1021)&amp;D1021</f>
        <v>0</v>
      </c>
      <c r="B1134" t="str">
        <f>COUNTIF($E$2:E1021,E1021)&amp;E1021</f>
        <v>0</v>
      </c>
    </row>
    <row r="1135" spans="1:2" x14ac:dyDescent="0.25">
      <c r="A1135" t="str">
        <f>COUNTIF($D$2:D1022,D1022)&amp;D1022</f>
        <v>0</v>
      </c>
      <c r="B1135" t="str">
        <f>COUNTIF($E$2:E1022,E1022)&amp;E1022</f>
        <v>0</v>
      </c>
    </row>
    <row r="1136" spans="1:2" x14ac:dyDescent="0.25">
      <c r="A1136" t="str">
        <f>COUNTIF($D$2:D1023,D1023)&amp;D1023</f>
        <v>0</v>
      </c>
      <c r="B1136" t="str">
        <f>COUNTIF($E$2:E1023,E1023)&amp;E1023</f>
        <v>0</v>
      </c>
    </row>
    <row r="1137" spans="1:2" x14ac:dyDescent="0.25">
      <c r="A1137" t="str">
        <f>COUNTIF($D$2:D1024,D1024)&amp;D1024</f>
        <v>0</v>
      </c>
      <c r="B1137" t="str">
        <f>COUNTIF($E$2:E1024,E1024)&amp;E1024</f>
        <v>0</v>
      </c>
    </row>
    <row r="1138" spans="1:2" x14ac:dyDescent="0.25">
      <c r="A1138" t="str">
        <f>COUNTIF($D$2:D1025,D1025)&amp;D1025</f>
        <v>0</v>
      </c>
      <c r="B1138" t="str">
        <f>COUNTIF($E$2:E1025,E1025)&amp;E1025</f>
        <v>0</v>
      </c>
    </row>
    <row r="1139" spans="1:2" x14ac:dyDescent="0.25">
      <c r="A1139" t="str">
        <f>COUNTIF($D$2:D1026,D1026)&amp;D1026</f>
        <v>0</v>
      </c>
      <c r="B1139" t="str">
        <f>COUNTIF($E$2:E1026,E1026)&amp;E1026</f>
        <v>0</v>
      </c>
    </row>
    <row r="1140" spans="1:2" x14ac:dyDescent="0.25">
      <c r="A1140" t="str">
        <f>COUNTIF($D$2:D1027,D1027)&amp;D1027</f>
        <v>0</v>
      </c>
      <c r="B1140" t="str">
        <f>COUNTIF($E$2:E1027,E1027)&amp;E1027</f>
        <v>0</v>
      </c>
    </row>
    <row r="1141" spans="1:2" x14ac:dyDescent="0.25">
      <c r="A1141" t="str">
        <f>COUNTIF($D$2:D1028,D1028)&amp;D1028</f>
        <v>0</v>
      </c>
      <c r="B1141" t="str">
        <f>COUNTIF($E$2:E1028,E1028)&amp;E1028</f>
        <v>0</v>
      </c>
    </row>
    <row r="1142" spans="1:2" x14ac:dyDescent="0.25">
      <c r="A1142" t="str">
        <f>COUNTIF($D$2:D1029,D1029)&amp;D1029</f>
        <v>0</v>
      </c>
      <c r="B1142" t="str">
        <f>COUNTIF($E$2:E1029,E1029)&amp;E1029</f>
        <v>0</v>
      </c>
    </row>
    <row r="1143" spans="1:2" x14ac:dyDescent="0.25">
      <c r="A1143" t="str">
        <f>COUNTIF($D$2:D1030,D1030)&amp;D1030</f>
        <v>0</v>
      </c>
      <c r="B1143" t="str">
        <f>COUNTIF($E$2:E1030,E1030)&amp;E1030</f>
        <v>0</v>
      </c>
    </row>
    <row r="1144" spans="1:2" x14ac:dyDescent="0.25">
      <c r="A1144" t="str">
        <f>COUNTIF($D$2:D1031,D1031)&amp;D1031</f>
        <v>0</v>
      </c>
      <c r="B1144" t="str">
        <f>COUNTIF($E$2:E1031,E1031)&amp;E1031</f>
        <v>0</v>
      </c>
    </row>
    <row r="1145" spans="1:2" x14ac:dyDescent="0.25">
      <c r="A1145" t="str">
        <f>COUNTIF($D$2:D1032,D1032)&amp;D1032</f>
        <v>0</v>
      </c>
      <c r="B1145" t="str">
        <f>COUNTIF($E$2:E1032,E1032)&amp;E1032</f>
        <v>0</v>
      </c>
    </row>
    <row r="1146" spans="1:2" x14ac:dyDescent="0.25">
      <c r="A1146" t="str">
        <f>COUNTIF($D$2:D1033,D1033)&amp;D1033</f>
        <v>0</v>
      </c>
      <c r="B1146" t="str">
        <f>COUNTIF($E$2:E1033,E1033)&amp;E1033</f>
        <v>0</v>
      </c>
    </row>
    <row r="1147" spans="1:2" x14ac:dyDescent="0.25">
      <c r="A1147" t="str">
        <f>COUNTIF($D$2:D1034,D1034)&amp;D1034</f>
        <v>0</v>
      </c>
      <c r="B1147" t="str">
        <f>COUNTIF($E$2:E1034,E1034)&amp;E1034</f>
        <v>0</v>
      </c>
    </row>
    <row r="1148" spans="1:2" x14ac:dyDescent="0.25">
      <c r="A1148" t="str">
        <f>COUNTIF($D$2:D1035,D1035)&amp;D1035</f>
        <v>0</v>
      </c>
      <c r="B1148" t="str">
        <f>COUNTIF($E$2:E1035,E1035)&amp;E1035</f>
        <v>0</v>
      </c>
    </row>
    <row r="1149" spans="1:2" x14ac:dyDescent="0.25">
      <c r="A1149" t="str">
        <f>COUNTIF($D$2:D1036,D1036)&amp;D1036</f>
        <v>0</v>
      </c>
      <c r="B1149" t="str">
        <f>COUNTIF($E$2:E1036,E1036)&amp;E1036</f>
        <v>0</v>
      </c>
    </row>
    <row r="1150" spans="1:2" x14ac:dyDescent="0.25">
      <c r="A1150" t="str">
        <f>COUNTIF($D$2:D1037,D1037)&amp;D1037</f>
        <v>0</v>
      </c>
      <c r="B1150" t="str">
        <f>COUNTIF($E$2:E1037,E1037)&amp;E1037</f>
        <v>0</v>
      </c>
    </row>
    <row r="1151" spans="1:2" x14ac:dyDescent="0.25">
      <c r="A1151" t="str">
        <f>COUNTIF($D$2:D1038,D1038)&amp;D1038</f>
        <v>0</v>
      </c>
      <c r="B1151" t="str">
        <f>COUNTIF($E$2:E1038,E1038)&amp;E1038</f>
        <v>0</v>
      </c>
    </row>
    <row r="1152" spans="1:2" x14ac:dyDescent="0.25">
      <c r="A1152" t="str">
        <f>COUNTIF($D$2:D1039,D1039)&amp;D1039</f>
        <v>0</v>
      </c>
      <c r="B1152" t="str">
        <f>COUNTIF($E$2:E1039,E1039)&amp;E1039</f>
        <v>0</v>
      </c>
    </row>
    <row r="1153" spans="1:2" x14ac:dyDescent="0.25">
      <c r="A1153" t="str">
        <f>COUNTIF($D$2:D1040,D1040)&amp;D1040</f>
        <v>0</v>
      </c>
      <c r="B1153" t="str">
        <f>COUNTIF($E$2:E1040,E1040)&amp;E1040</f>
        <v>0</v>
      </c>
    </row>
    <row r="1154" spans="1:2" x14ac:dyDescent="0.25">
      <c r="A1154" t="str">
        <f>COUNTIF($D$2:D1041,D1041)&amp;D1041</f>
        <v>0</v>
      </c>
      <c r="B1154" t="str">
        <f>COUNTIF($E$2:E1041,E1041)&amp;E1041</f>
        <v>0</v>
      </c>
    </row>
    <row r="1155" spans="1:2" x14ac:dyDescent="0.25">
      <c r="A1155" t="str">
        <f>COUNTIF($D$2:D1042,D1042)&amp;D1042</f>
        <v>0</v>
      </c>
      <c r="B1155" t="str">
        <f>COUNTIF($E$2:E1042,E1042)&amp;E1042</f>
        <v>0</v>
      </c>
    </row>
    <row r="1156" spans="1:2" x14ac:dyDescent="0.25">
      <c r="A1156" t="str">
        <f>COUNTIF($D$2:D1043,D1043)&amp;D1043</f>
        <v>0</v>
      </c>
      <c r="B1156" t="str">
        <f>COUNTIF($E$2:E1043,E1043)&amp;E1043</f>
        <v>0</v>
      </c>
    </row>
    <row r="1157" spans="1:2" x14ac:dyDescent="0.25">
      <c r="A1157" t="str">
        <f>COUNTIF($D$2:D1044,D1044)&amp;D1044</f>
        <v>0</v>
      </c>
      <c r="B1157" t="str">
        <f>COUNTIF($E$2:E1044,E1044)&amp;E1044</f>
        <v>0</v>
      </c>
    </row>
    <row r="1158" spans="1:2" x14ac:dyDescent="0.25">
      <c r="A1158" t="str">
        <f>COUNTIF($D$2:D1045,D1045)&amp;D1045</f>
        <v>0</v>
      </c>
      <c r="B1158" t="str">
        <f>COUNTIF($E$2:E1045,E1045)&amp;E1045</f>
        <v>0</v>
      </c>
    </row>
    <row r="1159" spans="1:2" x14ac:dyDescent="0.25">
      <c r="A1159" t="str">
        <f>COUNTIF($D$2:D1046,D1046)&amp;D1046</f>
        <v>0</v>
      </c>
      <c r="B1159" t="str">
        <f>COUNTIF($E$2:E1046,E1046)&amp;E1046</f>
        <v>0</v>
      </c>
    </row>
    <row r="1160" spans="1:2" x14ac:dyDescent="0.25">
      <c r="A1160" t="str">
        <f>COUNTIF($D$2:D1047,D1047)&amp;D1047</f>
        <v>0</v>
      </c>
      <c r="B1160" t="str">
        <f>COUNTIF($E$2:E1047,E1047)&amp;E1047</f>
        <v>0</v>
      </c>
    </row>
    <row r="1161" spans="1:2" x14ac:dyDescent="0.25">
      <c r="A1161" t="str">
        <f>COUNTIF($D$2:D1048,D1048)&amp;D1048</f>
        <v>0</v>
      </c>
      <c r="B1161" t="str">
        <f>COUNTIF($E$2:E1048,E1048)&amp;E1048</f>
        <v>0</v>
      </c>
    </row>
    <row r="1162" spans="1:2" x14ac:dyDescent="0.25">
      <c r="A1162" t="str">
        <f>COUNTIF($D$2:D1049,D1049)&amp;D1049</f>
        <v>0</v>
      </c>
      <c r="B1162" t="str">
        <f>COUNTIF($E$2:E1049,E1049)&amp;E1049</f>
        <v>0</v>
      </c>
    </row>
    <row r="1163" spans="1:2" x14ac:dyDescent="0.25">
      <c r="A1163" t="str">
        <f>COUNTIF($D$2:D1050,D1050)&amp;D1050</f>
        <v>0</v>
      </c>
      <c r="B1163" t="str">
        <f>COUNTIF($E$2:E1050,E1050)&amp;E1050</f>
        <v>0</v>
      </c>
    </row>
    <row r="1164" spans="1:2" x14ac:dyDescent="0.25">
      <c r="A1164" t="str">
        <f>COUNTIF($D$2:D1051,D1051)&amp;D1051</f>
        <v>0</v>
      </c>
      <c r="B1164" t="str">
        <f>COUNTIF($E$2:E1051,E1051)&amp;E1051</f>
        <v>0</v>
      </c>
    </row>
    <row r="1165" spans="1:2" x14ac:dyDescent="0.25">
      <c r="A1165" t="str">
        <f>COUNTIF($D$2:D1052,D1052)&amp;D1052</f>
        <v>0</v>
      </c>
      <c r="B1165" t="str">
        <f>COUNTIF($E$2:E1052,E1052)&amp;E1052</f>
        <v>0</v>
      </c>
    </row>
    <row r="1166" spans="1:2" x14ac:dyDescent="0.25">
      <c r="A1166" t="str">
        <f>COUNTIF($D$2:D1053,D1053)&amp;D1053</f>
        <v>0</v>
      </c>
      <c r="B1166" t="str">
        <f>COUNTIF($E$2:E1053,E1053)&amp;E1053</f>
        <v>0</v>
      </c>
    </row>
    <row r="1167" spans="1:2" x14ac:dyDescent="0.25">
      <c r="A1167" t="str">
        <f>COUNTIF($D$2:D1054,D1054)&amp;D1054</f>
        <v>0</v>
      </c>
      <c r="B1167" t="str">
        <f>COUNTIF($E$2:E1054,E1054)&amp;E1054</f>
        <v>0</v>
      </c>
    </row>
    <row r="1168" spans="1:2" x14ac:dyDescent="0.25">
      <c r="A1168" t="str">
        <f>COUNTIF($D$2:D1055,D1055)&amp;D1055</f>
        <v>0</v>
      </c>
      <c r="B1168" t="str">
        <f>COUNTIF($E$2:E1055,E1055)&amp;E1055</f>
        <v>0</v>
      </c>
    </row>
    <row r="1169" spans="1:2" x14ac:dyDescent="0.25">
      <c r="A1169" t="str">
        <f>COUNTIF($D$2:D1056,D1056)&amp;D1056</f>
        <v>0</v>
      </c>
      <c r="B1169" t="str">
        <f>COUNTIF($E$2:E1056,E1056)&amp;E1056</f>
        <v>0</v>
      </c>
    </row>
    <row r="1170" spans="1:2" x14ac:dyDescent="0.25">
      <c r="A1170" t="str">
        <f>COUNTIF($D$2:D1057,D1057)&amp;D1057</f>
        <v>0</v>
      </c>
      <c r="B1170" t="str">
        <f>COUNTIF($E$2:E1057,E1057)&amp;E1057</f>
        <v>0</v>
      </c>
    </row>
    <row r="1171" spans="1:2" x14ac:dyDescent="0.25">
      <c r="A1171" t="str">
        <f>COUNTIF($D$2:D1058,D1058)&amp;D1058</f>
        <v>0</v>
      </c>
      <c r="B1171" t="str">
        <f>COUNTIF($E$2:E1058,E1058)&amp;E1058</f>
        <v>0</v>
      </c>
    </row>
    <row r="1172" spans="1:2" x14ac:dyDescent="0.25">
      <c r="A1172" t="str">
        <f>COUNTIF($D$2:D1059,D1059)&amp;D1059</f>
        <v>0</v>
      </c>
      <c r="B1172" t="str">
        <f>COUNTIF($E$2:E1059,E1059)&amp;E1059</f>
        <v>0</v>
      </c>
    </row>
    <row r="1173" spans="1:2" x14ac:dyDescent="0.25">
      <c r="A1173" t="str">
        <f>COUNTIF($D$2:D1060,D1060)&amp;D1060</f>
        <v>0</v>
      </c>
      <c r="B1173" t="str">
        <f>COUNTIF($E$2:E1060,E1060)&amp;E1060</f>
        <v>0</v>
      </c>
    </row>
    <row r="1174" spans="1:2" x14ac:dyDescent="0.25">
      <c r="A1174" t="str">
        <f>COUNTIF($D$2:D1061,D1061)&amp;D1061</f>
        <v>0</v>
      </c>
      <c r="B1174" t="str">
        <f>COUNTIF($E$2:E1061,E1061)&amp;E1061</f>
        <v>0</v>
      </c>
    </row>
    <row r="1175" spans="1:2" x14ac:dyDescent="0.25">
      <c r="A1175" t="str">
        <f>COUNTIF($D$2:D1062,D1062)&amp;D1062</f>
        <v>0</v>
      </c>
      <c r="B1175" t="str">
        <f>COUNTIF($E$2:E1062,E1062)&amp;E1062</f>
        <v>0</v>
      </c>
    </row>
    <row r="1176" spans="1:2" x14ac:dyDescent="0.25">
      <c r="A1176" t="str">
        <f>COUNTIF($D$2:D1063,D1063)&amp;D1063</f>
        <v>0</v>
      </c>
      <c r="B1176" t="str">
        <f>COUNTIF($E$2:E1063,E1063)&amp;E1063</f>
        <v>0</v>
      </c>
    </row>
    <row r="1177" spans="1:2" x14ac:dyDescent="0.25">
      <c r="A1177" t="str">
        <f>COUNTIF($D$2:D1064,D1064)&amp;D1064</f>
        <v>0</v>
      </c>
      <c r="B1177" t="str">
        <f>COUNTIF($E$2:E1064,E1064)&amp;E1064</f>
        <v>0</v>
      </c>
    </row>
    <row r="1178" spans="1:2" x14ac:dyDescent="0.25">
      <c r="A1178" t="str">
        <f>COUNTIF($D$2:D1065,D1065)&amp;D1065</f>
        <v>0</v>
      </c>
      <c r="B1178" t="str">
        <f>COUNTIF($E$2:E1065,E1065)&amp;E1065</f>
        <v>0</v>
      </c>
    </row>
    <row r="1179" spans="1:2" x14ac:dyDescent="0.25">
      <c r="A1179" t="str">
        <f>COUNTIF($D$2:D1066,D1066)&amp;D1066</f>
        <v>0</v>
      </c>
      <c r="B1179" t="str">
        <f>COUNTIF($E$2:E1066,E1066)&amp;E1066</f>
        <v>0</v>
      </c>
    </row>
    <row r="1180" spans="1:2" x14ac:dyDescent="0.25">
      <c r="A1180" t="str">
        <f>COUNTIF($D$2:D1067,D1067)&amp;D1067</f>
        <v>0</v>
      </c>
      <c r="B1180" t="str">
        <f>COUNTIF($E$2:E1067,E1067)&amp;E1067</f>
        <v>0</v>
      </c>
    </row>
    <row r="1181" spans="1:2" x14ac:dyDescent="0.25">
      <c r="A1181" t="str">
        <f>COUNTIF($D$2:D1068,D1068)&amp;D1068</f>
        <v>0</v>
      </c>
      <c r="B1181" t="str">
        <f>COUNTIF($E$2:E1068,E1068)&amp;E1068</f>
        <v>0</v>
      </c>
    </row>
    <row r="1182" spans="1:2" x14ac:dyDescent="0.25">
      <c r="A1182" t="str">
        <f>COUNTIF($D$2:D1069,D1069)&amp;D1069</f>
        <v>0</v>
      </c>
      <c r="B1182" t="str">
        <f>COUNTIF($E$2:E1069,E1069)&amp;E1069</f>
        <v>0</v>
      </c>
    </row>
    <row r="1183" spans="1:2" x14ac:dyDescent="0.25">
      <c r="A1183" t="str">
        <f>COUNTIF($D$2:D1070,D1070)&amp;D1070</f>
        <v>0</v>
      </c>
      <c r="B1183" t="str">
        <f>COUNTIF($E$2:E1070,E1070)&amp;E1070</f>
        <v>0</v>
      </c>
    </row>
    <row r="1184" spans="1:2" x14ac:dyDescent="0.25">
      <c r="A1184" t="str">
        <f>COUNTIF($D$2:D1071,D1071)&amp;D1071</f>
        <v>0</v>
      </c>
      <c r="B1184" t="str">
        <f>COUNTIF($E$2:E1071,E1071)&amp;E1071</f>
        <v>0</v>
      </c>
    </row>
    <row r="1185" spans="1:2" x14ac:dyDescent="0.25">
      <c r="A1185" t="str">
        <f>COUNTIF($D$2:D1072,D1072)&amp;D1072</f>
        <v>0</v>
      </c>
      <c r="B1185" t="str">
        <f>COUNTIF($E$2:E1072,E1072)&amp;E1072</f>
        <v>0</v>
      </c>
    </row>
    <row r="1186" spans="1:2" x14ac:dyDescent="0.25">
      <c r="A1186" t="str">
        <f>COUNTIF($D$2:D1073,D1073)&amp;D1073</f>
        <v>0</v>
      </c>
      <c r="B1186" t="str">
        <f>COUNTIF($E$2:E1073,E1073)&amp;E1073</f>
        <v>0</v>
      </c>
    </row>
    <row r="1187" spans="1:2" x14ac:dyDescent="0.25">
      <c r="A1187" t="str">
        <f>COUNTIF($D$2:D1074,D1074)&amp;D1074</f>
        <v>0</v>
      </c>
      <c r="B1187" t="str">
        <f>COUNTIF($E$2:E1074,E1074)&amp;E1074</f>
        <v>0</v>
      </c>
    </row>
    <row r="1188" spans="1:2" x14ac:dyDescent="0.25">
      <c r="A1188" t="str">
        <f>COUNTIF($D$2:D1075,D1075)&amp;D1075</f>
        <v>0</v>
      </c>
      <c r="B1188" t="str">
        <f>COUNTIF($E$2:E1075,E1075)&amp;E1075</f>
        <v>0</v>
      </c>
    </row>
    <row r="1189" spans="1:2" x14ac:dyDescent="0.25">
      <c r="A1189" t="str">
        <f>COUNTIF($D$2:D1076,D1076)&amp;D1076</f>
        <v>0</v>
      </c>
      <c r="B1189" t="str">
        <f>COUNTIF($E$2:E1076,E1076)&amp;E1076</f>
        <v>0</v>
      </c>
    </row>
    <row r="1190" spans="1:2" x14ac:dyDescent="0.25">
      <c r="A1190" t="str">
        <f>COUNTIF($D$2:D1077,D1077)&amp;D1077</f>
        <v>0</v>
      </c>
      <c r="B1190" t="str">
        <f>COUNTIF($E$2:E1077,E1077)&amp;E1077</f>
        <v>0</v>
      </c>
    </row>
    <row r="1191" spans="1:2" x14ac:dyDescent="0.25">
      <c r="A1191" t="str">
        <f>COUNTIF($D$2:D1078,D1078)&amp;D1078</f>
        <v>0</v>
      </c>
      <c r="B1191" t="str">
        <f>COUNTIF($E$2:E1078,E1078)&amp;E1078</f>
        <v>0</v>
      </c>
    </row>
    <row r="1192" spans="1:2" x14ac:dyDescent="0.25">
      <c r="A1192" t="str">
        <f>COUNTIF($D$2:D1079,D1079)&amp;D1079</f>
        <v>0</v>
      </c>
      <c r="B1192" t="str">
        <f>COUNTIF($E$2:E1079,E1079)&amp;E1079</f>
        <v>0</v>
      </c>
    </row>
    <row r="1193" spans="1:2" x14ac:dyDescent="0.25">
      <c r="A1193" t="str">
        <f>COUNTIF($D$2:D1080,D1080)&amp;D1080</f>
        <v>0</v>
      </c>
      <c r="B1193" t="str">
        <f>COUNTIF($E$2:E1080,E1080)&amp;E1080</f>
        <v>0</v>
      </c>
    </row>
    <row r="1194" spans="1:2" x14ac:dyDescent="0.25">
      <c r="A1194" t="str">
        <f>COUNTIF($D$2:D1081,D1081)&amp;D1081</f>
        <v>0</v>
      </c>
      <c r="B1194" t="str">
        <f>COUNTIF($E$2:E1081,E1081)&amp;E1081</f>
        <v>0</v>
      </c>
    </row>
    <row r="1195" spans="1:2" x14ac:dyDescent="0.25">
      <c r="A1195" t="str">
        <f>COUNTIF($D$2:D1082,D1082)&amp;D1082</f>
        <v>0</v>
      </c>
      <c r="B1195" t="str">
        <f>COUNTIF($E$2:E1082,E1082)&amp;E1082</f>
        <v>0</v>
      </c>
    </row>
    <row r="1196" spans="1:2" x14ac:dyDescent="0.25">
      <c r="A1196" t="str">
        <f>COUNTIF($D$2:D1083,D1083)&amp;D1083</f>
        <v>0</v>
      </c>
      <c r="B1196" t="str">
        <f>COUNTIF($E$2:E1083,E1083)&amp;E1083</f>
        <v>0</v>
      </c>
    </row>
    <row r="1197" spans="1:2" x14ac:dyDescent="0.25">
      <c r="A1197" t="str">
        <f>COUNTIF($D$2:D1084,D1084)&amp;D1084</f>
        <v>0</v>
      </c>
      <c r="B1197" t="str">
        <f>COUNTIF($E$2:E1084,E1084)&amp;E1084</f>
        <v>0</v>
      </c>
    </row>
    <row r="1198" spans="1:2" x14ac:dyDescent="0.25">
      <c r="A1198" t="str">
        <f>COUNTIF($D$2:D1085,D1085)&amp;D1085</f>
        <v>0</v>
      </c>
      <c r="B1198" t="str">
        <f>COUNTIF($E$2:E1085,E1085)&amp;E1085</f>
        <v>0</v>
      </c>
    </row>
    <row r="1199" spans="1:2" x14ac:dyDescent="0.25">
      <c r="A1199" t="str">
        <f>COUNTIF($D$2:D1086,D1086)&amp;D1086</f>
        <v>0</v>
      </c>
      <c r="B1199" t="str">
        <f>COUNTIF($E$2:E1086,E1086)&amp;E1086</f>
        <v>0</v>
      </c>
    </row>
    <row r="1200" spans="1:2" x14ac:dyDescent="0.25">
      <c r="A1200" t="str">
        <f>COUNTIF($D$2:D1087,D1087)&amp;D1087</f>
        <v>0</v>
      </c>
      <c r="B1200" t="str">
        <f>COUNTIF($E$2:E1087,E1087)&amp;E1087</f>
        <v>0</v>
      </c>
    </row>
    <row r="1201" spans="1:2" x14ac:dyDescent="0.25">
      <c r="A1201" t="str">
        <f>COUNTIF($D$2:D1088,D1088)&amp;D1088</f>
        <v>0</v>
      </c>
      <c r="B1201" t="str">
        <f>COUNTIF($E$2:E1088,E1088)&amp;E1088</f>
        <v>0</v>
      </c>
    </row>
    <row r="1202" spans="1:2" x14ac:dyDescent="0.25">
      <c r="A1202" t="str">
        <f>COUNTIF($D$2:D1089,D1089)&amp;D1089</f>
        <v>0</v>
      </c>
      <c r="B1202" t="str">
        <f>COUNTIF($E$2:E1089,E1089)&amp;E1089</f>
        <v>0</v>
      </c>
    </row>
    <row r="1203" spans="1:2" x14ac:dyDescent="0.25">
      <c r="A1203" t="str">
        <f>COUNTIF($D$2:D1090,D1090)&amp;D1090</f>
        <v>0</v>
      </c>
      <c r="B1203" t="str">
        <f>COUNTIF($E$2:E1090,E1090)&amp;E1090</f>
        <v>0</v>
      </c>
    </row>
    <row r="1204" spans="1:2" x14ac:dyDescent="0.25">
      <c r="A1204" t="str">
        <f>COUNTIF($D$2:D1091,D1091)&amp;D1091</f>
        <v>0</v>
      </c>
      <c r="B1204" t="str">
        <f>COUNTIF($E$2:E1091,E1091)&amp;E1091</f>
        <v>0</v>
      </c>
    </row>
    <row r="1205" spans="1:2" x14ac:dyDescent="0.25">
      <c r="A1205" t="str">
        <f>COUNTIF($D$2:D1092,D1092)&amp;D1092</f>
        <v>0</v>
      </c>
      <c r="B1205" t="str">
        <f>COUNTIF($E$2:E1092,E1092)&amp;E1092</f>
        <v>0</v>
      </c>
    </row>
    <row r="1206" spans="1:2" x14ac:dyDescent="0.25">
      <c r="A1206" t="str">
        <f>COUNTIF($D$2:D1093,D1093)&amp;D1093</f>
        <v>0</v>
      </c>
      <c r="B1206" t="str">
        <f>COUNTIF($E$2:E1093,E1093)&amp;E1093</f>
        <v>0</v>
      </c>
    </row>
    <row r="1207" spans="1:2" x14ac:dyDescent="0.25">
      <c r="A1207" t="str">
        <f>COUNTIF($D$2:D1094,D1094)&amp;D1094</f>
        <v>0</v>
      </c>
      <c r="B1207" t="str">
        <f>COUNTIF($E$2:E1094,E1094)&amp;E1094</f>
        <v>0</v>
      </c>
    </row>
    <row r="1208" spans="1:2" x14ac:dyDescent="0.25">
      <c r="A1208" t="str">
        <f>COUNTIF($D$2:D1095,D1095)&amp;D1095</f>
        <v>0</v>
      </c>
      <c r="B1208" t="str">
        <f>COUNTIF($E$2:E1095,E1095)&amp;E1095</f>
        <v>0</v>
      </c>
    </row>
    <row r="1209" spans="1:2" x14ac:dyDescent="0.25">
      <c r="A1209" t="str">
        <f>COUNTIF($D$2:D1096,D1096)&amp;D1096</f>
        <v>0</v>
      </c>
      <c r="B1209" t="str">
        <f>COUNTIF($E$2:E1096,E1096)&amp;E1096</f>
        <v>0</v>
      </c>
    </row>
    <row r="1210" spans="1:2" x14ac:dyDescent="0.25">
      <c r="A1210" t="str">
        <f>COUNTIF($D$2:D1097,D1097)&amp;D1097</f>
        <v>0</v>
      </c>
      <c r="B1210" t="str">
        <f>COUNTIF($E$2:E1097,E1097)&amp;E1097</f>
        <v>0</v>
      </c>
    </row>
    <row r="1211" spans="1:2" x14ac:dyDescent="0.25">
      <c r="A1211" t="str">
        <f>COUNTIF($D$2:D1098,D1098)&amp;D1098</f>
        <v>0</v>
      </c>
      <c r="B1211" t="str">
        <f>COUNTIF($E$2:E1098,E1098)&amp;E1098</f>
        <v>0</v>
      </c>
    </row>
    <row r="1212" spans="1:2" x14ac:dyDescent="0.25">
      <c r="A1212" t="str">
        <f>COUNTIF($D$2:D1099,D1099)&amp;D1099</f>
        <v>0</v>
      </c>
      <c r="B1212" t="str">
        <f>COUNTIF($E$2:E1099,E1099)&amp;E1099</f>
        <v>0</v>
      </c>
    </row>
    <row r="1213" spans="1:2" x14ac:dyDescent="0.25">
      <c r="A1213" t="str">
        <f>COUNTIF($D$2:D1100,D1100)&amp;D1100</f>
        <v>0</v>
      </c>
      <c r="B1213" t="str">
        <f>COUNTIF($E$2:E1100,E1100)&amp;E1100</f>
        <v>0</v>
      </c>
    </row>
    <row r="1214" spans="1:2" x14ac:dyDescent="0.25">
      <c r="A1214" t="str">
        <f>COUNTIF($D$2:D1101,D1101)&amp;D1101</f>
        <v>0</v>
      </c>
      <c r="B1214" t="str">
        <f>COUNTIF($E$2:E1101,E1101)&amp;E1101</f>
        <v>0</v>
      </c>
    </row>
    <row r="1215" spans="1:2" x14ac:dyDescent="0.25">
      <c r="A1215" t="str">
        <f>COUNTIF($D$2:D1102,D1102)&amp;D1102</f>
        <v>0</v>
      </c>
      <c r="B1215" t="str">
        <f>COUNTIF($E$2:E1102,E1102)&amp;E1102</f>
        <v>0</v>
      </c>
    </row>
    <row r="1216" spans="1:2" x14ac:dyDescent="0.25">
      <c r="A1216" t="str">
        <f>COUNTIF($D$2:D1103,D1103)&amp;D1103</f>
        <v>0</v>
      </c>
      <c r="B1216" t="str">
        <f>COUNTIF($E$2:E1103,E1103)&amp;E1103</f>
        <v>0</v>
      </c>
    </row>
    <row r="1217" spans="1:2" x14ac:dyDescent="0.25">
      <c r="A1217" t="str">
        <f>COUNTIF($D$2:D1104,D1104)&amp;D1104</f>
        <v>0</v>
      </c>
      <c r="B1217" t="str">
        <f>COUNTIF($E$2:E1104,E1104)&amp;E1104</f>
        <v>0</v>
      </c>
    </row>
    <row r="1218" spans="1:2" x14ac:dyDescent="0.25">
      <c r="A1218" t="str">
        <f>COUNTIF($D$2:D1105,D1105)&amp;D1105</f>
        <v>0</v>
      </c>
      <c r="B1218" t="str">
        <f>COUNTIF($E$2:E1105,E1105)&amp;E1105</f>
        <v>0</v>
      </c>
    </row>
    <row r="1219" spans="1:2" x14ac:dyDescent="0.25">
      <c r="A1219" t="str">
        <f>COUNTIF($D$2:D1106,D1106)&amp;D1106</f>
        <v>0</v>
      </c>
      <c r="B1219" t="str">
        <f>COUNTIF($E$2:E1106,E1106)&amp;E1106</f>
        <v>0</v>
      </c>
    </row>
    <row r="1220" spans="1:2" x14ac:dyDescent="0.25">
      <c r="A1220" t="str">
        <f>COUNTIF($D$2:D1107,D1107)&amp;D1107</f>
        <v>0</v>
      </c>
      <c r="B1220" t="str">
        <f>COUNTIF($E$2:E1107,E1107)&amp;E1107</f>
        <v>0</v>
      </c>
    </row>
    <row r="1221" spans="1:2" x14ac:dyDescent="0.25">
      <c r="A1221" t="str">
        <f>COUNTIF($D$2:D1108,D1108)&amp;D1108</f>
        <v>0</v>
      </c>
      <c r="B1221" t="str">
        <f>COUNTIF($E$2:E1108,E1108)&amp;E1108</f>
        <v>0</v>
      </c>
    </row>
    <row r="1222" spans="1:2" x14ac:dyDescent="0.25">
      <c r="A1222" t="str">
        <f>COUNTIF($D$2:D1109,D1109)&amp;D1109</f>
        <v>0</v>
      </c>
      <c r="B1222" t="str">
        <f>COUNTIF($E$2:E1109,E1109)&amp;E1109</f>
        <v>0</v>
      </c>
    </row>
    <row r="1223" spans="1:2" x14ac:dyDescent="0.25">
      <c r="A1223" t="str">
        <f>COUNTIF($D$2:D1110,D1110)&amp;D1110</f>
        <v>0</v>
      </c>
      <c r="B1223" t="str">
        <f>COUNTIF($E$2:E1110,E1110)&amp;E1110</f>
        <v>0</v>
      </c>
    </row>
    <row r="1224" spans="1:2" x14ac:dyDescent="0.25">
      <c r="A1224" t="str">
        <f>COUNTIF($D$2:D1111,D1111)&amp;D1111</f>
        <v>0</v>
      </c>
      <c r="B1224" t="str">
        <f>COUNTIF($E$2:E1111,E1111)&amp;E1111</f>
        <v>0</v>
      </c>
    </row>
    <row r="1225" spans="1:2" x14ac:dyDescent="0.25">
      <c r="A1225" t="str">
        <f>COUNTIF($D$2:D1112,D1112)&amp;D1112</f>
        <v>0</v>
      </c>
      <c r="B1225" t="str">
        <f>COUNTIF($E$2:E1112,E1112)&amp;E1112</f>
        <v>0</v>
      </c>
    </row>
    <row r="1226" spans="1:2" x14ac:dyDescent="0.25">
      <c r="A1226" t="str">
        <f>COUNTIF($D$2:D1113,D1113)&amp;D1113</f>
        <v>0</v>
      </c>
      <c r="B1226" t="str">
        <f>COUNTIF($E$2:E1113,E1113)&amp;E1113</f>
        <v>0</v>
      </c>
    </row>
    <row r="1227" spans="1:2" x14ac:dyDescent="0.25">
      <c r="A1227" t="str">
        <f>COUNTIF($D$2:D1114,D1114)&amp;D1114</f>
        <v>0</v>
      </c>
      <c r="B1227" t="str">
        <f>COUNTIF($E$2:E1114,E1114)&amp;E1114</f>
        <v>0</v>
      </c>
    </row>
    <row r="1228" spans="1:2" x14ac:dyDescent="0.25">
      <c r="A1228" t="str">
        <f>COUNTIF($D$2:D1115,D1115)&amp;D1115</f>
        <v>0</v>
      </c>
      <c r="B1228" t="str">
        <f>COUNTIF($E$2:E1115,E1115)&amp;E1115</f>
        <v>0</v>
      </c>
    </row>
    <row r="1229" spans="1:2" x14ac:dyDescent="0.25">
      <c r="A1229" t="str">
        <f>COUNTIF($D$2:D1116,D1116)&amp;D1116</f>
        <v>0</v>
      </c>
      <c r="B1229" t="str">
        <f>COUNTIF($E$2:E1116,E1116)&amp;E1116</f>
        <v>0</v>
      </c>
    </row>
    <row r="1230" spans="1:2" x14ac:dyDescent="0.25">
      <c r="A1230" t="str">
        <f>COUNTIF($D$2:D1117,D1117)&amp;D1117</f>
        <v>0</v>
      </c>
      <c r="B1230" t="str">
        <f>COUNTIF($E$2:E1117,E1117)&amp;E1117</f>
        <v>0</v>
      </c>
    </row>
    <row r="1231" spans="1:2" x14ac:dyDescent="0.25">
      <c r="A1231" t="str">
        <f>COUNTIF($D$2:D1118,D1118)&amp;D1118</f>
        <v>0</v>
      </c>
      <c r="B1231" t="str">
        <f>COUNTIF($E$2:E1118,E1118)&amp;E1118</f>
        <v>0</v>
      </c>
    </row>
    <row r="1232" spans="1:2" x14ac:dyDescent="0.25">
      <c r="A1232" t="str">
        <f>COUNTIF($D$2:D1119,D1119)&amp;D1119</f>
        <v>0</v>
      </c>
      <c r="B1232" t="str">
        <f>COUNTIF($E$2:E1119,E1119)&amp;E1119</f>
        <v>0</v>
      </c>
    </row>
    <row r="1233" spans="1:2" x14ac:dyDescent="0.25">
      <c r="A1233" t="str">
        <f>COUNTIF($D$2:D1120,D1120)&amp;D1120</f>
        <v>0</v>
      </c>
      <c r="B1233" t="str">
        <f>COUNTIF($E$2:E1120,E1120)&amp;E1120</f>
        <v>0</v>
      </c>
    </row>
    <row r="1234" spans="1:2" x14ac:dyDescent="0.25">
      <c r="A1234" t="str">
        <f>COUNTIF($D$2:D1121,D1121)&amp;D1121</f>
        <v>0</v>
      </c>
      <c r="B1234" t="str">
        <f>COUNTIF($E$2:E1121,E1121)&amp;E1121</f>
        <v>0</v>
      </c>
    </row>
    <row r="1235" spans="1:2" x14ac:dyDescent="0.25">
      <c r="A1235" t="str">
        <f>COUNTIF($D$2:D1122,D1122)&amp;D1122</f>
        <v>0</v>
      </c>
      <c r="B1235" t="str">
        <f>COUNTIF($E$2:E1122,E1122)&amp;E1122</f>
        <v>0</v>
      </c>
    </row>
    <row r="1236" spans="1:2" x14ac:dyDescent="0.25">
      <c r="A1236" t="str">
        <f>COUNTIF($D$2:D1123,D1123)&amp;D1123</f>
        <v>0</v>
      </c>
      <c r="B1236" t="str">
        <f>COUNTIF($E$2:E1123,E1123)&amp;E1123</f>
        <v>0</v>
      </c>
    </row>
    <row r="1237" spans="1:2" x14ac:dyDescent="0.25">
      <c r="A1237" t="str">
        <f>COUNTIF($D$2:D1124,D1124)&amp;D1124</f>
        <v>0</v>
      </c>
      <c r="B1237" t="str">
        <f>COUNTIF($E$2:E1124,E1124)&amp;E1124</f>
        <v>0</v>
      </c>
    </row>
    <row r="1238" spans="1:2" x14ac:dyDescent="0.25">
      <c r="A1238" t="str">
        <f>COUNTIF($D$2:D1125,D1125)&amp;D1125</f>
        <v>0</v>
      </c>
      <c r="B1238" t="str">
        <f>COUNTIF($E$2:E1125,E1125)&amp;E1125</f>
        <v>0</v>
      </c>
    </row>
    <row r="1239" spans="1:2" x14ac:dyDescent="0.25">
      <c r="A1239" t="str">
        <f>COUNTIF($D$2:D1126,D1126)&amp;D1126</f>
        <v>0</v>
      </c>
      <c r="B1239" t="str">
        <f>COUNTIF($E$2:E1126,E1126)&amp;E1126</f>
        <v>0</v>
      </c>
    </row>
    <row r="1240" spans="1:2" x14ac:dyDescent="0.25">
      <c r="A1240" t="str">
        <f>COUNTIF($D$2:D1127,D1127)&amp;D1127</f>
        <v>0</v>
      </c>
      <c r="B1240" t="str">
        <f>COUNTIF($E$2:E1127,E1127)&amp;E1127</f>
        <v>0</v>
      </c>
    </row>
    <row r="1241" spans="1:2" x14ac:dyDescent="0.25">
      <c r="A1241" t="str">
        <f>COUNTIF($D$2:D1128,D1128)&amp;D1128</f>
        <v>0</v>
      </c>
      <c r="B1241" t="str">
        <f>COUNTIF($E$2:E1128,E1128)&amp;E1128</f>
        <v>0</v>
      </c>
    </row>
    <row r="1242" spans="1:2" x14ac:dyDescent="0.25">
      <c r="A1242" t="str">
        <f>COUNTIF($D$2:D1129,D1129)&amp;D1129</f>
        <v>0</v>
      </c>
      <c r="B1242" t="str">
        <f>COUNTIF($E$2:E1129,E1129)&amp;E1129</f>
        <v>0</v>
      </c>
    </row>
    <row r="1243" spans="1:2" x14ac:dyDescent="0.25">
      <c r="A1243" t="str">
        <f>COUNTIF($D$2:D1130,D1130)&amp;D1130</f>
        <v>0</v>
      </c>
      <c r="B1243" t="str">
        <f>COUNTIF($E$2:E1130,E1130)&amp;E1130</f>
        <v>0</v>
      </c>
    </row>
    <row r="1244" spans="1:2" x14ac:dyDescent="0.25">
      <c r="A1244" t="str">
        <f>COUNTIF($D$2:D1131,D1131)&amp;D1131</f>
        <v>0</v>
      </c>
      <c r="B1244" t="str">
        <f>COUNTIF($E$2:E1131,E1131)&amp;E1131</f>
        <v>0</v>
      </c>
    </row>
    <row r="1245" spans="1:2" x14ac:dyDescent="0.25">
      <c r="A1245" t="str">
        <f>COUNTIF($D$2:D1132,D1132)&amp;D1132</f>
        <v>0</v>
      </c>
      <c r="B1245" t="str">
        <f>COUNTIF($E$2:E1132,E1132)&amp;E1132</f>
        <v>0</v>
      </c>
    </row>
    <row r="1246" spans="1:2" x14ac:dyDescent="0.25">
      <c r="A1246" t="str">
        <f>COUNTIF($D$2:D1133,D1133)&amp;D1133</f>
        <v>0</v>
      </c>
      <c r="B1246" t="str">
        <f>COUNTIF($E$2:E1133,E1133)&amp;E1133</f>
        <v>0</v>
      </c>
    </row>
    <row r="1247" spans="1:2" x14ac:dyDescent="0.25">
      <c r="A1247" t="str">
        <f>COUNTIF($D$2:D1134,D1134)&amp;D1134</f>
        <v>0</v>
      </c>
      <c r="B1247" t="str">
        <f>COUNTIF($E$2:E1134,E1134)&amp;E1134</f>
        <v>0</v>
      </c>
    </row>
    <row r="1248" spans="1:2" x14ac:dyDescent="0.25">
      <c r="A1248" t="str">
        <f>COUNTIF($D$2:D1135,D1135)&amp;D1135</f>
        <v>0</v>
      </c>
      <c r="B1248" t="str">
        <f>COUNTIF($E$2:E1135,E1135)&amp;E1135</f>
        <v>0</v>
      </c>
    </row>
    <row r="1249" spans="1:2" x14ac:dyDescent="0.25">
      <c r="A1249" t="str">
        <f>COUNTIF($D$2:D1136,D1136)&amp;D1136</f>
        <v>0</v>
      </c>
      <c r="B1249" t="str">
        <f>COUNTIF($E$2:E1136,E1136)&amp;E1136</f>
        <v>0</v>
      </c>
    </row>
    <row r="1250" spans="1:2" x14ac:dyDescent="0.25">
      <c r="A1250" t="str">
        <f>COUNTIF($D$2:D1137,D1137)&amp;D1137</f>
        <v>0</v>
      </c>
      <c r="B1250" t="str">
        <f>COUNTIF($E$2:E1137,E1137)&amp;E1137</f>
        <v>0</v>
      </c>
    </row>
    <row r="1251" spans="1:2" x14ac:dyDescent="0.25">
      <c r="A1251" t="str">
        <f>COUNTIF($D$2:D1138,D1138)&amp;D1138</f>
        <v>0</v>
      </c>
      <c r="B1251" t="str">
        <f>COUNTIF($E$2:E1138,E1138)&amp;E1138</f>
        <v>0</v>
      </c>
    </row>
    <row r="1252" spans="1:2" x14ac:dyDescent="0.25">
      <c r="A1252" t="str">
        <f>COUNTIF($D$2:D1139,D1139)&amp;D1139</f>
        <v>0</v>
      </c>
      <c r="B1252" t="str">
        <f>COUNTIF($E$2:E1139,E1139)&amp;E1139</f>
        <v>0</v>
      </c>
    </row>
    <row r="1253" spans="1:2" x14ac:dyDescent="0.25">
      <c r="A1253" t="str">
        <f>COUNTIF($D$2:D1140,D1140)&amp;D1140</f>
        <v>0</v>
      </c>
      <c r="B1253" t="str">
        <f>COUNTIF($E$2:E1140,E1140)&amp;E1140</f>
        <v>0</v>
      </c>
    </row>
    <row r="1254" spans="1:2" x14ac:dyDescent="0.25">
      <c r="A1254" t="str">
        <f>COUNTIF($D$2:D1141,D1141)&amp;D1141</f>
        <v>0</v>
      </c>
      <c r="B1254" t="str">
        <f>COUNTIF($E$2:E1141,E1141)&amp;E1141</f>
        <v>0</v>
      </c>
    </row>
    <row r="1255" spans="1:2" x14ac:dyDescent="0.25">
      <c r="A1255" t="str">
        <f>COUNTIF($D$2:D1142,D1142)&amp;D1142</f>
        <v>0</v>
      </c>
      <c r="B1255" t="str">
        <f>COUNTIF($E$2:E1142,E1142)&amp;E1142</f>
        <v>0</v>
      </c>
    </row>
    <row r="1256" spans="1:2" x14ac:dyDescent="0.25">
      <c r="A1256" t="str">
        <f>COUNTIF($D$2:D1143,D1143)&amp;D1143</f>
        <v>0</v>
      </c>
      <c r="B1256" t="str">
        <f>COUNTIF($E$2:E1143,E1143)&amp;E1143</f>
        <v>0</v>
      </c>
    </row>
    <row r="1257" spans="1:2" x14ac:dyDescent="0.25">
      <c r="A1257" t="str">
        <f>COUNTIF($D$2:D1144,D1144)&amp;D1144</f>
        <v>0</v>
      </c>
      <c r="B1257" t="str">
        <f>COUNTIF($E$2:E1144,E1144)&amp;E1144</f>
        <v>0</v>
      </c>
    </row>
    <row r="1258" spans="1:2" x14ac:dyDescent="0.25">
      <c r="A1258" t="str">
        <f>COUNTIF($D$2:D1145,D1145)&amp;D1145</f>
        <v>0</v>
      </c>
      <c r="B1258" t="str">
        <f>COUNTIF($E$2:E1145,E1145)&amp;E1145</f>
        <v>0</v>
      </c>
    </row>
    <row r="1259" spans="1:2" x14ac:dyDescent="0.25">
      <c r="A1259" t="str">
        <f>COUNTIF($D$2:D1146,D1146)&amp;D1146</f>
        <v>0</v>
      </c>
      <c r="B1259" t="str">
        <f>COUNTIF($E$2:E1146,E1146)&amp;E1146</f>
        <v>0</v>
      </c>
    </row>
    <row r="1260" spans="1:2" x14ac:dyDescent="0.25">
      <c r="A1260" t="str">
        <f>COUNTIF($D$2:D1147,D1147)&amp;D1147</f>
        <v>0</v>
      </c>
      <c r="B1260" t="str">
        <f>COUNTIF($E$2:E1147,E1147)&amp;E1147</f>
        <v>0</v>
      </c>
    </row>
    <row r="1261" spans="1:2" x14ac:dyDescent="0.25">
      <c r="A1261" t="str">
        <f>COUNTIF($D$2:D1148,D1148)&amp;D1148</f>
        <v>0</v>
      </c>
      <c r="B1261" t="str">
        <f>COUNTIF($E$2:E1148,E1148)&amp;E1148</f>
        <v>0</v>
      </c>
    </row>
    <row r="1262" spans="1:2" x14ac:dyDescent="0.25">
      <c r="A1262" t="str">
        <f>COUNTIF($D$2:D1149,D1149)&amp;D1149</f>
        <v>0</v>
      </c>
      <c r="B1262" t="str">
        <f>COUNTIF($E$2:E1149,E1149)&amp;E1149</f>
        <v>0</v>
      </c>
    </row>
    <row r="1263" spans="1:2" x14ac:dyDescent="0.25">
      <c r="A1263" t="str">
        <f>COUNTIF($D$2:D1150,D1150)&amp;D1150</f>
        <v>0</v>
      </c>
      <c r="B1263" t="str">
        <f>COUNTIF($E$2:E1150,E1150)&amp;E1150</f>
        <v>0</v>
      </c>
    </row>
    <row r="1264" spans="1:2" x14ac:dyDescent="0.25">
      <c r="A1264" t="str">
        <f>COUNTIF($D$2:D1151,D1151)&amp;D1151</f>
        <v>0</v>
      </c>
      <c r="B1264" t="str">
        <f>COUNTIF($E$2:E1151,E1151)&amp;E1151</f>
        <v>0</v>
      </c>
    </row>
    <row r="1265" spans="1:2" x14ac:dyDescent="0.25">
      <c r="A1265" t="str">
        <f>COUNTIF($D$2:D1152,D1152)&amp;D1152</f>
        <v>0</v>
      </c>
      <c r="B1265" t="str">
        <f>COUNTIF($E$2:E1152,E1152)&amp;E1152</f>
        <v>0</v>
      </c>
    </row>
    <row r="1266" spans="1:2" x14ac:dyDescent="0.25">
      <c r="A1266" t="str">
        <f>COUNTIF($D$2:D1153,D1153)&amp;D1153</f>
        <v>0</v>
      </c>
      <c r="B1266" t="str">
        <f>COUNTIF($E$2:E1153,E1153)&amp;E1153</f>
        <v>0</v>
      </c>
    </row>
    <row r="1267" spans="1:2" x14ac:dyDescent="0.25">
      <c r="A1267" t="str">
        <f>COUNTIF($D$2:D1154,D1154)&amp;D1154</f>
        <v>0</v>
      </c>
      <c r="B1267" t="str">
        <f>COUNTIF($E$2:E1154,E1154)&amp;E1154</f>
        <v>0</v>
      </c>
    </row>
    <row r="1268" spans="1:2" x14ac:dyDescent="0.25">
      <c r="A1268" t="str">
        <f>COUNTIF($D$2:D1155,D1155)&amp;D1155</f>
        <v>0</v>
      </c>
      <c r="B1268" t="str">
        <f>COUNTIF($E$2:E1155,E1155)&amp;E1155</f>
        <v>0</v>
      </c>
    </row>
    <row r="1269" spans="1:2" x14ac:dyDescent="0.25">
      <c r="A1269" t="str">
        <f>COUNTIF($D$2:D1156,D1156)&amp;D1156</f>
        <v>0</v>
      </c>
      <c r="B1269" t="str">
        <f>COUNTIF($E$2:E1156,E1156)&amp;E1156</f>
        <v>0</v>
      </c>
    </row>
    <row r="1270" spans="1:2" x14ac:dyDescent="0.25">
      <c r="A1270" t="str">
        <f>COUNTIF($D$2:D1157,D1157)&amp;D1157</f>
        <v>0</v>
      </c>
      <c r="B1270" t="str">
        <f>COUNTIF($E$2:E1157,E1157)&amp;E1157</f>
        <v>0</v>
      </c>
    </row>
    <row r="1271" spans="1:2" x14ac:dyDescent="0.25">
      <c r="A1271" t="str">
        <f>COUNTIF($D$2:D1158,D1158)&amp;D1158</f>
        <v>0</v>
      </c>
      <c r="B1271" t="str">
        <f>COUNTIF($E$2:E1158,E1158)&amp;E1158</f>
        <v>0</v>
      </c>
    </row>
    <row r="1272" spans="1:2" x14ac:dyDescent="0.25">
      <c r="A1272" t="str">
        <f>COUNTIF($D$2:D1159,D1159)&amp;D1159</f>
        <v>0</v>
      </c>
      <c r="B1272" t="str">
        <f>COUNTIF($E$2:E1159,E1159)&amp;E1159</f>
        <v>0</v>
      </c>
    </row>
    <row r="1273" spans="1:2" x14ac:dyDescent="0.25">
      <c r="A1273" t="str">
        <f>COUNTIF($D$2:D1160,D1160)&amp;D1160</f>
        <v>0</v>
      </c>
      <c r="B1273" t="str">
        <f>COUNTIF($E$2:E1160,E1160)&amp;E1160</f>
        <v>0</v>
      </c>
    </row>
    <row r="1274" spans="1:2" x14ac:dyDescent="0.25">
      <c r="A1274" t="str">
        <f>COUNTIF($D$2:D1161,D1161)&amp;D1161</f>
        <v>0</v>
      </c>
      <c r="B1274" t="str">
        <f>COUNTIF($E$2:E1161,E1161)&amp;E1161</f>
        <v>0</v>
      </c>
    </row>
    <row r="1275" spans="1:2" x14ac:dyDescent="0.25">
      <c r="A1275" t="str">
        <f>COUNTIF($D$2:D1162,D1162)&amp;D1162</f>
        <v>0</v>
      </c>
      <c r="B1275" t="str">
        <f>COUNTIF($E$2:E1162,E1162)&amp;E1162</f>
        <v>0</v>
      </c>
    </row>
    <row r="1276" spans="1:2" x14ac:dyDescent="0.25">
      <c r="A1276" t="str">
        <f>COUNTIF($D$2:D1163,D1163)&amp;D1163</f>
        <v>0</v>
      </c>
      <c r="B1276" t="str">
        <f>COUNTIF($E$2:E1163,E1163)&amp;E1163</f>
        <v>0</v>
      </c>
    </row>
    <row r="1277" spans="1:2" x14ac:dyDescent="0.25">
      <c r="A1277" t="str">
        <f>COUNTIF($D$2:D1164,D1164)&amp;D1164</f>
        <v>0</v>
      </c>
      <c r="B1277" t="str">
        <f>COUNTIF($E$2:E1164,E1164)&amp;E1164</f>
        <v>0</v>
      </c>
    </row>
    <row r="1278" spans="1:2" x14ac:dyDescent="0.25">
      <c r="A1278" t="str">
        <f>COUNTIF($D$2:D1165,D1165)&amp;D1165</f>
        <v>0</v>
      </c>
      <c r="B1278" t="str">
        <f>COUNTIF($E$2:E1165,E1165)&amp;E1165</f>
        <v>0</v>
      </c>
    </row>
    <row r="1279" spans="1:2" x14ac:dyDescent="0.25">
      <c r="A1279" t="str">
        <f>COUNTIF($D$2:D1166,D1166)&amp;D1166</f>
        <v>0</v>
      </c>
      <c r="B1279" t="str">
        <f>COUNTIF($E$2:E1166,E1166)&amp;E1166</f>
        <v>0</v>
      </c>
    </row>
    <row r="1280" spans="1:2" x14ac:dyDescent="0.25">
      <c r="A1280" t="str">
        <f>COUNTIF($D$2:D1167,D1167)&amp;D1167</f>
        <v>0</v>
      </c>
      <c r="B1280" t="str">
        <f>COUNTIF($E$2:E1167,E1167)&amp;E1167</f>
        <v>0</v>
      </c>
    </row>
    <row r="1281" spans="1:2" x14ac:dyDescent="0.25">
      <c r="A1281" t="str">
        <f>COUNTIF($D$2:D1168,D1168)&amp;D1168</f>
        <v>0</v>
      </c>
      <c r="B1281" t="str">
        <f>COUNTIF($E$2:E1168,E1168)&amp;E1168</f>
        <v>0</v>
      </c>
    </row>
    <row r="1282" spans="1:2" x14ac:dyDescent="0.25">
      <c r="A1282" t="str">
        <f>COUNTIF($D$2:D1169,D1169)&amp;D1169</f>
        <v>0</v>
      </c>
      <c r="B1282" t="str">
        <f>COUNTIF($E$2:E1169,E1169)&amp;E1169</f>
        <v>0</v>
      </c>
    </row>
    <row r="1283" spans="1:2" x14ac:dyDescent="0.25">
      <c r="A1283" t="str">
        <f>COUNTIF($D$2:D1170,D1170)&amp;D1170</f>
        <v>0</v>
      </c>
      <c r="B1283" t="str">
        <f>COUNTIF($E$2:E1170,E1170)&amp;E1170</f>
        <v>0</v>
      </c>
    </row>
    <row r="1284" spans="1:2" x14ac:dyDescent="0.25">
      <c r="A1284" t="str">
        <f>COUNTIF($D$2:D1171,D1171)&amp;D1171</f>
        <v>0</v>
      </c>
      <c r="B1284" t="str">
        <f>COUNTIF($E$2:E1171,E1171)&amp;E1171</f>
        <v>0</v>
      </c>
    </row>
    <row r="1285" spans="1:2" x14ac:dyDescent="0.25">
      <c r="A1285" t="str">
        <f>COUNTIF($D$2:D1172,D1172)&amp;D1172</f>
        <v>0</v>
      </c>
      <c r="B1285" t="str">
        <f>COUNTIF($E$2:E1172,E1172)&amp;E1172</f>
        <v>0</v>
      </c>
    </row>
    <row r="1286" spans="1:2" x14ac:dyDescent="0.25">
      <c r="A1286" t="str">
        <f>COUNTIF($D$2:D1173,D1173)&amp;D1173</f>
        <v>0</v>
      </c>
      <c r="B1286" t="str">
        <f>COUNTIF($E$2:E1173,E1173)&amp;E1173</f>
        <v>0</v>
      </c>
    </row>
    <row r="1287" spans="1:2" x14ac:dyDescent="0.25">
      <c r="A1287" t="str">
        <f>COUNTIF($D$2:D1174,D1174)&amp;D1174</f>
        <v>0</v>
      </c>
      <c r="B1287" t="str">
        <f>COUNTIF($E$2:E1174,E1174)&amp;E1174</f>
        <v>0</v>
      </c>
    </row>
    <row r="1288" spans="1:2" x14ac:dyDescent="0.25">
      <c r="A1288" t="str">
        <f>COUNTIF($D$2:D1175,D1175)&amp;D1175</f>
        <v>0</v>
      </c>
      <c r="B1288" t="str">
        <f>COUNTIF($E$2:E1175,E1175)&amp;E1175</f>
        <v>0</v>
      </c>
    </row>
    <row r="1289" spans="1:2" x14ac:dyDescent="0.25">
      <c r="A1289" t="str">
        <f>COUNTIF($D$2:D1176,D1176)&amp;D1176</f>
        <v>0</v>
      </c>
      <c r="B1289" t="str">
        <f>COUNTIF($E$2:E1176,E1176)&amp;E1176</f>
        <v>0</v>
      </c>
    </row>
    <row r="1290" spans="1:2" x14ac:dyDescent="0.25">
      <c r="A1290" t="str">
        <f>COUNTIF($D$2:D1177,D1177)&amp;D1177</f>
        <v>0</v>
      </c>
      <c r="B1290" t="str">
        <f>COUNTIF($E$2:E1177,E1177)&amp;E1177</f>
        <v>0</v>
      </c>
    </row>
    <row r="1291" spans="1:2" x14ac:dyDescent="0.25">
      <c r="A1291" t="str">
        <f>COUNTIF($D$2:D1178,D1178)&amp;D1178</f>
        <v>0</v>
      </c>
      <c r="B1291" t="str">
        <f>COUNTIF($E$2:E1178,E1178)&amp;E1178</f>
        <v>0</v>
      </c>
    </row>
    <row r="1292" spans="1:2" x14ac:dyDescent="0.25">
      <c r="A1292" t="str">
        <f>COUNTIF($D$2:D1179,D1179)&amp;D1179</f>
        <v>0</v>
      </c>
      <c r="B1292" t="str">
        <f>COUNTIF($E$2:E1179,E1179)&amp;E1179</f>
        <v>0</v>
      </c>
    </row>
    <row r="1293" spans="1:2" x14ac:dyDescent="0.25">
      <c r="A1293" t="str">
        <f>COUNTIF($D$2:D1180,D1180)&amp;D1180</f>
        <v>0</v>
      </c>
      <c r="B1293" t="str">
        <f>COUNTIF($E$2:E1180,E1180)&amp;E1180</f>
        <v>0</v>
      </c>
    </row>
    <row r="1294" spans="1:2" x14ac:dyDescent="0.25">
      <c r="A1294" t="str">
        <f>COUNTIF($D$2:D1181,D1181)&amp;D1181</f>
        <v>0</v>
      </c>
      <c r="B1294" t="str">
        <f>COUNTIF($E$2:E1181,E1181)&amp;E1181</f>
        <v>0</v>
      </c>
    </row>
    <row r="1295" spans="1:2" x14ac:dyDescent="0.25">
      <c r="A1295" t="str">
        <f>COUNTIF($D$2:D1182,D1182)&amp;D1182</f>
        <v>0</v>
      </c>
      <c r="B1295" t="str">
        <f>COUNTIF($E$2:E1182,E1182)&amp;E1182</f>
        <v>0</v>
      </c>
    </row>
    <row r="1296" spans="1:2" x14ac:dyDescent="0.25">
      <c r="A1296" t="str">
        <f>COUNTIF($D$2:D1183,D1183)&amp;D1183</f>
        <v>0</v>
      </c>
      <c r="B1296" t="str">
        <f>COUNTIF($E$2:E1183,E1183)&amp;E1183</f>
        <v>0</v>
      </c>
    </row>
    <row r="1297" spans="1:2" x14ac:dyDescent="0.25">
      <c r="A1297" t="str">
        <f>COUNTIF($D$2:D1184,D1184)&amp;D1184</f>
        <v>0</v>
      </c>
      <c r="B1297" t="str">
        <f>COUNTIF($E$2:E1184,E1184)&amp;E1184</f>
        <v>0</v>
      </c>
    </row>
    <row r="1298" spans="1:2" x14ac:dyDescent="0.25">
      <c r="A1298" t="str">
        <f>COUNTIF($D$2:D1185,D1185)&amp;D1185</f>
        <v>0</v>
      </c>
      <c r="B1298" t="str">
        <f>COUNTIF($E$2:E1185,E1185)&amp;E1185</f>
        <v>0</v>
      </c>
    </row>
    <row r="1299" spans="1:2" x14ac:dyDescent="0.25">
      <c r="A1299" t="str">
        <f>COUNTIF($D$2:D1186,D1186)&amp;D1186</f>
        <v>0</v>
      </c>
      <c r="B1299" t="str">
        <f>COUNTIF($E$2:E1186,E1186)&amp;E1186</f>
        <v>0</v>
      </c>
    </row>
    <row r="1300" spans="1:2" x14ac:dyDescent="0.25">
      <c r="A1300" t="str">
        <f>COUNTIF($D$2:D1187,D1187)&amp;D1187</f>
        <v>0</v>
      </c>
      <c r="B1300" t="str">
        <f>COUNTIF($E$2:E1187,E1187)&amp;E1187</f>
        <v>0</v>
      </c>
    </row>
    <row r="1301" spans="1:2" x14ac:dyDescent="0.25">
      <c r="A1301" t="str">
        <f>COUNTIF($D$2:D1188,D1188)&amp;D1188</f>
        <v>0</v>
      </c>
      <c r="B1301" t="str">
        <f>COUNTIF($E$2:E1188,E1188)&amp;E1188</f>
        <v>0</v>
      </c>
    </row>
    <row r="1302" spans="1:2" x14ac:dyDescent="0.25">
      <c r="A1302" t="str">
        <f>COUNTIF($D$2:D1189,D1189)&amp;D1189</f>
        <v>0</v>
      </c>
      <c r="B1302" t="str">
        <f>COUNTIF($E$2:E1189,E1189)&amp;E1189</f>
        <v>0</v>
      </c>
    </row>
    <row r="1303" spans="1:2" x14ac:dyDescent="0.25">
      <c r="A1303" t="str">
        <f>COUNTIF($D$2:D1190,D1190)&amp;D1190</f>
        <v>0</v>
      </c>
      <c r="B1303" t="str">
        <f>COUNTIF($E$2:E1190,E1190)&amp;E1190</f>
        <v>0</v>
      </c>
    </row>
    <row r="1304" spans="1:2" x14ac:dyDescent="0.25">
      <c r="A1304" t="str">
        <f>COUNTIF($D$2:D1191,D1191)&amp;D1191</f>
        <v>0</v>
      </c>
      <c r="B1304" t="str">
        <f>COUNTIF($E$2:E1191,E1191)&amp;E1191</f>
        <v>0</v>
      </c>
    </row>
    <row r="1305" spans="1:2" x14ac:dyDescent="0.25">
      <c r="A1305" t="str">
        <f>COUNTIF($D$2:D1192,D1192)&amp;D1192</f>
        <v>0</v>
      </c>
      <c r="B1305" t="str">
        <f>COUNTIF($E$2:E1192,E1192)&amp;E1192</f>
        <v>0</v>
      </c>
    </row>
    <row r="1306" spans="1:2" x14ac:dyDescent="0.25">
      <c r="A1306" t="str">
        <f>COUNTIF($D$2:D1193,D1193)&amp;D1193</f>
        <v>0</v>
      </c>
      <c r="B1306" t="str">
        <f>COUNTIF($E$2:E1193,E1193)&amp;E1193</f>
        <v>0</v>
      </c>
    </row>
    <row r="1307" spans="1:2" x14ac:dyDescent="0.25">
      <c r="A1307" t="str">
        <f>COUNTIF($D$2:D1194,D1194)&amp;D1194</f>
        <v>0</v>
      </c>
      <c r="B1307" t="str">
        <f>COUNTIF($E$2:E1194,E1194)&amp;E1194</f>
        <v>0</v>
      </c>
    </row>
    <row r="1308" spans="1:2" x14ac:dyDescent="0.25">
      <c r="A1308" t="str">
        <f>COUNTIF($D$2:D1195,D1195)&amp;D1195</f>
        <v>0</v>
      </c>
      <c r="B1308" t="str">
        <f>COUNTIF($E$2:E1195,E1195)&amp;E1195</f>
        <v>0</v>
      </c>
    </row>
    <row r="1309" spans="1:2" x14ac:dyDescent="0.25">
      <c r="A1309" t="str">
        <f>COUNTIF($D$2:D1196,D1196)&amp;D1196</f>
        <v>0</v>
      </c>
      <c r="B1309" t="str">
        <f>COUNTIF($E$2:E1196,E1196)&amp;E1196</f>
        <v>0</v>
      </c>
    </row>
    <row r="1310" spans="1:2" x14ac:dyDescent="0.25">
      <c r="A1310" t="str">
        <f>COUNTIF($D$2:D1197,D1197)&amp;D1197</f>
        <v>0</v>
      </c>
      <c r="B1310" t="str">
        <f>COUNTIF($E$2:E1197,E1197)&amp;E1197</f>
        <v>0</v>
      </c>
    </row>
    <row r="1311" spans="1:2" x14ac:dyDescent="0.25">
      <c r="A1311" t="str">
        <f>COUNTIF($D$2:D1198,D1198)&amp;D1198</f>
        <v>0</v>
      </c>
      <c r="B1311" t="str">
        <f>COUNTIF($E$2:E1198,E1198)&amp;E1198</f>
        <v>0</v>
      </c>
    </row>
    <row r="1312" spans="1:2" x14ac:dyDescent="0.25">
      <c r="A1312" t="str">
        <f>COUNTIF($D$2:D1199,D1199)&amp;D1199</f>
        <v>0</v>
      </c>
      <c r="B1312" t="str">
        <f>COUNTIF($E$2:E1199,E1199)&amp;E1199</f>
        <v>0</v>
      </c>
    </row>
    <row r="1313" spans="1:2" x14ac:dyDescent="0.25">
      <c r="A1313" t="str">
        <f>COUNTIF($D$2:D1200,D1200)&amp;D1200</f>
        <v>0</v>
      </c>
      <c r="B1313" t="str">
        <f>COUNTIF($E$2:E1200,E1200)&amp;E1200</f>
        <v>0</v>
      </c>
    </row>
    <row r="1314" spans="1:2" x14ac:dyDescent="0.25">
      <c r="A1314" t="str">
        <f>COUNTIF($D$2:D1201,D1201)&amp;D1201</f>
        <v>0</v>
      </c>
      <c r="B1314" t="str">
        <f>COUNTIF($E$2:E1201,E1201)&amp;E1201</f>
        <v>0</v>
      </c>
    </row>
    <row r="1315" spans="1:2" x14ac:dyDescent="0.25">
      <c r="A1315" t="str">
        <f>COUNTIF($D$2:D1202,D1202)&amp;D1202</f>
        <v>0</v>
      </c>
      <c r="B1315" t="str">
        <f>COUNTIF($E$2:E1202,E1202)&amp;E1202</f>
        <v>0</v>
      </c>
    </row>
    <row r="1316" spans="1:2" x14ac:dyDescent="0.25">
      <c r="A1316" t="str">
        <f>COUNTIF($D$2:D1203,D1203)&amp;D1203</f>
        <v>0</v>
      </c>
      <c r="B1316" t="str">
        <f>COUNTIF($E$2:E1203,E1203)&amp;E1203</f>
        <v>0</v>
      </c>
    </row>
    <row r="1317" spans="1:2" x14ac:dyDescent="0.25">
      <c r="A1317" t="str">
        <f>COUNTIF($D$2:D1204,D1204)&amp;D1204</f>
        <v>0</v>
      </c>
      <c r="B1317" t="str">
        <f>COUNTIF($E$2:E1204,E1204)&amp;E1204</f>
        <v>0</v>
      </c>
    </row>
    <row r="1318" spans="1:2" x14ac:dyDescent="0.25">
      <c r="A1318" t="str">
        <f>COUNTIF($D$2:D1205,D1205)&amp;D1205</f>
        <v>0</v>
      </c>
      <c r="B1318" t="str">
        <f>COUNTIF($E$2:E1205,E1205)&amp;E1205</f>
        <v>0</v>
      </c>
    </row>
    <row r="1319" spans="1:2" x14ac:dyDescent="0.25">
      <c r="A1319" t="str">
        <f>COUNTIF($D$2:D1206,D1206)&amp;D1206</f>
        <v>0</v>
      </c>
      <c r="B1319" t="str">
        <f>COUNTIF($E$2:E1206,E1206)&amp;E1206</f>
        <v>0</v>
      </c>
    </row>
    <row r="1320" spans="1:2" x14ac:dyDescent="0.25">
      <c r="A1320" t="str">
        <f>COUNTIF($D$2:D1207,D1207)&amp;D1207</f>
        <v>0</v>
      </c>
      <c r="B1320" t="str">
        <f>COUNTIF($E$2:E1207,E1207)&amp;E1207</f>
        <v>0</v>
      </c>
    </row>
    <row r="1321" spans="1:2" x14ac:dyDescent="0.25">
      <c r="A1321" t="str">
        <f>COUNTIF($D$2:D1208,D1208)&amp;D1208</f>
        <v>0</v>
      </c>
      <c r="B1321" t="str">
        <f>COUNTIF($E$2:E1208,E1208)&amp;E1208</f>
        <v>0</v>
      </c>
    </row>
    <row r="1322" spans="1:2" x14ac:dyDescent="0.25">
      <c r="A1322" t="str">
        <f>COUNTIF($D$2:D1209,D1209)&amp;D1209</f>
        <v>0</v>
      </c>
      <c r="B1322" t="str">
        <f>COUNTIF($E$2:E1209,E1209)&amp;E1209</f>
        <v>0</v>
      </c>
    </row>
    <row r="1323" spans="1:2" x14ac:dyDescent="0.25">
      <c r="A1323" t="str">
        <f>COUNTIF($D$2:D1210,D1210)&amp;D1210</f>
        <v>0</v>
      </c>
      <c r="B1323" t="str">
        <f>COUNTIF($E$2:E1210,E1210)&amp;E1210</f>
        <v>0</v>
      </c>
    </row>
    <row r="1324" spans="1:2" x14ac:dyDescent="0.25">
      <c r="A1324" t="str">
        <f>COUNTIF($D$2:D1211,D1211)&amp;D1211</f>
        <v>0</v>
      </c>
      <c r="B1324" t="str">
        <f>COUNTIF($E$2:E1211,E1211)&amp;E1211</f>
        <v>0</v>
      </c>
    </row>
    <row r="1325" spans="1:2" x14ac:dyDescent="0.25">
      <c r="A1325" t="str">
        <f>COUNTIF($D$2:D1212,D1212)&amp;D1212</f>
        <v>0</v>
      </c>
      <c r="B1325" t="str">
        <f>COUNTIF($E$2:E1212,E1212)&amp;E1212</f>
        <v>0</v>
      </c>
    </row>
    <row r="1326" spans="1:2" x14ac:dyDescent="0.25">
      <c r="A1326" t="str">
        <f>COUNTIF($D$2:D1213,D1213)&amp;D1213</f>
        <v>0</v>
      </c>
      <c r="B1326" t="str">
        <f>COUNTIF($E$2:E1213,E1213)&amp;E1213</f>
        <v>0</v>
      </c>
    </row>
    <row r="1327" spans="1:2" x14ac:dyDescent="0.25">
      <c r="A1327" t="str">
        <f>COUNTIF($D$2:D1214,D1214)&amp;D1214</f>
        <v>0</v>
      </c>
      <c r="B1327" t="str">
        <f>COUNTIF($E$2:E1214,E1214)&amp;E1214</f>
        <v>0</v>
      </c>
    </row>
    <row r="1328" spans="1:2" x14ac:dyDescent="0.25">
      <c r="A1328" t="str">
        <f>COUNTIF($D$2:D1215,D1215)&amp;D1215</f>
        <v>0</v>
      </c>
      <c r="B1328" t="str">
        <f>COUNTIF($E$2:E1215,E1215)&amp;E1215</f>
        <v>0</v>
      </c>
    </row>
    <row r="1329" spans="1:2" x14ac:dyDescent="0.25">
      <c r="A1329" t="str">
        <f>COUNTIF($D$2:D1216,D1216)&amp;D1216</f>
        <v>0</v>
      </c>
      <c r="B1329" t="str">
        <f>COUNTIF($E$2:E1216,E1216)&amp;E1216</f>
        <v>0</v>
      </c>
    </row>
    <row r="1330" spans="1:2" x14ac:dyDescent="0.25">
      <c r="A1330" t="str">
        <f>COUNTIF($D$2:D1217,D1217)&amp;D1217</f>
        <v>0</v>
      </c>
      <c r="B1330" t="str">
        <f>COUNTIF($E$2:E1217,E1217)&amp;E1217</f>
        <v>0</v>
      </c>
    </row>
    <row r="1331" spans="1:2" x14ac:dyDescent="0.25">
      <c r="A1331" t="str">
        <f>COUNTIF($D$2:D1218,D1218)&amp;D1218</f>
        <v>0</v>
      </c>
      <c r="B1331" t="str">
        <f>COUNTIF($E$2:E1218,E1218)&amp;E1218</f>
        <v>0</v>
      </c>
    </row>
    <row r="1332" spans="1:2" x14ac:dyDescent="0.25">
      <c r="A1332" t="str">
        <f>COUNTIF($D$2:D1219,D1219)&amp;D1219</f>
        <v>0</v>
      </c>
      <c r="B1332" t="str">
        <f>COUNTIF($E$2:E1219,E1219)&amp;E1219</f>
        <v>0</v>
      </c>
    </row>
    <row r="1333" spans="1:2" x14ac:dyDescent="0.25">
      <c r="A1333" t="str">
        <f>COUNTIF($D$2:D1220,D1220)&amp;D1220</f>
        <v>0</v>
      </c>
      <c r="B1333" t="str">
        <f>COUNTIF($E$2:E1220,E1220)&amp;E1220</f>
        <v>0</v>
      </c>
    </row>
    <row r="1334" spans="1:2" x14ac:dyDescent="0.25">
      <c r="A1334" t="str">
        <f>COUNTIF($D$2:D1221,D1221)&amp;D1221</f>
        <v>0</v>
      </c>
      <c r="B1334" t="str">
        <f>COUNTIF($E$2:E1221,E1221)&amp;E1221</f>
        <v>0</v>
      </c>
    </row>
    <row r="1335" spans="1:2" x14ac:dyDescent="0.25">
      <c r="A1335" t="str">
        <f>COUNTIF($D$2:D1222,D1222)&amp;D1222</f>
        <v>0</v>
      </c>
      <c r="B1335" t="str">
        <f>COUNTIF($E$2:E1222,E1222)&amp;E1222</f>
        <v>0</v>
      </c>
    </row>
    <row r="1336" spans="1:2" x14ac:dyDescent="0.25">
      <c r="A1336" t="str">
        <f>COUNTIF($D$2:D1223,D1223)&amp;D1223</f>
        <v>0</v>
      </c>
      <c r="B1336" t="str">
        <f>COUNTIF($E$2:E1223,E1223)&amp;E1223</f>
        <v>0</v>
      </c>
    </row>
    <row r="1337" spans="1:2" x14ac:dyDescent="0.25">
      <c r="A1337" t="str">
        <f>COUNTIF($D$2:D1224,D1224)&amp;D1224</f>
        <v>0</v>
      </c>
      <c r="B1337" t="str">
        <f>COUNTIF($E$2:E1224,E1224)&amp;E1224</f>
        <v>0</v>
      </c>
    </row>
    <row r="1338" spans="1:2" x14ac:dyDescent="0.25">
      <c r="A1338" t="str">
        <f>COUNTIF($D$2:D1225,D1225)&amp;D1225</f>
        <v>0</v>
      </c>
      <c r="B1338" t="str">
        <f>COUNTIF($E$2:E1225,E1225)&amp;E1225</f>
        <v>0</v>
      </c>
    </row>
    <row r="1339" spans="1:2" x14ac:dyDescent="0.25">
      <c r="A1339" t="str">
        <f>COUNTIF($D$2:D1226,D1226)&amp;D1226</f>
        <v>0</v>
      </c>
      <c r="B1339" t="str">
        <f>COUNTIF($E$2:E1226,E1226)&amp;E1226</f>
        <v>0</v>
      </c>
    </row>
    <row r="1340" spans="1:2" x14ac:dyDescent="0.25">
      <c r="A1340" t="str">
        <f>COUNTIF($D$2:D1227,D1227)&amp;D1227</f>
        <v>0</v>
      </c>
      <c r="B1340" t="str">
        <f>COUNTIF($E$2:E1227,E1227)&amp;E1227</f>
        <v>0</v>
      </c>
    </row>
    <row r="1341" spans="1:2" x14ac:dyDescent="0.25">
      <c r="A1341" t="str">
        <f>COUNTIF($D$2:D1228,D1228)&amp;D1228</f>
        <v>0</v>
      </c>
      <c r="B1341" t="str">
        <f>COUNTIF($E$2:E1228,E1228)&amp;E1228</f>
        <v>0</v>
      </c>
    </row>
    <row r="1342" spans="1:2" x14ac:dyDescent="0.25">
      <c r="A1342" t="str">
        <f>COUNTIF($D$2:D1229,D1229)&amp;D1229</f>
        <v>0</v>
      </c>
      <c r="B1342" t="str">
        <f>COUNTIF($E$2:E1229,E1229)&amp;E1229</f>
        <v>0</v>
      </c>
    </row>
    <row r="1343" spans="1:2" x14ac:dyDescent="0.25">
      <c r="A1343" t="str">
        <f>COUNTIF($D$2:D1230,D1230)&amp;D1230</f>
        <v>0</v>
      </c>
      <c r="B1343" t="str">
        <f>COUNTIF($E$2:E1230,E1230)&amp;E1230</f>
        <v>0</v>
      </c>
    </row>
    <row r="1344" spans="1:2" x14ac:dyDescent="0.25">
      <c r="A1344" t="str">
        <f>COUNTIF($D$2:D1231,D1231)&amp;D1231</f>
        <v>0</v>
      </c>
      <c r="B1344" t="str">
        <f>COUNTIF($E$2:E1231,E1231)&amp;E1231</f>
        <v>0</v>
      </c>
    </row>
    <row r="1345" spans="1:2" x14ac:dyDescent="0.25">
      <c r="A1345" t="str">
        <f>COUNTIF($D$2:D1232,D1232)&amp;D1232</f>
        <v>0</v>
      </c>
      <c r="B1345" t="str">
        <f>COUNTIF($E$2:E1232,E1232)&amp;E1232</f>
        <v>0</v>
      </c>
    </row>
    <row r="1346" spans="1:2" x14ac:dyDescent="0.25">
      <c r="A1346" t="str">
        <f>COUNTIF($D$2:D1233,D1233)&amp;D1233</f>
        <v>0</v>
      </c>
      <c r="B1346" t="str">
        <f>COUNTIF($E$2:E1233,E1233)&amp;E1233</f>
        <v>0</v>
      </c>
    </row>
    <row r="1347" spans="1:2" x14ac:dyDescent="0.25">
      <c r="A1347" t="str">
        <f>COUNTIF($D$2:D1234,D1234)&amp;D1234</f>
        <v>0</v>
      </c>
      <c r="B1347" t="str">
        <f>COUNTIF($E$2:E1234,E1234)&amp;E1234</f>
        <v>0</v>
      </c>
    </row>
    <row r="1348" spans="1:2" x14ac:dyDescent="0.25">
      <c r="A1348" t="str">
        <f>COUNTIF($D$2:D1235,D1235)&amp;D1235</f>
        <v>0</v>
      </c>
      <c r="B1348" t="str">
        <f>COUNTIF($E$2:E1235,E1235)&amp;E1235</f>
        <v>0</v>
      </c>
    </row>
    <row r="1349" spans="1:2" x14ac:dyDescent="0.25">
      <c r="A1349" t="str">
        <f>COUNTIF($D$2:D1236,D1236)&amp;D1236</f>
        <v>0</v>
      </c>
      <c r="B1349" t="str">
        <f>COUNTIF($E$2:E1236,E1236)&amp;E1236</f>
        <v>0</v>
      </c>
    </row>
    <row r="1350" spans="1:2" x14ac:dyDescent="0.25">
      <c r="A1350" t="str">
        <f>COUNTIF($D$2:D1237,D1237)&amp;D1237</f>
        <v>0</v>
      </c>
      <c r="B1350" t="str">
        <f>COUNTIF($E$2:E1237,E1237)&amp;E1237</f>
        <v>0</v>
      </c>
    </row>
    <row r="1351" spans="1:2" x14ac:dyDescent="0.25">
      <c r="A1351" t="str">
        <f>COUNTIF($D$2:D1238,D1238)&amp;D1238</f>
        <v>0</v>
      </c>
      <c r="B1351" t="str">
        <f>COUNTIF($E$2:E1238,E1238)&amp;E1238</f>
        <v>0</v>
      </c>
    </row>
    <row r="1352" spans="1:2" x14ac:dyDescent="0.25">
      <c r="A1352" t="str">
        <f>COUNTIF($D$2:D1239,D1239)&amp;D1239</f>
        <v>0</v>
      </c>
      <c r="B1352" t="str">
        <f>COUNTIF($E$2:E1239,E1239)&amp;E1239</f>
        <v>0</v>
      </c>
    </row>
    <row r="1353" spans="1:2" x14ac:dyDescent="0.25">
      <c r="A1353" t="str">
        <f>COUNTIF($D$2:D1240,D1240)&amp;D1240</f>
        <v>0</v>
      </c>
      <c r="B1353" t="str">
        <f>COUNTIF($E$2:E1240,E1240)&amp;E1240</f>
        <v>0</v>
      </c>
    </row>
    <row r="1354" spans="1:2" x14ac:dyDescent="0.25">
      <c r="A1354" t="str">
        <f>COUNTIF($D$2:D1241,D1241)&amp;D1241</f>
        <v>0</v>
      </c>
      <c r="B1354" t="str">
        <f>COUNTIF($E$2:E1241,E1241)&amp;E1241</f>
        <v>0</v>
      </c>
    </row>
    <row r="1355" spans="1:2" x14ac:dyDescent="0.25">
      <c r="A1355" t="str">
        <f>COUNTIF($D$2:D1242,D1242)&amp;D1242</f>
        <v>0</v>
      </c>
      <c r="B1355" t="str">
        <f>COUNTIF($E$2:E1242,E1242)&amp;E1242</f>
        <v>0</v>
      </c>
    </row>
    <row r="1356" spans="1:2" x14ac:dyDescent="0.25">
      <c r="A1356" t="str">
        <f>COUNTIF($D$2:D1243,D1243)&amp;D1243</f>
        <v>0</v>
      </c>
      <c r="B1356" t="str">
        <f>COUNTIF($E$2:E1243,E1243)&amp;E1243</f>
        <v>0</v>
      </c>
    </row>
    <row r="1357" spans="1:2" x14ac:dyDescent="0.25">
      <c r="A1357" t="str">
        <f>COUNTIF($D$2:D1244,D1244)&amp;D1244</f>
        <v>0</v>
      </c>
      <c r="B1357" t="str">
        <f>COUNTIF($E$2:E1244,E1244)&amp;E1244</f>
        <v>0</v>
      </c>
    </row>
    <row r="1358" spans="1:2" x14ac:dyDescent="0.25">
      <c r="A1358" t="str">
        <f>COUNTIF($D$2:D1245,D1245)&amp;D1245</f>
        <v>0</v>
      </c>
      <c r="B1358" t="str">
        <f>COUNTIF($E$2:E1245,E1245)&amp;E1245</f>
        <v>0</v>
      </c>
    </row>
    <row r="1359" spans="1:2" x14ac:dyDescent="0.25">
      <c r="A1359" t="str">
        <f>COUNTIF($D$2:D1246,D1246)&amp;D1246</f>
        <v>0</v>
      </c>
      <c r="B1359" t="str">
        <f>COUNTIF($E$2:E1246,E1246)&amp;E1246</f>
        <v>0</v>
      </c>
    </row>
    <row r="1360" spans="1:2" x14ac:dyDescent="0.25">
      <c r="A1360" t="str">
        <f>COUNTIF($D$2:D1247,D1247)&amp;D1247</f>
        <v>0</v>
      </c>
      <c r="B1360" t="str">
        <f>COUNTIF($E$2:E1247,E1247)&amp;E1247</f>
        <v>0</v>
      </c>
    </row>
    <row r="1361" spans="1:2" x14ac:dyDescent="0.25">
      <c r="A1361" t="str">
        <f>COUNTIF($D$2:D1248,D1248)&amp;D1248</f>
        <v>0</v>
      </c>
      <c r="B1361" t="str">
        <f>COUNTIF($E$2:E1248,E1248)&amp;E1248</f>
        <v>0</v>
      </c>
    </row>
    <row r="1362" spans="1:2" x14ac:dyDescent="0.25">
      <c r="A1362" t="str">
        <f>COUNTIF($D$2:D1249,D1249)&amp;D1249</f>
        <v>0</v>
      </c>
      <c r="B1362" t="str">
        <f>COUNTIF($E$2:E1249,E1249)&amp;E1249</f>
        <v>0</v>
      </c>
    </row>
    <row r="1363" spans="1:2" x14ac:dyDescent="0.25">
      <c r="A1363" t="str">
        <f>COUNTIF($D$2:D1250,D1250)&amp;D1250</f>
        <v>0</v>
      </c>
      <c r="B1363" t="str">
        <f>COUNTIF($E$2:E1250,E1250)&amp;E1250</f>
        <v>0</v>
      </c>
    </row>
    <row r="1364" spans="1:2" x14ac:dyDescent="0.25">
      <c r="A1364" t="str">
        <f>COUNTIF($D$2:D1251,D1251)&amp;D1251</f>
        <v>0</v>
      </c>
      <c r="B1364" t="str">
        <f>COUNTIF($E$2:E1251,E1251)&amp;E1251</f>
        <v>0</v>
      </c>
    </row>
    <row r="1365" spans="1:2" x14ac:dyDescent="0.25">
      <c r="A1365" t="str">
        <f>COUNTIF($D$2:D1252,D1252)&amp;D1252</f>
        <v>0</v>
      </c>
      <c r="B1365" t="str">
        <f>COUNTIF($E$2:E1252,E1252)&amp;E1252</f>
        <v>0</v>
      </c>
    </row>
    <row r="1366" spans="1:2" x14ac:dyDescent="0.25">
      <c r="A1366" t="str">
        <f>COUNTIF($D$2:D1253,D1253)&amp;D1253</f>
        <v>0</v>
      </c>
      <c r="B1366" t="str">
        <f>COUNTIF($E$2:E1253,E1253)&amp;E1253</f>
        <v>0</v>
      </c>
    </row>
    <row r="1367" spans="1:2" x14ac:dyDescent="0.25">
      <c r="A1367" t="str">
        <f>COUNTIF($D$2:D1254,D1254)&amp;D1254</f>
        <v>0</v>
      </c>
      <c r="B1367" t="str">
        <f>COUNTIF($E$2:E1254,E1254)&amp;E1254</f>
        <v>0</v>
      </c>
    </row>
    <row r="1368" spans="1:2" x14ac:dyDescent="0.25">
      <c r="A1368" t="str">
        <f>COUNTIF($D$2:D1255,D1255)&amp;D1255</f>
        <v>0</v>
      </c>
      <c r="B1368" t="str">
        <f>COUNTIF($E$2:E1255,E1255)&amp;E1255</f>
        <v>0</v>
      </c>
    </row>
    <row r="1369" spans="1:2" x14ac:dyDescent="0.25">
      <c r="A1369" t="str">
        <f>COUNTIF($D$2:D1256,D1256)&amp;D1256</f>
        <v>0</v>
      </c>
      <c r="B1369" t="str">
        <f>COUNTIF($E$2:E1256,E1256)&amp;E1256</f>
        <v>0</v>
      </c>
    </row>
    <row r="1370" spans="1:2" x14ac:dyDescent="0.25">
      <c r="A1370" t="str">
        <f>COUNTIF($D$2:D1257,D1257)&amp;D1257</f>
        <v>0</v>
      </c>
      <c r="B1370" t="str">
        <f>COUNTIF($E$2:E1257,E1257)&amp;E1257</f>
        <v>0</v>
      </c>
    </row>
    <row r="1371" spans="1:2" x14ac:dyDescent="0.25">
      <c r="A1371" t="str">
        <f>COUNTIF($D$2:D1258,D1258)&amp;D1258</f>
        <v>0</v>
      </c>
      <c r="B1371" t="str">
        <f>COUNTIF($E$2:E1258,E1258)&amp;E1258</f>
        <v>0</v>
      </c>
    </row>
    <row r="1372" spans="1:2" x14ac:dyDescent="0.25">
      <c r="A1372" t="str">
        <f>COUNTIF($D$2:D1259,D1259)&amp;D1259</f>
        <v>0</v>
      </c>
      <c r="B1372" t="str">
        <f>COUNTIF($E$2:E1259,E1259)&amp;E1259</f>
        <v>0</v>
      </c>
    </row>
    <row r="1373" spans="1:2" x14ac:dyDescent="0.25">
      <c r="A1373" t="str">
        <f>COUNTIF($D$2:D1260,D1260)&amp;D1260</f>
        <v>0</v>
      </c>
      <c r="B1373" t="str">
        <f>COUNTIF($E$2:E1260,E1260)&amp;E1260</f>
        <v>0</v>
      </c>
    </row>
    <row r="1374" spans="1:2" x14ac:dyDescent="0.25">
      <c r="A1374" t="str">
        <f>COUNTIF($D$2:D1261,D1261)&amp;D1261</f>
        <v>0</v>
      </c>
      <c r="B1374" t="str">
        <f>COUNTIF($E$2:E1261,E1261)&amp;E1261</f>
        <v>0</v>
      </c>
    </row>
    <row r="1375" spans="1:2" x14ac:dyDescent="0.25">
      <c r="A1375" t="str">
        <f>COUNTIF($D$2:D1262,D1262)&amp;D1262</f>
        <v>0</v>
      </c>
      <c r="B1375" t="str">
        <f>COUNTIF($E$2:E1262,E1262)&amp;E1262</f>
        <v>0</v>
      </c>
    </row>
    <row r="1376" spans="1:2" x14ac:dyDescent="0.25">
      <c r="A1376" t="str">
        <f>COUNTIF($D$2:D1263,D1263)&amp;D1263</f>
        <v>0</v>
      </c>
      <c r="B1376" t="str">
        <f>COUNTIF($E$2:E1263,E1263)&amp;E1263</f>
        <v>0</v>
      </c>
    </row>
    <row r="1377" spans="1:2" x14ac:dyDescent="0.25">
      <c r="A1377" t="str">
        <f>COUNTIF($D$2:D1264,D1264)&amp;D1264</f>
        <v>0</v>
      </c>
      <c r="B1377" t="str">
        <f>COUNTIF($E$2:E1264,E1264)&amp;E1264</f>
        <v>0</v>
      </c>
    </row>
    <row r="1378" spans="1:2" x14ac:dyDescent="0.25">
      <c r="A1378" t="str">
        <f>COUNTIF($D$2:D1265,D1265)&amp;D1265</f>
        <v>0</v>
      </c>
      <c r="B1378" t="str">
        <f>COUNTIF($E$2:E1265,E1265)&amp;E1265</f>
        <v>0</v>
      </c>
    </row>
    <row r="1379" spans="1:2" x14ac:dyDescent="0.25">
      <c r="A1379" t="str">
        <f>COUNTIF($D$2:D1266,D1266)&amp;D1266</f>
        <v>0</v>
      </c>
      <c r="B1379" t="str">
        <f>COUNTIF($E$2:E1266,E1266)&amp;E1266</f>
        <v>0</v>
      </c>
    </row>
    <row r="1380" spans="1:2" x14ac:dyDescent="0.25">
      <c r="A1380" t="str">
        <f>COUNTIF($D$2:D1267,D1267)&amp;D1267</f>
        <v>0</v>
      </c>
      <c r="B1380" t="str">
        <f>COUNTIF($E$2:E1267,E1267)&amp;E1267</f>
        <v>0</v>
      </c>
    </row>
    <row r="1381" spans="1:2" x14ac:dyDescent="0.25">
      <c r="A1381" t="str">
        <f>COUNTIF($D$2:D1268,D1268)&amp;D1268</f>
        <v>0</v>
      </c>
      <c r="B1381" t="str">
        <f>COUNTIF($E$2:E1268,E1268)&amp;E1268</f>
        <v>0</v>
      </c>
    </row>
    <row r="1382" spans="1:2" x14ac:dyDescent="0.25">
      <c r="A1382" t="str">
        <f>COUNTIF($D$2:D1269,D1269)&amp;D1269</f>
        <v>0</v>
      </c>
      <c r="B1382" t="str">
        <f>COUNTIF($E$2:E1269,E1269)&amp;E1269</f>
        <v>0</v>
      </c>
    </row>
    <row r="1383" spans="1:2" x14ac:dyDescent="0.25">
      <c r="A1383" t="str">
        <f>COUNTIF($D$2:D1270,D1270)&amp;D1270</f>
        <v>0</v>
      </c>
      <c r="B1383" t="str">
        <f>COUNTIF($E$2:E1270,E1270)&amp;E1270</f>
        <v>0</v>
      </c>
    </row>
    <row r="1384" spans="1:2" x14ac:dyDescent="0.25">
      <c r="A1384" t="str">
        <f>COUNTIF($D$2:D1271,D1271)&amp;D1271</f>
        <v>0</v>
      </c>
      <c r="B1384" t="str">
        <f>COUNTIF($E$2:E1271,E1271)&amp;E1271</f>
        <v>0</v>
      </c>
    </row>
    <row r="1385" spans="1:2" x14ac:dyDescent="0.25">
      <c r="A1385" t="str">
        <f>COUNTIF($D$2:D1272,D1272)&amp;D1272</f>
        <v>0</v>
      </c>
      <c r="B1385" t="str">
        <f>COUNTIF($E$2:E1272,E1272)&amp;E1272</f>
        <v>0</v>
      </c>
    </row>
    <row r="1386" spans="1:2" x14ac:dyDescent="0.25">
      <c r="A1386" t="str">
        <f>COUNTIF($D$2:D1273,D1273)&amp;D1273</f>
        <v>0</v>
      </c>
      <c r="B1386" t="str">
        <f>COUNTIF($E$2:E1273,E1273)&amp;E1273</f>
        <v>0</v>
      </c>
    </row>
    <row r="1387" spans="1:2" x14ac:dyDescent="0.25">
      <c r="A1387" t="str">
        <f>COUNTIF($D$2:D1274,D1274)&amp;D1274</f>
        <v>0</v>
      </c>
      <c r="B1387" t="str">
        <f>COUNTIF($E$2:E1274,E1274)&amp;E1274</f>
        <v>0</v>
      </c>
    </row>
    <row r="1388" spans="1:2" x14ac:dyDescent="0.25">
      <c r="A1388" t="str">
        <f>COUNTIF($D$2:D1275,D1275)&amp;D1275</f>
        <v>0</v>
      </c>
      <c r="B1388" t="str">
        <f>COUNTIF($E$2:E1275,E1275)&amp;E1275</f>
        <v>0</v>
      </c>
    </row>
    <row r="1389" spans="1:2" x14ac:dyDescent="0.25">
      <c r="A1389" t="str">
        <f>COUNTIF($D$2:D1276,D1276)&amp;D1276</f>
        <v>0</v>
      </c>
      <c r="B1389" t="str">
        <f>COUNTIF($E$2:E1276,E1276)&amp;E1276</f>
        <v>0</v>
      </c>
    </row>
    <row r="1390" spans="1:2" x14ac:dyDescent="0.25">
      <c r="A1390" t="str">
        <f>COUNTIF($D$2:D1277,D1277)&amp;D1277</f>
        <v>0</v>
      </c>
      <c r="B1390" t="str">
        <f>COUNTIF($E$2:E1277,E1277)&amp;E1277</f>
        <v>0</v>
      </c>
    </row>
    <row r="1391" spans="1:2" x14ac:dyDescent="0.25">
      <c r="A1391" t="str">
        <f>COUNTIF($D$2:D1278,D1278)&amp;D1278</f>
        <v>0</v>
      </c>
      <c r="B1391" t="str">
        <f>COUNTIF($E$2:E1278,E1278)&amp;E1278</f>
        <v>0</v>
      </c>
    </row>
    <row r="1392" spans="1:2" x14ac:dyDescent="0.25">
      <c r="A1392" t="str">
        <f>COUNTIF($D$2:D1279,D1279)&amp;D1279</f>
        <v>0</v>
      </c>
      <c r="B1392" t="str">
        <f>COUNTIF($E$2:E1279,E1279)&amp;E1279</f>
        <v>0</v>
      </c>
    </row>
    <row r="1393" spans="1:2" x14ac:dyDescent="0.25">
      <c r="A1393" t="str">
        <f>COUNTIF($D$2:D1280,D1280)&amp;D1280</f>
        <v>0</v>
      </c>
      <c r="B1393" t="str">
        <f>COUNTIF($E$2:E1280,E1280)&amp;E1280</f>
        <v>0</v>
      </c>
    </row>
    <row r="1394" spans="1:2" x14ac:dyDescent="0.25">
      <c r="A1394" t="str">
        <f>COUNTIF($D$2:D1281,D1281)&amp;D1281</f>
        <v>0</v>
      </c>
      <c r="B1394" t="str">
        <f>COUNTIF($E$2:E1281,E1281)&amp;E1281</f>
        <v>0</v>
      </c>
    </row>
    <row r="1395" spans="1:2" x14ac:dyDescent="0.25">
      <c r="A1395" t="str">
        <f>COUNTIF($D$2:D1282,D1282)&amp;D1282</f>
        <v>0</v>
      </c>
      <c r="B1395" t="str">
        <f>COUNTIF($E$2:E1282,E1282)&amp;E1282</f>
        <v>0</v>
      </c>
    </row>
    <row r="1396" spans="1:2" x14ac:dyDescent="0.25">
      <c r="A1396" t="str">
        <f>COUNTIF($D$2:D1283,D1283)&amp;D1283</f>
        <v>0</v>
      </c>
      <c r="B1396" t="str">
        <f>COUNTIF($E$2:E1283,E1283)&amp;E1283</f>
        <v>0</v>
      </c>
    </row>
    <row r="1397" spans="1:2" x14ac:dyDescent="0.25">
      <c r="A1397" t="str">
        <f>COUNTIF($D$2:D1284,D1284)&amp;D1284</f>
        <v>0</v>
      </c>
      <c r="B1397" t="str">
        <f>COUNTIF($E$2:E1284,E1284)&amp;E1284</f>
        <v>0</v>
      </c>
    </row>
    <row r="1398" spans="1:2" x14ac:dyDescent="0.25">
      <c r="A1398" t="str">
        <f>COUNTIF($D$2:D1285,D1285)&amp;D1285</f>
        <v>0</v>
      </c>
      <c r="B1398" t="str">
        <f>COUNTIF($E$2:E1285,E1285)&amp;E1285</f>
        <v>0</v>
      </c>
    </row>
    <row r="1399" spans="1:2" x14ac:dyDescent="0.25">
      <c r="A1399" t="str">
        <f>COUNTIF($D$2:D1286,D1286)&amp;D1286</f>
        <v>0</v>
      </c>
      <c r="B1399" t="str">
        <f>COUNTIF($E$2:E1286,E1286)&amp;E1286</f>
        <v>0</v>
      </c>
    </row>
    <row r="1400" spans="1:2" x14ac:dyDescent="0.25">
      <c r="A1400" t="str">
        <f>COUNTIF($D$2:D1287,D1287)&amp;D1287</f>
        <v>0</v>
      </c>
      <c r="B1400" t="str">
        <f>COUNTIF($E$2:E1287,E1287)&amp;E1287</f>
        <v>0</v>
      </c>
    </row>
    <row r="1401" spans="1:2" x14ac:dyDescent="0.25">
      <c r="A1401" t="str">
        <f>COUNTIF($D$2:D1288,D1288)&amp;D1288</f>
        <v>0</v>
      </c>
      <c r="B1401" t="str">
        <f>COUNTIF($E$2:E1288,E1288)&amp;E1288</f>
        <v>0</v>
      </c>
    </row>
    <row r="1402" spans="1:2" x14ac:dyDescent="0.25">
      <c r="A1402" t="str">
        <f>COUNTIF($D$2:D1289,D1289)&amp;D1289</f>
        <v>0</v>
      </c>
      <c r="B1402" t="str">
        <f>COUNTIF($E$2:E1289,E1289)&amp;E1289</f>
        <v>0</v>
      </c>
    </row>
    <row r="1403" spans="1:2" x14ac:dyDescent="0.25">
      <c r="A1403" t="str">
        <f>COUNTIF($D$2:D1290,D1290)&amp;D1290</f>
        <v>0</v>
      </c>
      <c r="B1403" t="str">
        <f>COUNTIF($E$2:E1290,E1290)&amp;E1290</f>
        <v>0</v>
      </c>
    </row>
    <row r="1404" spans="1:2" x14ac:dyDescent="0.25">
      <c r="A1404" t="str">
        <f>COUNTIF($D$2:D1291,D1291)&amp;D1291</f>
        <v>0</v>
      </c>
      <c r="B1404" t="str">
        <f>COUNTIF($E$2:E1291,E1291)&amp;E1291</f>
        <v>0</v>
      </c>
    </row>
    <row r="1405" spans="1:2" x14ac:dyDescent="0.25">
      <c r="A1405" t="str">
        <f>COUNTIF($D$2:D1292,D1292)&amp;D1292</f>
        <v>0</v>
      </c>
      <c r="B1405" t="str">
        <f>COUNTIF($E$2:E1292,E1292)&amp;E1292</f>
        <v>0</v>
      </c>
    </row>
    <row r="1406" spans="1:2" x14ac:dyDescent="0.25">
      <c r="A1406" t="str">
        <f>COUNTIF($D$2:D1293,D1293)&amp;D1293</f>
        <v>0</v>
      </c>
      <c r="B1406" t="str">
        <f>COUNTIF($E$2:E1293,E1293)&amp;E1293</f>
        <v>0</v>
      </c>
    </row>
    <row r="1407" spans="1:2" x14ac:dyDescent="0.25">
      <c r="A1407" t="str">
        <f>COUNTIF($D$2:D1294,D1294)&amp;D1294</f>
        <v>0</v>
      </c>
      <c r="B1407" t="str">
        <f>COUNTIF($E$2:E1294,E1294)&amp;E1294</f>
        <v>0</v>
      </c>
    </row>
    <row r="1408" spans="1:2" x14ac:dyDescent="0.25">
      <c r="A1408" t="str">
        <f>COUNTIF($D$2:D1295,D1295)&amp;D1295</f>
        <v>0</v>
      </c>
      <c r="B1408" t="str">
        <f>COUNTIF($E$2:E1295,E1295)&amp;E1295</f>
        <v>0</v>
      </c>
    </row>
    <row r="1409" spans="1:2" x14ac:dyDescent="0.25">
      <c r="A1409" t="str">
        <f>COUNTIF($D$2:D1296,D1296)&amp;D1296</f>
        <v>0</v>
      </c>
      <c r="B1409" t="str">
        <f>COUNTIF($E$2:E1296,E1296)&amp;E1296</f>
        <v>0</v>
      </c>
    </row>
    <row r="1410" spans="1:2" x14ac:dyDescent="0.25">
      <c r="A1410" t="str">
        <f>COUNTIF($D$2:D1297,D1297)&amp;D1297</f>
        <v>0</v>
      </c>
      <c r="B1410" t="str">
        <f>COUNTIF($E$2:E1297,E1297)&amp;E1297</f>
        <v>0</v>
      </c>
    </row>
    <row r="1411" spans="1:2" x14ac:dyDescent="0.25">
      <c r="A1411" t="str">
        <f>COUNTIF($D$2:D1298,D1298)&amp;D1298</f>
        <v>0</v>
      </c>
      <c r="B1411" t="str">
        <f>COUNTIF($E$2:E1298,E1298)&amp;E1298</f>
        <v>0</v>
      </c>
    </row>
    <row r="1412" spans="1:2" x14ac:dyDescent="0.25">
      <c r="A1412" t="str">
        <f>COUNTIF($D$2:D1299,D1299)&amp;D1299</f>
        <v>0</v>
      </c>
      <c r="B1412" t="str">
        <f>COUNTIF($E$2:E1299,E1299)&amp;E1299</f>
        <v>0</v>
      </c>
    </row>
    <row r="1413" spans="1:2" x14ac:dyDescent="0.25">
      <c r="A1413" t="str">
        <f>COUNTIF($D$2:D1300,D1300)&amp;D1300</f>
        <v>0</v>
      </c>
      <c r="B1413" t="str">
        <f>COUNTIF($E$2:E1300,E1300)&amp;E1300</f>
        <v>0</v>
      </c>
    </row>
    <row r="1414" spans="1:2" x14ac:dyDescent="0.25">
      <c r="A1414" t="str">
        <f>COUNTIF($D$2:D1301,D1301)&amp;D1301</f>
        <v>0</v>
      </c>
      <c r="B1414" t="str">
        <f>COUNTIF($E$2:E1301,E1301)&amp;E1301</f>
        <v>0</v>
      </c>
    </row>
    <row r="1415" spans="1:2" x14ac:dyDescent="0.25">
      <c r="A1415" t="str">
        <f>COUNTIF($D$2:D1302,D1302)&amp;D1302</f>
        <v>0</v>
      </c>
      <c r="B1415" t="str">
        <f>COUNTIF($E$2:E1302,E1302)&amp;E1302</f>
        <v>0</v>
      </c>
    </row>
    <row r="1416" spans="1:2" x14ac:dyDescent="0.25">
      <c r="A1416" t="str">
        <f>COUNTIF($D$2:D1303,D1303)&amp;D1303</f>
        <v>0</v>
      </c>
      <c r="B1416" t="str">
        <f>COUNTIF($E$2:E1303,E1303)&amp;E1303</f>
        <v>0</v>
      </c>
    </row>
    <row r="1417" spans="1:2" x14ac:dyDescent="0.25">
      <c r="A1417" t="str">
        <f>COUNTIF($D$2:D1304,D1304)&amp;D1304</f>
        <v>0</v>
      </c>
      <c r="B1417" t="str">
        <f>COUNTIF($E$2:E1304,E1304)&amp;E1304</f>
        <v>0</v>
      </c>
    </row>
    <row r="1418" spans="1:2" x14ac:dyDescent="0.25">
      <c r="A1418" t="str">
        <f>COUNTIF($D$2:D1305,D1305)&amp;D1305</f>
        <v>0</v>
      </c>
      <c r="B1418" t="str">
        <f>COUNTIF($E$2:E1305,E1305)&amp;E1305</f>
        <v>0</v>
      </c>
    </row>
    <row r="1419" spans="1:2" x14ac:dyDescent="0.25">
      <c r="A1419" t="str">
        <f>COUNTIF($D$2:D1306,D1306)&amp;D1306</f>
        <v>0</v>
      </c>
      <c r="B1419" t="str">
        <f>COUNTIF($E$2:E1306,E1306)&amp;E1306</f>
        <v>0</v>
      </c>
    </row>
    <row r="1420" spans="1:2" x14ac:dyDescent="0.25">
      <c r="A1420" t="str">
        <f>COUNTIF($D$2:D1307,D1307)&amp;D1307</f>
        <v>0</v>
      </c>
      <c r="B1420" t="str">
        <f>COUNTIF($E$2:E1307,E1307)&amp;E1307</f>
        <v>0</v>
      </c>
    </row>
    <row r="1421" spans="1:2" x14ac:dyDescent="0.25">
      <c r="A1421" t="str">
        <f>COUNTIF($D$2:D1308,D1308)&amp;D1308</f>
        <v>0</v>
      </c>
      <c r="B1421" t="str">
        <f>COUNTIF($E$2:E1308,E1308)&amp;E1308</f>
        <v>0</v>
      </c>
    </row>
    <row r="1422" spans="1:2" x14ac:dyDescent="0.25">
      <c r="A1422" t="str">
        <f>COUNTIF($D$2:D1309,D1309)&amp;D1309</f>
        <v>0</v>
      </c>
      <c r="B1422" t="str">
        <f>COUNTIF($E$2:E1309,E1309)&amp;E1309</f>
        <v>0</v>
      </c>
    </row>
    <row r="1423" spans="1:2" x14ac:dyDescent="0.25">
      <c r="A1423" t="str">
        <f>COUNTIF($D$2:D1310,D1310)&amp;D1310</f>
        <v>0</v>
      </c>
      <c r="B1423" t="str">
        <f>COUNTIF($E$2:E1310,E1310)&amp;E1310</f>
        <v>0</v>
      </c>
    </row>
    <row r="1424" spans="1:2" x14ac:dyDescent="0.25">
      <c r="A1424" t="str">
        <f>COUNTIF($D$2:D1311,D1311)&amp;D1311</f>
        <v>0</v>
      </c>
      <c r="B1424" t="str">
        <f>COUNTIF($E$2:E1311,E1311)&amp;E1311</f>
        <v>0</v>
      </c>
    </row>
    <row r="1425" spans="1:2" x14ac:dyDescent="0.25">
      <c r="A1425" t="str">
        <f>COUNTIF($D$2:D1312,D1312)&amp;D1312</f>
        <v>0</v>
      </c>
      <c r="B1425" t="str">
        <f>COUNTIF($E$2:E1312,E1312)&amp;E1312</f>
        <v>0</v>
      </c>
    </row>
    <row r="1426" spans="1:2" x14ac:dyDescent="0.25">
      <c r="A1426" t="str">
        <f>COUNTIF($D$2:D1313,D1313)&amp;D1313</f>
        <v>0</v>
      </c>
      <c r="B1426" t="str">
        <f>COUNTIF($E$2:E1313,E1313)&amp;E1313</f>
        <v>0</v>
      </c>
    </row>
    <row r="1427" spans="1:2" x14ac:dyDescent="0.25">
      <c r="A1427" t="str">
        <f>COUNTIF($D$2:D1314,D1314)&amp;D1314</f>
        <v>0</v>
      </c>
      <c r="B1427" t="str">
        <f>COUNTIF($E$2:E1314,E1314)&amp;E1314</f>
        <v>0</v>
      </c>
    </row>
    <row r="1428" spans="1:2" x14ac:dyDescent="0.25">
      <c r="A1428" t="str">
        <f>COUNTIF($D$2:D1315,D1315)&amp;D1315</f>
        <v>0</v>
      </c>
      <c r="B1428" t="str">
        <f>COUNTIF($E$2:E1315,E1315)&amp;E1315</f>
        <v>0</v>
      </c>
    </row>
    <row r="1429" spans="1:2" x14ac:dyDescent="0.25">
      <c r="A1429" t="str">
        <f>COUNTIF($D$2:D1316,D1316)&amp;D1316</f>
        <v>0</v>
      </c>
      <c r="B1429" t="str">
        <f>COUNTIF($E$2:E1316,E1316)&amp;E1316</f>
        <v>0</v>
      </c>
    </row>
    <row r="1430" spans="1:2" x14ac:dyDescent="0.25">
      <c r="A1430" t="str">
        <f>COUNTIF($D$2:D1317,D1317)&amp;D1317</f>
        <v>0</v>
      </c>
      <c r="B1430" t="str">
        <f>COUNTIF($E$2:E1317,E1317)&amp;E1317</f>
        <v>0</v>
      </c>
    </row>
    <row r="1431" spans="1:2" x14ac:dyDescent="0.25">
      <c r="A1431" t="str">
        <f>COUNTIF($D$2:D1318,D1318)&amp;D1318</f>
        <v>0</v>
      </c>
      <c r="B1431" t="str">
        <f>COUNTIF($E$2:E1318,E1318)&amp;E1318</f>
        <v>0</v>
      </c>
    </row>
    <row r="1432" spans="1:2" x14ac:dyDescent="0.25">
      <c r="A1432" t="str">
        <f>COUNTIF($D$2:D1319,D1319)&amp;D1319</f>
        <v>0</v>
      </c>
      <c r="B1432" t="str">
        <f>COUNTIF($E$2:E1319,E1319)&amp;E1319</f>
        <v>0</v>
      </c>
    </row>
    <row r="1433" spans="1:2" x14ac:dyDescent="0.25">
      <c r="A1433" t="str">
        <f>COUNTIF($D$2:D1320,D1320)&amp;D1320</f>
        <v>0</v>
      </c>
      <c r="B1433" t="str">
        <f>COUNTIF($E$2:E1320,E1320)&amp;E1320</f>
        <v>0</v>
      </c>
    </row>
    <row r="1434" spans="1:2" x14ac:dyDescent="0.25">
      <c r="A1434" t="str">
        <f>COUNTIF($D$2:D1321,D1321)&amp;D1321</f>
        <v>0</v>
      </c>
      <c r="B1434" t="str">
        <f>COUNTIF($E$2:E1321,E1321)&amp;E1321</f>
        <v>0</v>
      </c>
    </row>
    <row r="1435" spans="1:2" x14ac:dyDescent="0.25">
      <c r="A1435" t="str">
        <f>COUNTIF($D$2:D1322,D1322)&amp;D1322</f>
        <v>0</v>
      </c>
      <c r="B1435" t="str">
        <f>COUNTIF($E$2:E1322,E1322)&amp;E1322</f>
        <v>0</v>
      </c>
    </row>
    <row r="1436" spans="1:2" x14ac:dyDescent="0.25">
      <c r="A1436" t="str">
        <f>COUNTIF($D$2:D1323,D1323)&amp;D1323</f>
        <v>0</v>
      </c>
      <c r="B1436" t="str">
        <f>COUNTIF($E$2:E1323,E1323)&amp;E1323</f>
        <v>0</v>
      </c>
    </row>
    <row r="1437" spans="1:2" x14ac:dyDescent="0.25">
      <c r="A1437" t="str">
        <f>COUNTIF($D$2:D1324,D1324)&amp;D1324</f>
        <v>0</v>
      </c>
      <c r="B1437" t="str">
        <f>COUNTIF($E$2:E1324,E1324)&amp;E1324</f>
        <v>0</v>
      </c>
    </row>
    <row r="1438" spans="1:2" x14ac:dyDescent="0.25">
      <c r="A1438" t="str">
        <f>COUNTIF($D$2:D1325,D1325)&amp;D1325</f>
        <v>0</v>
      </c>
      <c r="B1438" t="str">
        <f>COUNTIF($E$2:E1325,E1325)&amp;E1325</f>
        <v>0</v>
      </c>
    </row>
    <row r="1439" spans="1:2" x14ac:dyDescent="0.25">
      <c r="A1439" t="str">
        <f>COUNTIF($D$2:D1326,D1326)&amp;D1326</f>
        <v>0</v>
      </c>
      <c r="B1439" t="str">
        <f>COUNTIF($E$2:E1326,E1326)&amp;E1326</f>
        <v>0</v>
      </c>
    </row>
    <row r="1440" spans="1:2" x14ac:dyDescent="0.25">
      <c r="A1440" t="str">
        <f>COUNTIF($D$2:D1327,D1327)&amp;D1327</f>
        <v>0</v>
      </c>
      <c r="B1440" t="str">
        <f>COUNTIF($E$2:E1327,E1327)&amp;E1327</f>
        <v>0</v>
      </c>
    </row>
    <row r="1441" spans="1:2" x14ac:dyDescent="0.25">
      <c r="A1441" t="str">
        <f>COUNTIF($D$2:D1328,D1328)&amp;D1328</f>
        <v>0</v>
      </c>
      <c r="B1441" t="str">
        <f>COUNTIF($E$2:E1328,E1328)&amp;E1328</f>
        <v>0</v>
      </c>
    </row>
    <row r="1442" spans="1:2" x14ac:dyDescent="0.25">
      <c r="A1442" t="str">
        <f>COUNTIF($D$2:D1329,D1329)&amp;D1329</f>
        <v>0</v>
      </c>
      <c r="B1442" t="str">
        <f>COUNTIF($E$2:E1329,E1329)&amp;E1329</f>
        <v>0</v>
      </c>
    </row>
    <row r="1443" spans="1:2" x14ac:dyDescent="0.25">
      <c r="A1443" t="str">
        <f>COUNTIF($D$2:D1330,D1330)&amp;D1330</f>
        <v>0</v>
      </c>
      <c r="B1443" t="str">
        <f>COUNTIF($E$2:E1330,E1330)&amp;E1330</f>
        <v>0</v>
      </c>
    </row>
    <row r="1444" spans="1:2" x14ac:dyDescent="0.25">
      <c r="A1444" t="str">
        <f>COUNTIF($D$2:D1331,D1331)&amp;D1331</f>
        <v>0</v>
      </c>
      <c r="B1444" t="str">
        <f>COUNTIF($E$2:E1331,E1331)&amp;E1331</f>
        <v>0</v>
      </c>
    </row>
    <row r="1445" spans="1:2" x14ac:dyDescent="0.25">
      <c r="A1445" t="str">
        <f>COUNTIF($D$2:D1332,D1332)&amp;D1332</f>
        <v>0</v>
      </c>
      <c r="B1445" t="str">
        <f>COUNTIF($E$2:E1332,E1332)&amp;E1332</f>
        <v>0</v>
      </c>
    </row>
    <row r="1446" spans="1:2" x14ac:dyDescent="0.25">
      <c r="A1446" t="str">
        <f>COUNTIF($D$2:D1333,D1333)&amp;D1333</f>
        <v>0</v>
      </c>
      <c r="B1446" t="str">
        <f>COUNTIF($E$2:E1333,E1333)&amp;E1333</f>
        <v>0</v>
      </c>
    </row>
    <row r="1447" spans="1:2" x14ac:dyDescent="0.25">
      <c r="A1447" t="str">
        <f>COUNTIF($D$2:D1334,D1334)&amp;D1334</f>
        <v>0</v>
      </c>
      <c r="B1447" t="str">
        <f>COUNTIF($E$2:E1334,E1334)&amp;E1334</f>
        <v>0</v>
      </c>
    </row>
    <row r="1448" spans="1:2" x14ac:dyDescent="0.25">
      <c r="A1448" t="str">
        <f>COUNTIF($D$2:D1335,D1335)&amp;D1335</f>
        <v>0</v>
      </c>
      <c r="B1448" t="str">
        <f>COUNTIF($E$2:E1335,E1335)&amp;E1335</f>
        <v>0</v>
      </c>
    </row>
    <row r="1449" spans="1:2" x14ac:dyDescent="0.25">
      <c r="A1449" t="str">
        <f>COUNTIF($D$2:D1336,D1336)&amp;D1336</f>
        <v>0</v>
      </c>
      <c r="B1449" t="str">
        <f>COUNTIF($E$2:E1336,E1336)&amp;E1336</f>
        <v>0</v>
      </c>
    </row>
    <row r="1450" spans="1:2" x14ac:dyDescent="0.25">
      <c r="A1450" t="str">
        <f>COUNTIF($D$2:D1337,D1337)&amp;D1337</f>
        <v>0</v>
      </c>
      <c r="B1450" t="str">
        <f>COUNTIF($E$2:E1337,E1337)&amp;E1337</f>
        <v>0</v>
      </c>
    </row>
    <row r="1451" spans="1:2" x14ac:dyDescent="0.25">
      <c r="A1451" t="str">
        <f>COUNTIF($D$2:D1338,D1338)&amp;D1338</f>
        <v>0</v>
      </c>
      <c r="B1451" t="str">
        <f>COUNTIF($E$2:E1338,E1338)&amp;E1338</f>
        <v>0</v>
      </c>
    </row>
    <row r="1452" spans="1:2" x14ac:dyDescent="0.25">
      <c r="A1452" t="str">
        <f>COUNTIF($D$2:D1339,D1339)&amp;D1339</f>
        <v>0</v>
      </c>
      <c r="B1452" t="str">
        <f>COUNTIF($E$2:E1339,E1339)&amp;E1339</f>
        <v>0</v>
      </c>
    </row>
    <row r="1453" spans="1:2" x14ac:dyDescent="0.25">
      <c r="A1453" t="str">
        <f>COUNTIF($D$2:D1340,D1340)&amp;D1340</f>
        <v>0</v>
      </c>
      <c r="B1453" t="str">
        <f>COUNTIF($E$2:E1340,E1340)&amp;E1340</f>
        <v>0</v>
      </c>
    </row>
    <row r="1454" spans="1:2" x14ac:dyDescent="0.25">
      <c r="A1454" t="str">
        <f>COUNTIF($D$2:D1341,D1341)&amp;D1341</f>
        <v>0</v>
      </c>
      <c r="B1454" t="str">
        <f>COUNTIF($E$2:E1341,E1341)&amp;E1341</f>
        <v>0</v>
      </c>
    </row>
    <row r="1455" spans="1:2" x14ac:dyDescent="0.25">
      <c r="A1455" t="str">
        <f>COUNTIF($D$2:D1342,D1342)&amp;D1342</f>
        <v>0</v>
      </c>
      <c r="B1455" t="str">
        <f>COUNTIF($E$2:E1342,E1342)&amp;E1342</f>
        <v>0</v>
      </c>
    </row>
    <row r="1456" spans="1:2" x14ac:dyDescent="0.25">
      <c r="A1456" t="str">
        <f>COUNTIF($D$2:D1343,D1343)&amp;D1343</f>
        <v>0</v>
      </c>
      <c r="B1456" t="str">
        <f>COUNTIF($E$2:E1343,E1343)&amp;E1343</f>
        <v>0</v>
      </c>
    </row>
    <row r="1457" spans="1:2" x14ac:dyDescent="0.25">
      <c r="A1457" t="str">
        <f>COUNTIF($D$2:D1344,D1344)&amp;D1344</f>
        <v>0</v>
      </c>
      <c r="B1457" t="str">
        <f>COUNTIF($E$2:E1344,E1344)&amp;E1344</f>
        <v>0</v>
      </c>
    </row>
    <row r="1458" spans="1:2" x14ac:dyDescent="0.25">
      <c r="A1458" t="str">
        <f>COUNTIF($D$2:D1345,D1345)&amp;D1345</f>
        <v>0</v>
      </c>
      <c r="B1458" t="str">
        <f>COUNTIF($E$2:E1345,E1345)&amp;E1345</f>
        <v>0</v>
      </c>
    </row>
    <row r="1459" spans="1:2" x14ac:dyDescent="0.25">
      <c r="A1459" t="str">
        <f>COUNTIF($D$2:D1346,D1346)&amp;D1346</f>
        <v>0</v>
      </c>
      <c r="B1459" t="str">
        <f>COUNTIF($E$2:E1346,E1346)&amp;E1346</f>
        <v>0</v>
      </c>
    </row>
    <row r="1460" spans="1:2" x14ac:dyDescent="0.25">
      <c r="A1460" t="str">
        <f>COUNTIF($D$2:D1347,D1347)&amp;D1347</f>
        <v>0</v>
      </c>
      <c r="B1460" t="str">
        <f>COUNTIF($E$2:E1347,E1347)&amp;E1347</f>
        <v>0</v>
      </c>
    </row>
    <row r="1461" spans="1:2" x14ac:dyDescent="0.25">
      <c r="A1461" t="str">
        <f>COUNTIF($D$2:D1348,D1348)&amp;D1348</f>
        <v>0</v>
      </c>
      <c r="B1461" t="str">
        <f>COUNTIF($E$2:E1348,E1348)&amp;E1348</f>
        <v>0</v>
      </c>
    </row>
    <row r="1462" spans="1:2" x14ac:dyDescent="0.25">
      <c r="A1462" t="str">
        <f>COUNTIF($D$2:D1349,D1349)&amp;D1349</f>
        <v>0</v>
      </c>
      <c r="B1462" t="str">
        <f>COUNTIF($E$2:E1349,E1349)&amp;E1349</f>
        <v>0</v>
      </c>
    </row>
    <row r="1463" spans="1:2" x14ac:dyDescent="0.25">
      <c r="A1463" t="str">
        <f>COUNTIF($D$2:D1350,D1350)&amp;D1350</f>
        <v>0</v>
      </c>
      <c r="B1463" t="str">
        <f>COUNTIF($E$2:E1350,E1350)&amp;E1350</f>
        <v>0</v>
      </c>
    </row>
    <row r="1464" spans="1:2" x14ac:dyDescent="0.25">
      <c r="A1464" t="str">
        <f>COUNTIF($D$2:D1351,D1351)&amp;D1351</f>
        <v>0</v>
      </c>
      <c r="B1464" t="str">
        <f>COUNTIF($E$2:E1351,E1351)&amp;E1351</f>
        <v>0</v>
      </c>
    </row>
    <row r="1465" spans="1:2" x14ac:dyDescent="0.25">
      <c r="A1465" t="str">
        <f>COUNTIF($D$2:D1352,D1352)&amp;D1352</f>
        <v>0</v>
      </c>
      <c r="B1465" t="str">
        <f>COUNTIF($E$2:E1352,E1352)&amp;E1352</f>
        <v>0</v>
      </c>
    </row>
    <row r="1466" spans="1:2" x14ac:dyDescent="0.25">
      <c r="A1466" t="str">
        <f>COUNTIF($D$2:D1353,D1353)&amp;D1353</f>
        <v>0</v>
      </c>
      <c r="B1466" t="str">
        <f>COUNTIF($E$2:E1353,E1353)&amp;E1353</f>
        <v>0</v>
      </c>
    </row>
    <row r="1467" spans="1:2" x14ac:dyDescent="0.25">
      <c r="A1467" t="str">
        <f>COUNTIF($D$2:D1354,D1354)&amp;D1354</f>
        <v>0</v>
      </c>
      <c r="B1467" t="str">
        <f>COUNTIF($E$2:E1354,E1354)&amp;E1354</f>
        <v>0</v>
      </c>
    </row>
    <row r="1468" spans="1:2" x14ac:dyDescent="0.25">
      <c r="A1468" t="str">
        <f>COUNTIF($D$2:D1355,D1355)&amp;D1355</f>
        <v>0</v>
      </c>
      <c r="B1468" t="str">
        <f>COUNTIF($E$2:E1355,E1355)&amp;E1355</f>
        <v>0</v>
      </c>
    </row>
    <row r="1469" spans="1:2" x14ac:dyDescent="0.25">
      <c r="A1469" t="str">
        <f>COUNTIF($D$2:D1356,D1356)&amp;D1356</f>
        <v>0</v>
      </c>
      <c r="B1469" t="str">
        <f>COUNTIF($E$2:E1356,E1356)&amp;E1356</f>
        <v>0</v>
      </c>
    </row>
    <row r="1470" spans="1:2" x14ac:dyDescent="0.25">
      <c r="A1470" t="str">
        <f>COUNTIF($D$2:D1357,D1357)&amp;D1357</f>
        <v>0</v>
      </c>
      <c r="B1470" t="str">
        <f>COUNTIF($E$2:E1357,E1357)&amp;E1357</f>
        <v>0</v>
      </c>
    </row>
    <row r="1471" spans="1:2" x14ac:dyDescent="0.25">
      <c r="A1471" t="str">
        <f>COUNTIF($D$2:D1358,D1358)&amp;D1358</f>
        <v>0</v>
      </c>
      <c r="B1471" t="str">
        <f>COUNTIF($E$2:E1358,E1358)&amp;E1358</f>
        <v>0</v>
      </c>
    </row>
    <row r="1472" spans="1:2" x14ac:dyDescent="0.25">
      <c r="A1472" t="str">
        <f>COUNTIF($D$2:D1359,D1359)&amp;D1359</f>
        <v>0</v>
      </c>
      <c r="B1472" t="str">
        <f>COUNTIF($E$2:E1359,E1359)&amp;E1359</f>
        <v>0</v>
      </c>
    </row>
    <row r="1473" spans="1:2" x14ac:dyDescent="0.25">
      <c r="A1473" t="str">
        <f>COUNTIF($D$2:D1360,D1360)&amp;D1360</f>
        <v>0</v>
      </c>
      <c r="B1473" t="str">
        <f>COUNTIF($E$2:E1360,E1360)&amp;E1360</f>
        <v>0</v>
      </c>
    </row>
    <row r="1474" spans="1:2" x14ac:dyDescent="0.25">
      <c r="A1474" t="str">
        <f>COUNTIF($D$2:D1361,D1361)&amp;D1361</f>
        <v>0</v>
      </c>
      <c r="B1474" t="str">
        <f>COUNTIF($E$2:E1361,E1361)&amp;E1361</f>
        <v>0</v>
      </c>
    </row>
    <row r="1475" spans="1:2" x14ac:dyDescent="0.25">
      <c r="A1475" t="str">
        <f>COUNTIF($D$2:D1362,D1362)&amp;D1362</f>
        <v>0</v>
      </c>
      <c r="B1475" t="str">
        <f>COUNTIF($E$2:E1362,E1362)&amp;E1362</f>
        <v>0</v>
      </c>
    </row>
    <row r="1476" spans="1:2" x14ac:dyDescent="0.25">
      <c r="A1476" t="str">
        <f>COUNTIF($D$2:D1363,D1363)&amp;D1363</f>
        <v>0</v>
      </c>
      <c r="B1476" t="str">
        <f>COUNTIF($E$2:E1363,E1363)&amp;E1363</f>
        <v>0</v>
      </c>
    </row>
    <row r="1477" spans="1:2" x14ac:dyDescent="0.25">
      <c r="A1477" t="str">
        <f>COUNTIF($D$2:D1364,D1364)&amp;D1364</f>
        <v>0</v>
      </c>
      <c r="B1477" t="str">
        <f>COUNTIF($E$2:E1364,E1364)&amp;E1364</f>
        <v>0</v>
      </c>
    </row>
    <row r="1478" spans="1:2" x14ac:dyDescent="0.25">
      <c r="A1478" t="str">
        <f>COUNTIF($D$2:D1365,D1365)&amp;D1365</f>
        <v>0</v>
      </c>
      <c r="B1478" t="str">
        <f>COUNTIF($E$2:E1365,E1365)&amp;E1365</f>
        <v>0</v>
      </c>
    </row>
    <row r="1479" spans="1:2" x14ac:dyDescent="0.25">
      <c r="A1479" t="str">
        <f>COUNTIF($D$2:D1366,D1366)&amp;D1366</f>
        <v>0</v>
      </c>
      <c r="B1479" t="str">
        <f>COUNTIF($E$2:E1366,E1366)&amp;E1366</f>
        <v>0</v>
      </c>
    </row>
    <row r="1480" spans="1:2" x14ac:dyDescent="0.25">
      <c r="A1480" t="str">
        <f>COUNTIF($D$2:D1367,D1367)&amp;D1367</f>
        <v>0</v>
      </c>
      <c r="B1480" t="str">
        <f>COUNTIF($E$2:E1367,E1367)&amp;E1367</f>
        <v>0</v>
      </c>
    </row>
    <row r="1481" spans="1:2" x14ac:dyDescent="0.25">
      <c r="A1481" t="str">
        <f>COUNTIF($D$2:D1368,D1368)&amp;D1368</f>
        <v>0</v>
      </c>
      <c r="B1481" t="str">
        <f>COUNTIF($E$2:E1368,E1368)&amp;E1368</f>
        <v>0</v>
      </c>
    </row>
    <row r="1482" spans="1:2" x14ac:dyDescent="0.25">
      <c r="A1482" t="str">
        <f>COUNTIF($D$2:D1369,D1369)&amp;D1369</f>
        <v>0</v>
      </c>
      <c r="B1482" t="str">
        <f>COUNTIF($E$2:E1369,E1369)&amp;E1369</f>
        <v>0</v>
      </c>
    </row>
    <row r="1483" spans="1:2" x14ac:dyDescent="0.25">
      <c r="A1483" t="str">
        <f>COUNTIF($D$2:D1370,D1370)&amp;D1370</f>
        <v>0</v>
      </c>
      <c r="B1483" t="str">
        <f>COUNTIF($E$2:E1370,E1370)&amp;E1370</f>
        <v>0</v>
      </c>
    </row>
    <row r="1484" spans="1:2" x14ac:dyDescent="0.25">
      <c r="A1484" t="str">
        <f>COUNTIF($D$2:D1371,D1371)&amp;D1371</f>
        <v>0</v>
      </c>
      <c r="B1484" t="str">
        <f>COUNTIF($E$2:E1371,E1371)&amp;E1371</f>
        <v>0</v>
      </c>
    </row>
    <row r="1485" spans="1:2" x14ac:dyDescent="0.25">
      <c r="A1485" t="str">
        <f>COUNTIF($D$2:D1372,D1372)&amp;D1372</f>
        <v>0</v>
      </c>
      <c r="B1485" t="str">
        <f>COUNTIF($E$2:E1372,E1372)&amp;E1372</f>
        <v>0</v>
      </c>
    </row>
    <row r="1486" spans="1:2" x14ac:dyDescent="0.25">
      <c r="A1486" t="str">
        <f>COUNTIF($D$2:D1373,D1373)&amp;D1373</f>
        <v>0</v>
      </c>
      <c r="B1486" t="str">
        <f>COUNTIF($E$2:E1373,E1373)&amp;E1373</f>
        <v>0</v>
      </c>
    </row>
    <row r="1487" spans="1:2" x14ac:dyDescent="0.25">
      <c r="A1487" t="str">
        <f>COUNTIF($D$2:D1374,D1374)&amp;D1374</f>
        <v>0</v>
      </c>
      <c r="B1487" t="str">
        <f>COUNTIF($E$2:E1374,E1374)&amp;E1374</f>
        <v>0</v>
      </c>
    </row>
    <row r="1488" spans="1:2" x14ac:dyDescent="0.25">
      <c r="A1488" t="str">
        <f>COUNTIF($D$2:D1375,D1375)&amp;D1375</f>
        <v>0</v>
      </c>
      <c r="B1488" t="str">
        <f>COUNTIF($E$2:E1375,E1375)&amp;E1375</f>
        <v>0</v>
      </c>
    </row>
    <row r="1489" spans="1:2" x14ac:dyDescent="0.25">
      <c r="A1489" t="str">
        <f>COUNTIF($D$2:D1376,D1376)&amp;D1376</f>
        <v>0</v>
      </c>
      <c r="B1489" t="str">
        <f>COUNTIF($E$2:E1376,E1376)&amp;E1376</f>
        <v>0</v>
      </c>
    </row>
    <row r="1490" spans="1:2" x14ac:dyDescent="0.25">
      <c r="A1490" t="str">
        <f>COUNTIF($D$2:D1377,D1377)&amp;D1377</f>
        <v>0</v>
      </c>
      <c r="B1490" t="str">
        <f>COUNTIF($E$2:E1377,E1377)&amp;E1377</f>
        <v>0</v>
      </c>
    </row>
    <row r="1491" spans="1:2" x14ac:dyDescent="0.25">
      <c r="A1491" t="str">
        <f>COUNTIF($D$2:D1378,D1378)&amp;D1378</f>
        <v>0</v>
      </c>
      <c r="B1491" t="str">
        <f>COUNTIF($E$2:E1378,E1378)&amp;E1378</f>
        <v>0</v>
      </c>
    </row>
    <row r="1492" spans="1:2" x14ac:dyDescent="0.25">
      <c r="A1492" t="str">
        <f>COUNTIF($D$2:D1379,D1379)&amp;D1379</f>
        <v>0</v>
      </c>
      <c r="B1492" t="str">
        <f>COUNTIF($E$2:E1379,E1379)&amp;E1379</f>
        <v>0</v>
      </c>
    </row>
    <row r="1493" spans="1:2" x14ac:dyDescent="0.25">
      <c r="A1493" t="str">
        <f>COUNTIF($D$2:D1380,D1380)&amp;D1380</f>
        <v>0</v>
      </c>
      <c r="B1493" t="str">
        <f>COUNTIF($E$2:E1380,E1380)&amp;E1380</f>
        <v>0</v>
      </c>
    </row>
    <row r="1494" spans="1:2" x14ac:dyDescent="0.25">
      <c r="A1494" t="str">
        <f>COUNTIF($D$2:D1381,D1381)&amp;D1381</f>
        <v>0</v>
      </c>
      <c r="B1494" t="str">
        <f>COUNTIF($E$2:E1381,E1381)&amp;E1381</f>
        <v>0</v>
      </c>
    </row>
    <row r="1495" spans="1:2" x14ac:dyDescent="0.25">
      <c r="A1495" t="str">
        <f>COUNTIF($D$2:D1382,D1382)&amp;D1382</f>
        <v>0</v>
      </c>
      <c r="B1495" t="str">
        <f>COUNTIF($E$2:E1382,E1382)&amp;E1382</f>
        <v>0</v>
      </c>
    </row>
    <row r="1496" spans="1:2" x14ac:dyDescent="0.25">
      <c r="A1496" t="str">
        <f>COUNTIF($D$2:D1383,D1383)&amp;D1383</f>
        <v>0</v>
      </c>
      <c r="B1496" t="str">
        <f>COUNTIF($E$2:E1383,E1383)&amp;E1383</f>
        <v>0</v>
      </c>
    </row>
    <row r="1497" spans="1:2" x14ac:dyDescent="0.25">
      <c r="A1497" t="str">
        <f>COUNTIF($D$2:D1384,D1384)&amp;D1384</f>
        <v>0</v>
      </c>
      <c r="B1497" t="str">
        <f>COUNTIF($E$2:E1384,E1384)&amp;E1384</f>
        <v>0</v>
      </c>
    </row>
    <row r="1498" spans="1:2" x14ac:dyDescent="0.25">
      <c r="A1498" t="str">
        <f>COUNTIF($D$2:D1385,D1385)&amp;D1385</f>
        <v>0</v>
      </c>
      <c r="B1498" t="str">
        <f>COUNTIF($E$2:E1385,E1385)&amp;E1385</f>
        <v>0</v>
      </c>
    </row>
    <row r="1499" spans="1:2" x14ac:dyDescent="0.25">
      <c r="A1499" t="str">
        <f>COUNTIF($D$2:D1386,D1386)&amp;D1386</f>
        <v>0</v>
      </c>
      <c r="B1499" t="str">
        <f>COUNTIF($E$2:E1386,E1386)&amp;E1386</f>
        <v>0</v>
      </c>
    </row>
    <row r="1500" spans="1:2" x14ac:dyDescent="0.25">
      <c r="A1500" t="str">
        <f>COUNTIF($D$2:D1387,D1387)&amp;D1387</f>
        <v>0</v>
      </c>
      <c r="B1500" t="str">
        <f>COUNTIF($E$2:E1387,E1387)&amp;E1387</f>
        <v>0</v>
      </c>
    </row>
    <row r="1501" spans="1:2" x14ac:dyDescent="0.25">
      <c r="A1501" t="str">
        <f>COUNTIF($D$2:D1388,D1388)&amp;D1388</f>
        <v>0</v>
      </c>
      <c r="B1501" t="str">
        <f>COUNTIF($E$2:E1388,E1388)&amp;E1388</f>
        <v>0</v>
      </c>
    </row>
    <row r="1502" spans="1:2" x14ac:dyDescent="0.25">
      <c r="A1502" t="str">
        <f>COUNTIF($D$2:D1389,D1389)&amp;D1389</f>
        <v>0</v>
      </c>
      <c r="B1502" t="str">
        <f>COUNTIF($E$2:E1389,E1389)&amp;E1389</f>
        <v>0</v>
      </c>
    </row>
    <row r="1503" spans="1:2" x14ac:dyDescent="0.25">
      <c r="A1503" t="str">
        <f>COUNTIF($D$2:D1390,D1390)&amp;D1390</f>
        <v>0</v>
      </c>
      <c r="B1503" t="str">
        <f>COUNTIF($E$2:E1390,E1390)&amp;E1390</f>
        <v>0</v>
      </c>
    </row>
    <row r="1504" spans="1:2" x14ac:dyDescent="0.25">
      <c r="A1504" t="str">
        <f>COUNTIF($D$2:D1391,D1391)&amp;D1391</f>
        <v>0</v>
      </c>
      <c r="B1504" t="str">
        <f>COUNTIF($E$2:E1391,E1391)&amp;E1391</f>
        <v>0</v>
      </c>
    </row>
    <row r="1505" spans="1:2" x14ac:dyDescent="0.25">
      <c r="A1505" t="str">
        <f>COUNTIF($D$2:D1392,D1392)&amp;D1392</f>
        <v>0</v>
      </c>
      <c r="B1505" t="str">
        <f>COUNTIF($E$2:E1392,E1392)&amp;E1392</f>
        <v>0</v>
      </c>
    </row>
    <row r="1506" spans="1:2" x14ac:dyDescent="0.25">
      <c r="A1506" t="str">
        <f>COUNTIF($D$2:D1393,D1393)&amp;D1393</f>
        <v>0</v>
      </c>
      <c r="B1506" t="str">
        <f>COUNTIF($E$2:E1393,E1393)&amp;E1393</f>
        <v>0</v>
      </c>
    </row>
    <row r="1507" spans="1:2" x14ac:dyDescent="0.25">
      <c r="A1507" t="str">
        <f>COUNTIF($D$2:D1394,D1394)&amp;D1394</f>
        <v>0</v>
      </c>
      <c r="B1507" t="str">
        <f>COUNTIF($E$2:E1394,E1394)&amp;E1394</f>
        <v>0</v>
      </c>
    </row>
    <row r="1508" spans="1:2" x14ac:dyDescent="0.25">
      <c r="A1508" t="str">
        <f>COUNTIF($D$2:D1395,D1395)&amp;D1395</f>
        <v>0</v>
      </c>
      <c r="B1508" t="str">
        <f>COUNTIF($E$2:E1395,E1395)&amp;E1395</f>
        <v>0</v>
      </c>
    </row>
    <row r="1509" spans="1:2" x14ac:dyDescent="0.25">
      <c r="A1509" t="str">
        <f>COUNTIF($D$2:D1396,D1396)&amp;D1396</f>
        <v>0</v>
      </c>
      <c r="B1509" t="str">
        <f>COUNTIF($E$2:E1396,E1396)&amp;E1396</f>
        <v>0</v>
      </c>
    </row>
    <row r="1510" spans="1:2" x14ac:dyDescent="0.25">
      <c r="A1510" t="str">
        <f>COUNTIF($D$2:D1397,D1397)&amp;D1397</f>
        <v>0</v>
      </c>
      <c r="B1510" t="str">
        <f>COUNTIF($E$2:E1397,E1397)&amp;E1397</f>
        <v>0</v>
      </c>
    </row>
    <row r="1511" spans="1:2" x14ac:dyDescent="0.25">
      <c r="A1511" t="str">
        <f>COUNTIF($D$2:D1398,D1398)&amp;D1398</f>
        <v>0</v>
      </c>
      <c r="B1511" t="str">
        <f>COUNTIF($E$2:E1398,E1398)&amp;E1398</f>
        <v>0</v>
      </c>
    </row>
    <row r="1512" spans="1:2" x14ac:dyDescent="0.25">
      <c r="A1512" t="str">
        <f>COUNTIF($D$2:D1399,D1399)&amp;D1399</f>
        <v>0</v>
      </c>
      <c r="B1512" t="str">
        <f>COUNTIF($E$2:E1399,E1399)&amp;E1399</f>
        <v>0</v>
      </c>
    </row>
    <row r="1513" spans="1:2" x14ac:dyDescent="0.25">
      <c r="A1513" t="str">
        <f>COUNTIF($D$2:D1400,D1400)&amp;D1400</f>
        <v>0</v>
      </c>
      <c r="B1513" t="str">
        <f>COUNTIF($E$2:E1400,E1400)&amp;E1400</f>
        <v>0</v>
      </c>
    </row>
    <row r="1514" spans="1:2" x14ac:dyDescent="0.25">
      <c r="A1514" t="str">
        <f>COUNTIF($D$2:D1401,D1401)&amp;D1401</f>
        <v>0</v>
      </c>
      <c r="B1514" t="str">
        <f>COUNTIF($E$2:E1401,E1401)&amp;E1401</f>
        <v>0</v>
      </c>
    </row>
    <row r="1515" spans="1:2" x14ac:dyDescent="0.25">
      <c r="A1515" t="str">
        <f>COUNTIF($D$2:D1402,D1402)&amp;D1402</f>
        <v>0</v>
      </c>
      <c r="B1515" t="str">
        <f>COUNTIF($E$2:E1402,E1402)&amp;E1402</f>
        <v>0</v>
      </c>
    </row>
    <row r="1516" spans="1:2" x14ac:dyDescent="0.25">
      <c r="A1516" t="str">
        <f>COUNTIF($D$2:D1403,D1403)&amp;D1403</f>
        <v>0</v>
      </c>
      <c r="B1516" t="str">
        <f>COUNTIF($E$2:E1403,E1403)&amp;E1403</f>
        <v>0</v>
      </c>
    </row>
    <row r="1517" spans="1:2" x14ac:dyDescent="0.25">
      <c r="A1517" t="str">
        <f>COUNTIF($D$2:D1404,D1404)&amp;D1404</f>
        <v>0</v>
      </c>
      <c r="B1517" t="str">
        <f>COUNTIF($E$2:E1404,E1404)&amp;E1404</f>
        <v>0</v>
      </c>
    </row>
    <row r="1518" spans="1:2" x14ac:dyDescent="0.25">
      <c r="A1518" t="str">
        <f>COUNTIF($D$2:D1405,D1405)&amp;D1405</f>
        <v>0</v>
      </c>
      <c r="B1518" t="str">
        <f>COUNTIF($E$2:E1405,E1405)&amp;E1405</f>
        <v>0</v>
      </c>
    </row>
    <row r="1519" spans="1:2" x14ac:dyDescent="0.25">
      <c r="A1519" t="str">
        <f>COUNTIF($D$2:D1406,D1406)&amp;D1406</f>
        <v>0</v>
      </c>
      <c r="B1519" t="str">
        <f>COUNTIF($E$2:E1406,E1406)&amp;E1406</f>
        <v>0</v>
      </c>
    </row>
    <row r="1520" spans="1:2" x14ac:dyDescent="0.25">
      <c r="A1520" t="str">
        <f>COUNTIF($D$2:D1407,D1407)&amp;D1407</f>
        <v>0</v>
      </c>
      <c r="B1520" t="str">
        <f>COUNTIF($E$2:E1407,E1407)&amp;E1407</f>
        <v>0</v>
      </c>
    </row>
    <row r="1521" spans="1:2" x14ac:dyDescent="0.25">
      <c r="A1521" t="str">
        <f>COUNTIF($D$2:D1408,D1408)&amp;D1408</f>
        <v>0</v>
      </c>
      <c r="B1521" t="str">
        <f>COUNTIF($E$2:E1408,E1408)&amp;E1408</f>
        <v>0</v>
      </c>
    </row>
    <row r="1522" spans="1:2" x14ac:dyDescent="0.25">
      <c r="A1522" t="str">
        <f>COUNTIF($D$2:D1409,D1409)&amp;D1409</f>
        <v>0</v>
      </c>
      <c r="B1522" t="str">
        <f>COUNTIF($E$2:E1409,E1409)&amp;E1409</f>
        <v>0</v>
      </c>
    </row>
    <row r="1523" spans="1:2" x14ac:dyDescent="0.25">
      <c r="A1523" t="str">
        <f>COUNTIF($D$2:D1410,D1410)&amp;D1410</f>
        <v>0</v>
      </c>
      <c r="B1523" t="str">
        <f>COUNTIF($E$2:E1410,E1410)&amp;E1410</f>
        <v>0</v>
      </c>
    </row>
    <row r="1524" spans="1:2" x14ac:dyDescent="0.25">
      <c r="A1524" t="str">
        <f>COUNTIF($D$2:D1411,D1411)&amp;D1411</f>
        <v>0</v>
      </c>
      <c r="B1524" t="str">
        <f>COUNTIF($E$2:E1411,E1411)&amp;E1411</f>
        <v>0</v>
      </c>
    </row>
    <row r="1525" spans="1:2" x14ac:dyDescent="0.25">
      <c r="A1525" t="str">
        <f>COUNTIF($D$2:D1412,D1412)&amp;D1412</f>
        <v>0</v>
      </c>
      <c r="B1525" t="str">
        <f>COUNTIF($E$2:E1412,E1412)&amp;E1412</f>
        <v>0</v>
      </c>
    </row>
    <row r="1526" spans="1:2" x14ac:dyDescent="0.25">
      <c r="A1526" t="str">
        <f>COUNTIF($D$2:D1413,D1413)&amp;D1413</f>
        <v>0</v>
      </c>
      <c r="B1526" t="str">
        <f>COUNTIF($E$2:E1413,E1413)&amp;E1413</f>
        <v>0</v>
      </c>
    </row>
    <row r="1527" spans="1:2" x14ac:dyDescent="0.25">
      <c r="A1527" t="str">
        <f>COUNTIF($D$2:D1414,D1414)&amp;D1414</f>
        <v>0</v>
      </c>
      <c r="B1527" t="str">
        <f>COUNTIF($E$2:E1414,E1414)&amp;E1414</f>
        <v>0</v>
      </c>
    </row>
    <row r="1528" spans="1:2" x14ac:dyDescent="0.25">
      <c r="A1528" t="str">
        <f>COUNTIF($D$2:D1415,D1415)&amp;D1415</f>
        <v>0</v>
      </c>
      <c r="B1528" t="str">
        <f>COUNTIF($E$2:E1415,E1415)&amp;E1415</f>
        <v>0</v>
      </c>
    </row>
    <row r="1529" spans="1:2" x14ac:dyDescent="0.25">
      <c r="A1529" t="str">
        <f>COUNTIF($D$2:D1416,D1416)&amp;D1416</f>
        <v>0</v>
      </c>
      <c r="B1529" t="str">
        <f>COUNTIF($E$2:E1416,E1416)&amp;E1416</f>
        <v>0</v>
      </c>
    </row>
    <row r="1530" spans="1:2" x14ac:dyDescent="0.25">
      <c r="A1530" t="str">
        <f>COUNTIF($D$2:D1417,D1417)&amp;D1417</f>
        <v>0</v>
      </c>
      <c r="B1530" t="str">
        <f>COUNTIF($E$2:E1417,E1417)&amp;E1417</f>
        <v>0</v>
      </c>
    </row>
    <row r="1531" spans="1:2" x14ac:dyDescent="0.25">
      <c r="A1531" t="str">
        <f>COUNTIF($D$2:D1418,D1418)&amp;D1418</f>
        <v>0</v>
      </c>
      <c r="B1531" t="str">
        <f>COUNTIF($E$2:E1418,E1418)&amp;E1418</f>
        <v>0</v>
      </c>
    </row>
    <row r="1532" spans="1:2" x14ac:dyDescent="0.25">
      <c r="A1532" t="str">
        <f>COUNTIF($D$2:D1419,D1419)&amp;D1419</f>
        <v>0</v>
      </c>
      <c r="B1532" t="str">
        <f>COUNTIF($E$2:E1419,E1419)&amp;E1419</f>
        <v>0</v>
      </c>
    </row>
    <row r="1533" spans="1:2" x14ac:dyDescent="0.25">
      <c r="A1533" t="str">
        <f>COUNTIF($D$2:D1420,D1420)&amp;D1420</f>
        <v>0</v>
      </c>
      <c r="B1533" t="str">
        <f>COUNTIF($E$2:E1420,E1420)&amp;E1420</f>
        <v>0</v>
      </c>
    </row>
    <row r="1534" spans="1:2" x14ac:dyDescent="0.25">
      <c r="A1534" t="str">
        <f>COUNTIF($D$2:D1421,D1421)&amp;D1421</f>
        <v>0</v>
      </c>
      <c r="B1534" t="str">
        <f>COUNTIF($E$2:E1421,E1421)&amp;E1421</f>
        <v>0</v>
      </c>
    </row>
    <row r="1535" spans="1:2" x14ac:dyDescent="0.25">
      <c r="A1535" t="str">
        <f>COUNTIF($D$2:D1422,D1422)&amp;D1422</f>
        <v>0</v>
      </c>
      <c r="B1535" t="str">
        <f>COUNTIF($E$2:E1422,E1422)&amp;E1422</f>
        <v>0</v>
      </c>
    </row>
    <row r="1536" spans="1:2" x14ac:dyDescent="0.25">
      <c r="A1536" t="str">
        <f>COUNTIF($D$2:D1423,D1423)&amp;D1423</f>
        <v>0</v>
      </c>
      <c r="B1536" t="str">
        <f>COUNTIF($E$2:E1423,E1423)&amp;E1423</f>
        <v>0</v>
      </c>
    </row>
    <row r="1537" spans="1:2" x14ac:dyDescent="0.25">
      <c r="A1537" t="str">
        <f>COUNTIF($D$2:D1424,D1424)&amp;D1424</f>
        <v>0</v>
      </c>
      <c r="B1537" t="str">
        <f>COUNTIF($E$2:E1424,E1424)&amp;E1424</f>
        <v>0</v>
      </c>
    </row>
    <row r="1538" spans="1:2" x14ac:dyDescent="0.25">
      <c r="A1538" t="str">
        <f>COUNTIF($D$2:D1425,D1425)&amp;D1425</f>
        <v>0</v>
      </c>
      <c r="B1538" t="str">
        <f>COUNTIF($E$2:E1425,E1425)&amp;E1425</f>
        <v>0</v>
      </c>
    </row>
    <row r="1539" spans="1:2" x14ac:dyDescent="0.25">
      <c r="A1539" t="str">
        <f>COUNTIF($D$2:D1426,D1426)&amp;D1426</f>
        <v>0</v>
      </c>
      <c r="B1539" t="str">
        <f>COUNTIF($E$2:E1426,E1426)&amp;E1426</f>
        <v>0</v>
      </c>
    </row>
    <row r="1540" spans="1:2" x14ac:dyDescent="0.25">
      <c r="A1540" t="str">
        <f>COUNTIF($D$2:D1427,D1427)&amp;D1427</f>
        <v>0</v>
      </c>
      <c r="B1540" t="str">
        <f>COUNTIF($E$2:E1427,E1427)&amp;E1427</f>
        <v>0</v>
      </c>
    </row>
    <row r="1541" spans="1:2" x14ac:dyDescent="0.25">
      <c r="A1541" t="str">
        <f>COUNTIF($D$2:D1428,D1428)&amp;D1428</f>
        <v>0</v>
      </c>
      <c r="B1541" t="str">
        <f>COUNTIF($E$2:E1428,E1428)&amp;E1428</f>
        <v>0</v>
      </c>
    </row>
    <row r="1542" spans="1:2" x14ac:dyDescent="0.25">
      <c r="A1542" t="str">
        <f>COUNTIF($D$2:D1429,D1429)&amp;D1429</f>
        <v>0</v>
      </c>
      <c r="B1542" t="str">
        <f>COUNTIF($E$2:E1429,E1429)&amp;E1429</f>
        <v>0</v>
      </c>
    </row>
    <row r="1543" spans="1:2" x14ac:dyDescent="0.25">
      <c r="A1543" t="str">
        <f>COUNTIF($D$2:D1430,D1430)&amp;D1430</f>
        <v>0</v>
      </c>
      <c r="B1543" t="str">
        <f>COUNTIF($E$2:E1430,E1430)&amp;E1430</f>
        <v>0</v>
      </c>
    </row>
    <row r="1544" spans="1:2" x14ac:dyDescent="0.25">
      <c r="A1544" t="str">
        <f>COUNTIF($D$2:D1431,D1431)&amp;D1431</f>
        <v>0</v>
      </c>
      <c r="B1544" t="str">
        <f>COUNTIF($E$2:E1431,E1431)&amp;E1431</f>
        <v>0</v>
      </c>
    </row>
    <row r="1545" spans="1:2" x14ac:dyDescent="0.25">
      <c r="A1545" t="str">
        <f>COUNTIF($D$2:D1432,D1432)&amp;D1432</f>
        <v>0</v>
      </c>
      <c r="B1545" t="str">
        <f>COUNTIF($E$2:E1432,E1432)&amp;E1432</f>
        <v>0</v>
      </c>
    </row>
    <row r="1546" spans="1:2" x14ac:dyDescent="0.25">
      <c r="A1546" t="str">
        <f>COUNTIF($D$2:D1433,D1433)&amp;D1433</f>
        <v>0</v>
      </c>
      <c r="B1546" t="str">
        <f>COUNTIF($E$2:E1433,E1433)&amp;E1433</f>
        <v>0</v>
      </c>
    </row>
    <row r="1547" spans="1:2" x14ac:dyDescent="0.25">
      <c r="A1547" t="str">
        <f>COUNTIF($D$2:D1434,D1434)&amp;D1434</f>
        <v>0</v>
      </c>
      <c r="B1547" t="str">
        <f>COUNTIF($E$2:E1434,E1434)&amp;E1434</f>
        <v>0</v>
      </c>
    </row>
    <row r="1548" spans="1:2" x14ac:dyDescent="0.25">
      <c r="A1548" t="str">
        <f>COUNTIF($D$2:D1435,D1435)&amp;D1435</f>
        <v>0</v>
      </c>
      <c r="B1548" t="str">
        <f>COUNTIF($E$2:E1435,E1435)&amp;E1435</f>
        <v>0</v>
      </c>
    </row>
    <row r="1549" spans="1:2" x14ac:dyDescent="0.25">
      <c r="A1549" t="str">
        <f>COUNTIF($D$2:D1436,D1436)&amp;D1436</f>
        <v>0</v>
      </c>
      <c r="B1549" t="str">
        <f>COUNTIF($E$2:E1436,E1436)&amp;E1436</f>
        <v>0</v>
      </c>
    </row>
    <row r="1550" spans="1:2" x14ac:dyDescent="0.25">
      <c r="A1550" t="str">
        <f>COUNTIF($D$2:D1437,D1437)&amp;D1437</f>
        <v>0</v>
      </c>
      <c r="B1550" t="str">
        <f>COUNTIF($E$2:E1437,E1437)&amp;E1437</f>
        <v>0</v>
      </c>
    </row>
    <row r="1551" spans="1:2" x14ac:dyDescent="0.25">
      <c r="A1551" t="str">
        <f>COUNTIF($D$2:D1438,D1438)&amp;D1438</f>
        <v>0</v>
      </c>
      <c r="B1551" t="str">
        <f>COUNTIF($E$2:E1438,E1438)&amp;E1438</f>
        <v>0</v>
      </c>
    </row>
    <row r="1552" spans="1:2" x14ac:dyDescent="0.25">
      <c r="A1552" t="str">
        <f>COUNTIF($D$2:D1439,D1439)&amp;D1439</f>
        <v>0</v>
      </c>
      <c r="B1552" t="str">
        <f>COUNTIF($E$2:E1439,E1439)&amp;E1439</f>
        <v>0</v>
      </c>
    </row>
    <row r="1553" spans="1:2" x14ac:dyDescent="0.25">
      <c r="A1553" t="str">
        <f>COUNTIF($D$2:D1440,D1440)&amp;D1440</f>
        <v>0</v>
      </c>
      <c r="B1553" t="str">
        <f>COUNTIF($E$2:E1440,E1440)&amp;E1440</f>
        <v>0</v>
      </c>
    </row>
    <row r="1554" spans="1:2" x14ac:dyDescent="0.25">
      <c r="A1554" t="str">
        <f>COUNTIF($D$2:D1441,D1441)&amp;D1441</f>
        <v>0</v>
      </c>
      <c r="B1554" t="str">
        <f>COUNTIF($E$2:E1441,E1441)&amp;E1441</f>
        <v>0</v>
      </c>
    </row>
    <row r="1555" spans="1:2" x14ac:dyDescent="0.25">
      <c r="A1555" t="str">
        <f>COUNTIF($D$2:D1442,D1442)&amp;D1442</f>
        <v>0</v>
      </c>
      <c r="B1555" t="str">
        <f>COUNTIF($E$2:E1442,E1442)&amp;E1442</f>
        <v>0</v>
      </c>
    </row>
    <row r="1556" spans="1:2" x14ac:dyDescent="0.25">
      <c r="A1556" t="str">
        <f>COUNTIF($D$2:D1443,D1443)&amp;D1443</f>
        <v>0</v>
      </c>
      <c r="B1556" t="str">
        <f>COUNTIF($E$2:E1443,E1443)&amp;E1443</f>
        <v>0</v>
      </c>
    </row>
    <row r="1557" spans="1:2" x14ac:dyDescent="0.25">
      <c r="A1557" t="str">
        <f>COUNTIF($D$2:D1444,D1444)&amp;D1444</f>
        <v>0</v>
      </c>
      <c r="B1557" t="str">
        <f>COUNTIF($E$2:E1444,E1444)&amp;E1444</f>
        <v>0</v>
      </c>
    </row>
    <row r="1558" spans="1:2" x14ac:dyDescent="0.25">
      <c r="A1558" t="str">
        <f>COUNTIF($D$2:D1445,D1445)&amp;D1445</f>
        <v>0</v>
      </c>
      <c r="B1558" t="str">
        <f>COUNTIF($E$2:E1445,E1445)&amp;E1445</f>
        <v>0</v>
      </c>
    </row>
    <row r="1559" spans="1:2" x14ac:dyDescent="0.25">
      <c r="A1559" t="str">
        <f>COUNTIF($D$2:D1446,D1446)&amp;D1446</f>
        <v>0</v>
      </c>
      <c r="B1559" t="str">
        <f>COUNTIF($E$2:E1446,E1446)&amp;E1446</f>
        <v>0</v>
      </c>
    </row>
    <row r="1560" spans="1:2" x14ac:dyDescent="0.25">
      <c r="A1560" t="str">
        <f>COUNTIF($D$2:D1447,D1447)&amp;D1447</f>
        <v>0</v>
      </c>
      <c r="B1560" t="str">
        <f>COUNTIF($E$2:E1447,E1447)&amp;E1447</f>
        <v>0</v>
      </c>
    </row>
    <row r="1561" spans="1:2" x14ac:dyDescent="0.25">
      <c r="A1561" t="str">
        <f>COUNTIF($D$2:D1448,D1448)&amp;D1448</f>
        <v>0</v>
      </c>
      <c r="B1561" t="str">
        <f>COUNTIF($E$2:E1448,E1448)&amp;E1448</f>
        <v>0</v>
      </c>
    </row>
    <row r="1562" spans="1:2" x14ac:dyDescent="0.25">
      <c r="A1562" t="str">
        <f>COUNTIF($D$2:D1449,D1449)&amp;D1449</f>
        <v>0</v>
      </c>
      <c r="B1562" t="str">
        <f>COUNTIF($E$2:E1449,E1449)&amp;E1449</f>
        <v>0</v>
      </c>
    </row>
    <row r="1563" spans="1:2" x14ac:dyDescent="0.25">
      <c r="A1563" t="str">
        <f>COUNTIF($D$2:D1450,D1450)&amp;D1450</f>
        <v>0</v>
      </c>
      <c r="B1563" t="str">
        <f>COUNTIF($E$2:E1450,E1450)&amp;E1450</f>
        <v>0</v>
      </c>
    </row>
    <row r="1564" spans="1:2" x14ac:dyDescent="0.25">
      <c r="A1564" t="str">
        <f>COUNTIF($D$2:D1451,D1451)&amp;D1451</f>
        <v>0</v>
      </c>
      <c r="B1564" t="str">
        <f>COUNTIF($E$2:E1451,E1451)&amp;E1451</f>
        <v>0</v>
      </c>
    </row>
    <row r="1565" spans="1:2" x14ac:dyDescent="0.25">
      <c r="A1565" t="str">
        <f>COUNTIF($D$2:D1452,D1452)&amp;D1452</f>
        <v>0</v>
      </c>
      <c r="B1565" t="str">
        <f>COUNTIF($E$2:E1452,E1452)&amp;E1452</f>
        <v>0</v>
      </c>
    </row>
    <row r="1566" spans="1:2" x14ac:dyDescent="0.25">
      <c r="A1566" t="str">
        <f>COUNTIF($D$2:D1453,D1453)&amp;D1453</f>
        <v>0</v>
      </c>
      <c r="B1566" t="str">
        <f>COUNTIF($E$2:E1453,E1453)&amp;E1453</f>
        <v>0</v>
      </c>
    </row>
    <row r="1567" spans="1:2" x14ac:dyDescent="0.25">
      <c r="A1567" t="str">
        <f>COUNTIF($D$2:D1454,D1454)&amp;D1454</f>
        <v>0</v>
      </c>
      <c r="B1567" t="str">
        <f>COUNTIF($E$2:E1454,E1454)&amp;E1454</f>
        <v>0</v>
      </c>
    </row>
    <row r="1568" spans="1:2" x14ac:dyDescent="0.25">
      <c r="A1568" t="str">
        <f>COUNTIF($D$2:D1455,D1455)&amp;D1455</f>
        <v>0</v>
      </c>
      <c r="B1568" t="str">
        <f>COUNTIF($E$2:E1455,E1455)&amp;E1455</f>
        <v>0</v>
      </c>
    </row>
    <row r="1569" spans="1:2" x14ac:dyDescent="0.25">
      <c r="A1569" t="str">
        <f>COUNTIF($D$2:D1456,D1456)&amp;D1456</f>
        <v>0</v>
      </c>
      <c r="B1569" t="str">
        <f>COUNTIF($E$2:E1456,E1456)&amp;E1456</f>
        <v>0</v>
      </c>
    </row>
    <row r="1570" spans="1:2" x14ac:dyDescent="0.25">
      <c r="A1570" t="str">
        <f>COUNTIF($D$2:D1457,D1457)&amp;D1457</f>
        <v>0</v>
      </c>
      <c r="B1570" t="str">
        <f>COUNTIF($E$2:E1457,E1457)&amp;E1457</f>
        <v>0</v>
      </c>
    </row>
    <row r="1571" spans="1:2" x14ac:dyDescent="0.25">
      <c r="A1571" t="str">
        <f>COUNTIF($D$2:D1458,D1458)&amp;D1458</f>
        <v>0</v>
      </c>
      <c r="B1571" t="str">
        <f>COUNTIF($E$2:E1458,E1458)&amp;E1458</f>
        <v>0</v>
      </c>
    </row>
    <row r="1572" spans="1:2" x14ac:dyDescent="0.25">
      <c r="A1572" t="str">
        <f>COUNTIF($D$2:D1459,D1459)&amp;D1459</f>
        <v>0</v>
      </c>
      <c r="B1572" t="str">
        <f>COUNTIF($E$2:E1459,E1459)&amp;E1459</f>
        <v>0</v>
      </c>
    </row>
    <row r="1573" spans="1:2" x14ac:dyDescent="0.25">
      <c r="A1573" t="str">
        <f>COUNTIF($D$2:D1460,D1460)&amp;D1460</f>
        <v>0</v>
      </c>
      <c r="B1573" t="str">
        <f>COUNTIF($E$2:E1460,E1460)&amp;E1460</f>
        <v>0</v>
      </c>
    </row>
    <row r="1574" spans="1:2" x14ac:dyDescent="0.25">
      <c r="A1574" t="str">
        <f>COUNTIF($D$2:D1461,D1461)&amp;D1461</f>
        <v>0</v>
      </c>
      <c r="B1574" t="str">
        <f>COUNTIF($E$2:E1461,E1461)&amp;E1461</f>
        <v>0</v>
      </c>
    </row>
    <row r="1575" spans="1:2" x14ac:dyDescent="0.25">
      <c r="A1575" t="str">
        <f>COUNTIF($D$2:D1462,D1462)&amp;D1462</f>
        <v>0</v>
      </c>
      <c r="B1575" t="str">
        <f>COUNTIF($E$2:E1462,E1462)&amp;E1462</f>
        <v>0</v>
      </c>
    </row>
    <row r="1576" spans="1:2" x14ac:dyDescent="0.25">
      <c r="A1576" t="str">
        <f>COUNTIF($D$2:D1463,D1463)&amp;D1463</f>
        <v>0</v>
      </c>
      <c r="B1576" t="str">
        <f>COUNTIF($E$2:E1463,E1463)&amp;E1463</f>
        <v>0</v>
      </c>
    </row>
    <row r="1577" spans="1:2" x14ac:dyDescent="0.25">
      <c r="A1577" t="str">
        <f>COUNTIF($D$2:D1464,D1464)&amp;D1464</f>
        <v>0</v>
      </c>
      <c r="B1577" t="str">
        <f>COUNTIF($E$2:E1464,E1464)&amp;E1464</f>
        <v>0</v>
      </c>
    </row>
    <row r="1578" spans="1:2" x14ac:dyDescent="0.25">
      <c r="A1578" t="str">
        <f>COUNTIF($D$2:D1465,D1465)&amp;D1465</f>
        <v>0</v>
      </c>
      <c r="B1578" t="str">
        <f>COUNTIF($E$2:E1465,E1465)&amp;E1465</f>
        <v>0</v>
      </c>
    </row>
    <row r="1579" spans="1:2" x14ac:dyDescent="0.25">
      <c r="A1579" t="str">
        <f>COUNTIF($D$2:D1466,D1466)&amp;D1466</f>
        <v>0</v>
      </c>
      <c r="B1579" t="str">
        <f>COUNTIF($E$2:E1466,E1466)&amp;E1466</f>
        <v>0</v>
      </c>
    </row>
    <row r="1580" spans="1:2" x14ac:dyDescent="0.25">
      <c r="A1580" t="str">
        <f>COUNTIF($D$2:D1467,D1467)&amp;D1467</f>
        <v>0</v>
      </c>
      <c r="B1580" t="str">
        <f>COUNTIF($E$2:E1467,E1467)&amp;E1467</f>
        <v>0</v>
      </c>
    </row>
    <row r="1581" spans="1:2" x14ac:dyDescent="0.25">
      <c r="A1581" t="str">
        <f>COUNTIF($D$2:D1468,D1468)&amp;D1468</f>
        <v>0</v>
      </c>
      <c r="B1581" t="str">
        <f>COUNTIF($E$2:E1468,E1468)&amp;E1468</f>
        <v>0</v>
      </c>
    </row>
    <row r="1582" spans="1:2" x14ac:dyDescent="0.25">
      <c r="A1582" t="str">
        <f>COUNTIF($D$2:D1469,D1469)&amp;D1469</f>
        <v>0</v>
      </c>
      <c r="B1582" t="str">
        <f>COUNTIF($E$2:E1469,E1469)&amp;E1469</f>
        <v>0</v>
      </c>
    </row>
    <row r="1583" spans="1:2" x14ac:dyDescent="0.25">
      <c r="A1583" t="str">
        <f>COUNTIF($D$2:D1470,D1470)&amp;D1470</f>
        <v>0</v>
      </c>
      <c r="B1583" t="str">
        <f>COUNTIF($E$2:E1470,E1470)&amp;E1470</f>
        <v>0</v>
      </c>
    </row>
    <row r="1584" spans="1:2" x14ac:dyDescent="0.25">
      <c r="A1584" t="str">
        <f>COUNTIF($D$2:D1471,D1471)&amp;D1471</f>
        <v>0</v>
      </c>
      <c r="B1584" t="str">
        <f>COUNTIF($E$2:E1471,E1471)&amp;E1471</f>
        <v>0</v>
      </c>
    </row>
    <row r="1585" spans="1:2" x14ac:dyDescent="0.25">
      <c r="A1585" t="str">
        <f>COUNTIF($D$2:D1472,D1472)&amp;D1472</f>
        <v>0</v>
      </c>
      <c r="B1585" t="str">
        <f>COUNTIF($E$2:E1472,E1472)&amp;E1472</f>
        <v>0</v>
      </c>
    </row>
    <row r="1586" spans="1:2" x14ac:dyDescent="0.25">
      <c r="A1586" t="str">
        <f>COUNTIF($D$2:D1473,D1473)&amp;D1473</f>
        <v>0</v>
      </c>
      <c r="B1586" t="str">
        <f>COUNTIF($E$2:E1473,E1473)&amp;E1473</f>
        <v>0</v>
      </c>
    </row>
    <row r="1587" spans="1:2" x14ac:dyDescent="0.25">
      <c r="A1587" t="str">
        <f>COUNTIF($D$2:D1474,D1474)&amp;D1474</f>
        <v>0</v>
      </c>
      <c r="B1587" t="str">
        <f>COUNTIF($E$2:E1474,E1474)&amp;E1474</f>
        <v>0</v>
      </c>
    </row>
    <row r="1588" spans="1:2" x14ac:dyDescent="0.25">
      <c r="A1588" t="str">
        <f>COUNTIF($D$2:D1475,D1475)&amp;D1475</f>
        <v>0</v>
      </c>
      <c r="B1588" t="str">
        <f>COUNTIF($E$2:E1475,E1475)&amp;E1475</f>
        <v>0</v>
      </c>
    </row>
    <row r="1589" spans="1:2" x14ac:dyDescent="0.25">
      <c r="A1589" t="str">
        <f>COUNTIF($D$2:D1476,D1476)&amp;D1476</f>
        <v>0</v>
      </c>
      <c r="B1589" t="str">
        <f>COUNTIF($E$2:E1476,E1476)&amp;E1476</f>
        <v>0</v>
      </c>
    </row>
    <row r="1590" spans="1:2" x14ac:dyDescent="0.25">
      <c r="A1590" t="str">
        <f>COUNTIF($D$2:D1477,D1477)&amp;D1477</f>
        <v>0</v>
      </c>
      <c r="B1590" t="str">
        <f>COUNTIF($E$2:E1477,E1477)&amp;E1477</f>
        <v>0</v>
      </c>
    </row>
    <row r="1591" spans="1:2" x14ac:dyDescent="0.25">
      <c r="A1591" t="str">
        <f>COUNTIF($D$2:D1478,D1478)&amp;D1478</f>
        <v>0</v>
      </c>
      <c r="B1591" t="str">
        <f>COUNTIF($E$2:E1478,E1478)&amp;E1478</f>
        <v>0</v>
      </c>
    </row>
    <row r="1592" spans="1:2" x14ac:dyDescent="0.25">
      <c r="A1592" t="str">
        <f>COUNTIF($D$2:D1479,D1479)&amp;D1479</f>
        <v>0</v>
      </c>
      <c r="B1592" t="str">
        <f>COUNTIF($E$2:E1479,E1479)&amp;E1479</f>
        <v>0</v>
      </c>
    </row>
    <row r="1593" spans="1:2" x14ac:dyDescent="0.25">
      <c r="A1593" t="str">
        <f>COUNTIF($D$2:D1480,D1480)&amp;D1480</f>
        <v>0</v>
      </c>
      <c r="B1593" t="str">
        <f>COUNTIF($E$2:E1480,E1480)&amp;E1480</f>
        <v>0</v>
      </c>
    </row>
    <row r="1594" spans="1:2" x14ac:dyDescent="0.25">
      <c r="A1594" t="str">
        <f>COUNTIF($D$2:D1481,D1481)&amp;D1481</f>
        <v>0</v>
      </c>
      <c r="B1594" t="str">
        <f>COUNTIF($E$2:E1481,E1481)&amp;E1481</f>
        <v>0</v>
      </c>
    </row>
    <row r="1595" spans="1:2" x14ac:dyDescent="0.25">
      <c r="A1595" t="str">
        <f>COUNTIF($D$2:D1482,D1482)&amp;D1482</f>
        <v>0</v>
      </c>
      <c r="B1595" t="str">
        <f>COUNTIF($E$2:E1482,E1482)&amp;E1482</f>
        <v>0</v>
      </c>
    </row>
    <row r="1596" spans="1:2" x14ac:dyDescent="0.25">
      <c r="A1596" t="str">
        <f>COUNTIF($D$2:D1483,D1483)&amp;D1483</f>
        <v>0</v>
      </c>
      <c r="B1596" t="str">
        <f>COUNTIF($E$2:E1483,E1483)&amp;E1483</f>
        <v>0</v>
      </c>
    </row>
    <row r="1597" spans="1:2" x14ac:dyDescent="0.25">
      <c r="A1597" t="str">
        <f>COUNTIF($D$2:D1484,D1484)&amp;D1484</f>
        <v>0</v>
      </c>
      <c r="B1597" t="str">
        <f>COUNTIF($E$2:E1484,E1484)&amp;E1484</f>
        <v>0</v>
      </c>
    </row>
    <row r="1598" spans="1:2" x14ac:dyDescent="0.25">
      <c r="A1598" t="str">
        <f>COUNTIF($D$2:D1485,D1485)&amp;D1485</f>
        <v>0</v>
      </c>
      <c r="B1598" t="str">
        <f>COUNTIF($E$2:E1485,E1485)&amp;E1485</f>
        <v>0</v>
      </c>
    </row>
    <row r="1599" spans="1:2" x14ac:dyDescent="0.25">
      <c r="A1599" t="str">
        <f>COUNTIF($D$2:D1486,D1486)&amp;D1486</f>
        <v>0</v>
      </c>
      <c r="B1599" t="str">
        <f>COUNTIF($E$2:E1486,E1486)&amp;E1486</f>
        <v>0</v>
      </c>
    </row>
    <row r="1600" spans="1:2" x14ac:dyDescent="0.25">
      <c r="A1600" t="str">
        <f>COUNTIF($D$2:D1487,D1487)&amp;D1487</f>
        <v>0</v>
      </c>
      <c r="B1600" t="str">
        <f>COUNTIF($E$2:E1487,E1487)&amp;E1487</f>
        <v>0</v>
      </c>
    </row>
    <row r="1601" spans="1:2" x14ac:dyDescent="0.25">
      <c r="A1601" t="str">
        <f>COUNTIF($D$2:D1488,D1488)&amp;D1488</f>
        <v>0</v>
      </c>
      <c r="B1601" t="str">
        <f>COUNTIF($E$2:E1488,E1488)&amp;E1488</f>
        <v>0</v>
      </c>
    </row>
    <row r="1602" spans="1:2" x14ac:dyDescent="0.25">
      <c r="A1602" t="str">
        <f>COUNTIF($D$2:D1489,D1489)&amp;D1489</f>
        <v>0</v>
      </c>
      <c r="B1602" t="str">
        <f>COUNTIF($E$2:E1489,E1489)&amp;E1489</f>
        <v>0</v>
      </c>
    </row>
    <row r="1603" spans="1:2" x14ac:dyDescent="0.25">
      <c r="A1603" t="str">
        <f>COUNTIF($D$2:D1490,D1490)&amp;D1490</f>
        <v>0</v>
      </c>
      <c r="B1603" t="str">
        <f>COUNTIF($E$2:E1490,E1490)&amp;E1490</f>
        <v>0</v>
      </c>
    </row>
    <row r="1604" spans="1:2" x14ac:dyDescent="0.25">
      <c r="A1604" t="str">
        <f>COUNTIF($D$2:D1491,D1491)&amp;D1491</f>
        <v>0</v>
      </c>
      <c r="B1604" t="str">
        <f>COUNTIF($E$2:E1491,E1491)&amp;E1491</f>
        <v>0</v>
      </c>
    </row>
    <row r="1605" spans="1:2" x14ac:dyDescent="0.25">
      <c r="A1605" t="str">
        <f>COUNTIF($D$2:D1492,D1492)&amp;D1492</f>
        <v>0</v>
      </c>
      <c r="B1605" t="str">
        <f>COUNTIF($E$2:E1492,E1492)&amp;E1492</f>
        <v>0</v>
      </c>
    </row>
    <row r="1606" spans="1:2" x14ac:dyDescent="0.25">
      <c r="A1606" t="str">
        <f>COUNTIF($D$2:D1493,D1493)&amp;D1493</f>
        <v>0</v>
      </c>
      <c r="B1606" t="str">
        <f>COUNTIF($E$2:E1493,E1493)&amp;E1493</f>
        <v>0</v>
      </c>
    </row>
    <row r="1607" spans="1:2" x14ac:dyDescent="0.25">
      <c r="A1607" t="str">
        <f>COUNTIF($D$2:D1494,D1494)&amp;D1494</f>
        <v>0</v>
      </c>
      <c r="B1607" t="str">
        <f>COUNTIF($E$2:E1494,E1494)&amp;E1494</f>
        <v>0</v>
      </c>
    </row>
    <row r="1608" spans="1:2" x14ac:dyDescent="0.25">
      <c r="A1608" t="str">
        <f>COUNTIF($D$2:D1495,D1495)&amp;D1495</f>
        <v>0</v>
      </c>
      <c r="B1608" t="str">
        <f>COUNTIF($E$2:E1495,E1495)&amp;E1495</f>
        <v>0</v>
      </c>
    </row>
    <row r="1609" spans="1:2" x14ac:dyDescent="0.25">
      <c r="A1609" t="str">
        <f>COUNTIF($D$2:D1496,D1496)&amp;D1496</f>
        <v>0</v>
      </c>
      <c r="B1609" t="str">
        <f>COUNTIF($E$2:E1496,E1496)&amp;E1496</f>
        <v>0</v>
      </c>
    </row>
    <row r="1610" spans="1:2" x14ac:dyDescent="0.25">
      <c r="A1610" t="str">
        <f>COUNTIF($D$2:D1497,D1497)&amp;D1497</f>
        <v>0</v>
      </c>
      <c r="B1610" t="str">
        <f>COUNTIF($E$2:E1497,E1497)&amp;E1497</f>
        <v>0</v>
      </c>
    </row>
    <row r="1611" spans="1:2" x14ac:dyDescent="0.25">
      <c r="A1611" t="str">
        <f>COUNTIF($D$2:D1498,D1498)&amp;D1498</f>
        <v>0</v>
      </c>
      <c r="B1611" t="str">
        <f>COUNTIF($E$2:E1498,E1498)&amp;E1498</f>
        <v>0</v>
      </c>
    </row>
    <row r="1612" spans="1:2" x14ac:dyDescent="0.25">
      <c r="A1612" t="str">
        <f>COUNTIF($D$2:D1499,D1499)&amp;D1499</f>
        <v>0</v>
      </c>
      <c r="B1612" t="str">
        <f>COUNTIF($E$2:E1499,E1499)&amp;E1499</f>
        <v>0</v>
      </c>
    </row>
    <row r="1613" spans="1:2" x14ac:dyDescent="0.25">
      <c r="A1613" t="str">
        <f>COUNTIF($D$2:D1500,D1500)&amp;D1500</f>
        <v>0</v>
      </c>
      <c r="B1613" t="str">
        <f>COUNTIF($E$2:E1500,E1500)&amp;E1500</f>
        <v>0</v>
      </c>
    </row>
    <row r="1614" spans="1:2" x14ac:dyDescent="0.25">
      <c r="A1614" t="str">
        <f>COUNTIF($D$2:D1501,D1501)&amp;D1501</f>
        <v>0</v>
      </c>
      <c r="B1614" t="str">
        <f>COUNTIF($E$2:E1501,E1501)&amp;E1501</f>
        <v>0</v>
      </c>
    </row>
    <row r="1615" spans="1:2" x14ac:dyDescent="0.25">
      <c r="A1615" t="str">
        <f>COUNTIF($D$2:D1502,D1502)&amp;D1502</f>
        <v>0</v>
      </c>
      <c r="B1615" t="str">
        <f>COUNTIF($E$2:E1502,E1502)&amp;E1502</f>
        <v>0</v>
      </c>
    </row>
    <row r="1616" spans="1:2" x14ac:dyDescent="0.25">
      <c r="A1616" t="str">
        <f>COUNTIF($D$2:D1503,D1503)&amp;D1503</f>
        <v>0</v>
      </c>
      <c r="B1616" t="str">
        <f>COUNTIF($E$2:E1503,E1503)&amp;E1503</f>
        <v>0</v>
      </c>
    </row>
    <row r="1617" spans="1:2" x14ac:dyDescent="0.25">
      <c r="A1617" t="str">
        <f>COUNTIF($D$2:D1504,D1504)&amp;D1504</f>
        <v>0</v>
      </c>
      <c r="B1617" t="str">
        <f>COUNTIF($E$2:E1504,E1504)&amp;E1504</f>
        <v>0</v>
      </c>
    </row>
    <row r="1618" spans="1:2" x14ac:dyDescent="0.25">
      <c r="A1618" t="str">
        <f>COUNTIF($D$2:D1505,D1505)&amp;D1505</f>
        <v>0</v>
      </c>
      <c r="B1618" t="str">
        <f>COUNTIF($E$2:E1505,E1505)&amp;E1505</f>
        <v>0</v>
      </c>
    </row>
    <row r="1619" spans="1:2" x14ac:dyDescent="0.25">
      <c r="A1619" t="str">
        <f>COUNTIF($D$2:D1506,D1506)&amp;D1506</f>
        <v>0</v>
      </c>
      <c r="B1619" t="str">
        <f>COUNTIF($E$2:E1506,E1506)&amp;E1506</f>
        <v>0</v>
      </c>
    </row>
    <row r="1620" spans="1:2" x14ac:dyDescent="0.25">
      <c r="A1620" t="str">
        <f>COUNTIF($D$2:D1507,D1507)&amp;D1507</f>
        <v>0</v>
      </c>
      <c r="B1620" t="str">
        <f>COUNTIF($E$2:E1507,E1507)&amp;E1507</f>
        <v>0</v>
      </c>
    </row>
    <row r="1621" spans="1:2" x14ac:dyDescent="0.25">
      <c r="A1621" t="str">
        <f>COUNTIF($D$2:D1508,D1508)&amp;D1508</f>
        <v>0</v>
      </c>
      <c r="B1621" t="str">
        <f>COUNTIF($E$2:E1508,E1508)&amp;E1508</f>
        <v>0</v>
      </c>
    </row>
    <row r="1622" spans="1:2" x14ac:dyDescent="0.25">
      <c r="A1622" t="str">
        <f>COUNTIF($D$2:D1509,D1509)&amp;D1509</f>
        <v>0</v>
      </c>
      <c r="B1622" t="str">
        <f>COUNTIF($E$2:E1509,E1509)&amp;E1509</f>
        <v>0</v>
      </c>
    </row>
    <row r="1623" spans="1:2" x14ac:dyDescent="0.25">
      <c r="A1623" t="str">
        <f>COUNTIF($D$2:D1510,D1510)&amp;D1510</f>
        <v>0</v>
      </c>
      <c r="B1623" t="str">
        <f>COUNTIF($E$2:E1510,E1510)&amp;E1510</f>
        <v>0</v>
      </c>
    </row>
    <row r="1624" spans="1:2" x14ac:dyDescent="0.25">
      <c r="A1624" t="str">
        <f>COUNTIF($D$2:D1511,D1511)&amp;D1511</f>
        <v>0</v>
      </c>
      <c r="B1624" t="str">
        <f>COUNTIF($E$2:E1511,E1511)&amp;E1511</f>
        <v>0</v>
      </c>
    </row>
    <row r="1625" spans="1:2" x14ac:dyDescent="0.25">
      <c r="A1625" t="str">
        <f>COUNTIF($D$2:D1512,D1512)&amp;D1512</f>
        <v>0</v>
      </c>
      <c r="B1625" t="str">
        <f>COUNTIF($E$2:E1512,E1512)&amp;E1512</f>
        <v>0</v>
      </c>
    </row>
    <row r="1626" spans="1:2" x14ac:dyDescent="0.25">
      <c r="A1626" t="str">
        <f>COUNTIF($D$2:D1513,D1513)&amp;D1513</f>
        <v>0</v>
      </c>
      <c r="B1626" t="str">
        <f>COUNTIF($E$2:E1513,E1513)&amp;E1513</f>
        <v>0</v>
      </c>
    </row>
    <row r="1627" spans="1:2" x14ac:dyDescent="0.25">
      <c r="A1627" t="str">
        <f>COUNTIF($D$2:D1514,D1514)&amp;D1514</f>
        <v>0</v>
      </c>
      <c r="B1627" t="str">
        <f>COUNTIF($E$2:E1514,E1514)&amp;E1514</f>
        <v>0</v>
      </c>
    </row>
    <row r="1628" spans="1:2" x14ac:dyDescent="0.25">
      <c r="A1628" t="str">
        <f>COUNTIF($D$2:D1515,D1515)&amp;D1515</f>
        <v>0</v>
      </c>
      <c r="B1628" t="str">
        <f>COUNTIF($E$2:E1515,E1515)&amp;E1515</f>
        <v>0</v>
      </c>
    </row>
    <row r="1629" spans="1:2" x14ac:dyDescent="0.25">
      <c r="A1629" t="str">
        <f>COUNTIF($D$2:D1516,D1516)&amp;D1516</f>
        <v>0</v>
      </c>
      <c r="B1629" t="str">
        <f>COUNTIF($E$2:E1516,E1516)&amp;E1516</f>
        <v>0</v>
      </c>
    </row>
    <row r="1630" spans="1:2" x14ac:dyDescent="0.25">
      <c r="A1630" t="str">
        <f>COUNTIF($D$2:D1517,D1517)&amp;D1517</f>
        <v>0</v>
      </c>
      <c r="B1630" t="str">
        <f>COUNTIF($E$2:E1517,E1517)&amp;E1517</f>
        <v>0</v>
      </c>
    </row>
    <row r="1631" spans="1:2" x14ac:dyDescent="0.25">
      <c r="A1631" t="str">
        <f>COUNTIF($D$2:D1518,D1518)&amp;D1518</f>
        <v>0</v>
      </c>
      <c r="B1631" t="str">
        <f>COUNTIF($E$2:E1518,E1518)&amp;E1518</f>
        <v>0</v>
      </c>
    </row>
    <row r="1632" spans="1:2" x14ac:dyDescent="0.25">
      <c r="A1632" t="str">
        <f>COUNTIF($D$2:D1519,D1519)&amp;D1519</f>
        <v>0</v>
      </c>
      <c r="B1632" t="str">
        <f>COUNTIF($E$2:E1519,E1519)&amp;E1519</f>
        <v>0</v>
      </c>
    </row>
    <row r="1633" spans="1:2" x14ac:dyDescent="0.25">
      <c r="A1633" t="str">
        <f>COUNTIF($D$2:D1520,D1520)&amp;D1520</f>
        <v>0</v>
      </c>
      <c r="B1633" t="str">
        <f>COUNTIF($E$2:E1520,E1520)&amp;E1520</f>
        <v>0</v>
      </c>
    </row>
    <row r="1634" spans="1:2" x14ac:dyDescent="0.25">
      <c r="A1634" t="str">
        <f>COUNTIF($D$2:D1521,D1521)&amp;D1521</f>
        <v>0</v>
      </c>
      <c r="B1634" t="str">
        <f>COUNTIF($E$2:E1521,E1521)&amp;E1521</f>
        <v>0</v>
      </c>
    </row>
    <row r="1635" spans="1:2" x14ac:dyDescent="0.25">
      <c r="A1635" t="str">
        <f>COUNTIF($D$2:D1522,D1522)&amp;D1522</f>
        <v>0</v>
      </c>
      <c r="B1635" t="str">
        <f>COUNTIF($E$2:E1522,E1522)&amp;E1522</f>
        <v>0</v>
      </c>
    </row>
    <row r="1636" spans="1:2" x14ac:dyDescent="0.25">
      <c r="A1636" t="str">
        <f>COUNTIF($D$2:D1523,D1523)&amp;D1523</f>
        <v>0</v>
      </c>
      <c r="B1636" t="str">
        <f>COUNTIF($E$2:E1523,E1523)&amp;E1523</f>
        <v>0</v>
      </c>
    </row>
    <row r="1637" spans="1:2" x14ac:dyDescent="0.25">
      <c r="A1637" t="str">
        <f>COUNTIF($D$2:D1524,D1524)&amp;D1524</f>
        <v>0</v>
      </c>
      <c r="B1637" t="str">
        <f>COUNTIF($E$2:E1524,E1524)&amp;E1524</f>
        <v>0</v>
      </c>
    </row>
    <row r="1638" spans="1:2" x14ac:dyDescent="0.25">
      <c r="A1638" t="str">
        <f>COUNTIF($D$2:D1525,D1525)&amp;D1525</f>
        <v>0</v>
      </c>
      <c r="B1638" t="str">
        <f>COUNTIF($E$2:E1525,E1525)&amp;E1525</f>
        <v>0</v>
      </c>
    </row>
    <row r="1639" spans="1:2" x14ac:dyDescent="0.25">
      <c r="A1639" t="str">
        <f>COUNTIF($D$2:D1526,D1526)&amp;D1526</f>
        <v>0</v>
      </c>
      <c r="B1639" t="str">
        <f>COUNTIF($E$2:E1526,E1526)&amp;E1526</f>
        <v>0</v>
      </c>
    </row>
    <row r="1640" spans="1:2" x14ac:dyDescent="0.25">
      <c r="A1640" t="str">
        <f>COUNTIF($D$2:D1527,D1527)&amp;D1527</f>
        <v>0</v>
      </c>
      <c r="B1640" t="str">
        <f>COUNTIF($E$2:E1527,E1527)&amp;E1527</f>
        <v>0</v>
      </c>
    </row>
    <row r="1641" spans="1:2" x14ac:dyDescent="0.25">
      <c r="A1641" t="str">
        <f>COUNTIF($D$2:D1528,D1528)&amp;D1528</f>
        <v>0</v>
      </c>
      <c r="B1641" t="str">
        <f>COUNTIF($E$2:E1528,E1528)&amp;E1528</f>
        <v>0</v>
      </c>
    </row>
    <row r="1642" spans="1:2" x14ac:dyDescent="0.25">
      <c r="A1642" t="str">
        <f>COUNTIF($D$2:D1529,D1529)&amp;D1529</f>
        <v>0</v>
      </c>
      <c r="B1642" t="str">
        <f>COUNTIF($E$2:E1529,E1529)&amp;E1529</f>
        <v>0</v>
      </c>
    </row>
    <row r="1643" spans="1:2" x14ac:dyDescent="0.25">
      <c r="A1643" t="str">
        <f>COUNTIF($D$2:D1530,D1530)&amp;D1530</f>
        <v>0</v>
      </c>
      <c r="B1643" t="str">
        <f>COUNTIF($E$2:E1530,E1530)&amp;E1530</f>
        <v>0</v>
      </c>
    </row>
    <row r="1644" spans="1:2" x14ac:dyDescent="0.25">
      <c r="A1644" t="str">
        <f>COUNTIF($D$2:D1531,D1531)&amp;D1531</f>
        <v>0</v>
      </c>
      <c r="B1644" t="str">
        <f>COUNTIF($E$2:E1531,E1531)&amp;E1531</f>
        <v>0</v>
      </c>
    </row>
    <row r="1645" spans="1:2" x14ac:dyDescent="0.25">
      <c r="A1645" t="str">
        <f>COUNTIF($D$2:D1532,D1532)&amp;D1532</f>
        <v>0</v>
      </c>
      <c r="B1645" t="str">
        <f>COUNTIF($E$2:E1532,E1532)&amp;E1532</f>
        <v>0</v>
      </c>
    </row>
    <row r="1646" spans="1:2" x14ac:dyDescent="0.25">
      <c r="A1646" t="str">
        <f>COUNTIF($D$2:D1533,D1533)&amp;D1533</f>
        <v>0</v>
      </c>
      <c r="B1646" t="str">
        <f>COUNTIF($E$2:E1533,E1533)&amp;E1533</f>
        <v>0</v>
      </c>
    </row>
    <row r="1647" spans="1:2" x14ac:dyDescent="0.25">
      <c r="A1647" t="str">
        <f>COUNTIF($D$2:D1534,D1534)&amp;D1534</f>
        <v>0</v>
      </c>
      <c r="B1647" t="str">
        <f>COUNTIF($E$2:E1534,E1534)&amp;E1534</f>
        <v>0</v>
      </c>
    </row>
    <row r="1648" spans="1:2" x14ac:dyDescent="0.25">
      <c r="A1648" t="str">
        <f>COUNTIF($D$2:D1535,D1535)&amp;D1535</f>
        <v>0</v>
      </c>
      <c r="B1648" t="str">
        <f>COUNTIF($E$2:E1535,E1535)&amp;E1535</f>
        <v>0</v>
      </c>
    </row>
    <row r="1649" spans="1:2" x14ac:dyDescent="0.25">
      <c r="A1649" t="str">
        <f>COUNTIF($D$2:D1536,D1536)&amp;D1536</f>
        <v>0</v>
      </c>
      <c r="B1649" t="str">
        <f>COUNTIF($E$2:E1536,E1536)&amp;E1536</f>
        <v>0</v>
      </c>
    </row>
    <row r="1650" spans="1:2" x14ac:dyDescent="0.25">
      <c r="A1650" t="str">
        <f>COUNTIF($D$2:D1537,D1537)&amp;D1537</f>
        <v>0</v>
      </c>
      <c r="B1650" t="str">
        <f>COUNTIF($E$2:E1537,E1537)&amp;E1537</f>
        <v>0</v>
      </c>
    </row>
    <row r="1651" spans="1:2" x14ac:dyDescent="0.25">
      <c r="A1651" t="str">
        <f>COUNTIF($D$2:D1538,D1538)&amp;D1538</f>
        <v>0</v>
      </c>
      <c r="B1651" t="str">
        <f>COUNTIF($E$2:E1538,E1538)&amp;E1538</f>
        <v>0</v>
      </c>
    </row>
    <row r="1652" spans="1:2" x14ac:dyDescent="0.25">
      <c r="A1652" t="str">
        <f>COUNTIF($D$2:D1539,D1539)&amp;D1539</f>
        <v>0</v>
      </c>
      <c r="B1652" t="str">
        <f>COUNTIF($E$2:E1539,E1539)&amp;E1539</f>
        <v>0</v>
      </c>
    </row>
    <row r="1653" spans="1:2" x14ac:dyDescent="0.25">
      <c r="A1653" t="str">
        <f>COUNTIF($D$2:D1540,D1540)&amp;D1540</f>
        <v>0</v>
      </c>
      <c r="B1653" t="str">
        <f>COUNTIF($E$2:E1540,E1540)&amp;E1540</f>
        <v>0</v>
      </c>
    </row>
    <row r="1654" spans="1:2" x14ac:dyDescent="0.25">
      <c r="A1654" t="str">
        <f>COUNTIF($D$2:D1541,D1541)&amp;D1541</f>
        <v>0</v>
      </c>
      <c r="B1654" t="str">
        <f>COUNTIF($E$2:E1541,E1541)&amp;E1541</f>
        <v>0</v>
      </c>
    </row>
    <row r="1655" spans="1:2" x14ac:dyDescent="0.25">
      <c r="A1655" t="str">
        <f>COUNTIF($D$2:D1542,D1542)&amp;D1542</f>
        <v>0</v>
      </c>
      <c r="B1655" t="str">
        <f>COUNTIF($E$2:E1542,E1542)&amp;E1542</f>
        <v>0</v>
      </c>
    </row>
    <row r="1656" spans="1:2" x14ac:dyDescent="0.25">
      <c r="A1656" t="str">
        <f>COUNTIF($D$2:D1543,D1543)&amp;D1543</f>
        <v>0</v>
      </c>
      <c r="B1656" t="str">
        <f>COUNTIF($E$2:E1543,E1543)&amp;E1543</f>
        <v>0</v>
      </c>
    </row>
    <row r="1657" spans="1:2" x14ac:dyDescent="0.25">
      <c r="A1657" t="str">
        <f>COUNTIF($D$2:D1544,D1544)&amp;D1544</f>
        <v>0</v>
      </c>
      <c r="B1657" t="str">
        <f>COUNTIF($E$2:E1544,E1544)&amp;E1544</f>
        <v>0</v>
      </c>
    </row>
    <row r="1658" spans="1:2" x14ac:dyDescent="0.25">
      <c r="A1658" t="str">
        <f>COUNTIF($D$2:D1545,D1545)&amp;D1545</f>
        <v>0</v>
      </c>
      <c r="B1658" t="str">
        <f>COUNTIF($E$2:E1545,E1545)&amp;E1545</f>
        <v>0</v>
      </c>
    </row>
    <row r="1659" spans="1:2" x14ac:dyDescent="0.25">
      <c r="A1659" t="str">
        <f>COUNTIF($D$2:D1546,D1546)&amp;D1546</f>
        <v>0</v>
      </c>
      <c r="B1659" t="str">
        <f>COUNTIF($E$2:E1546,E1546)&amp;E1546</f>
        <v>0</v>
      </c>
    </row>
    <row r="1660" spans="1:2" x14ac:dyDescent="0.25">
      <c r="A1660" t="str">
        <f>COUNTIF($D$2:D1547,D1547)&amp;D1547</f>
        <v>0</v>
      </c>
      <c r="B1660" t="str">
        <f>COUNTIF($E$2:E1547,E1547)&amp;E1547</f>
        <v>0</v>
      </c>
    </row>
    <row r="1661" spans="1:2" x14ac:dyDescent="0.25">
      <c r="A1661" t="str">
        <f>COUNTIF($D$2:D1548,D1548)&amp;D1548</f>
        <v>0</v>
      </c>
      <c r="B1661" t="str">
        <f>COUNTIF($E$2:E1548,E1548)&amp;E1548</f>
        <v>0</v>
      </c>
    </row>
    <row r="1662" spans="1:2" x14ac:dyDescent="0.25">
      <c r="A1662" t="str">
        <f>COUNTIF($D$2:D1549,D1549)&amp;D1549</f>
        <v>0</v>
      </c>
      <c r="B1662" t="str">
        <f>COUNTIF($E$2:E1549,E1549)&amp;E1549</f>
        <v>0</v>
      </c>
    </row>
    <row r="1663" spans="1:2" x14ac:dyDescent="0.25">
      <c r="A1663" t="str">
        <f>COUNTIF($D$2:D1550,D1550)&amp;D1550</f>
        <v>0</v>
      </c>
      <c r="B1663" t="str">
        <f>COUNTIF($E$2:E1550,E1550)&amp;E1550</f>
        <v>0</v>
      </c>
    </row>
    <row r="1664" spans="1:2" x14ac:dyDescent="0.25">
      <c r="A1664" t="str">
        <f>COUNTIF($D$2:D1551,D1551)&amp;D1551</f>
        <v>0</v>
      </c>
      <c r="B1664" t="str">
        <f>COUNTIF($E$2:E1551,E1551)&amp;E1551</f>
        <v>0</v>
      </c>
    </row>
    <row r="1665" spans="1:2" x14ac:dyDescent="0.25">
      <c r="A1665" t="str">
        <f>COUNTIF($D$2:D1552,D1552)&amp;D1552</f>
        <v>0</v>
      </c>
      <c r="B1665" t="str">
        <f>COUNTIF($E$2:E1552,E1552)&amp;E1552</f>
        <v>0</v>
      </c>
    </row>
    <row r="1666" spans="1:2" x14ac:dyDescent="0.25">
      <c r="A1666" t="str">
        <f>COUNTIF($D$2:D1553,D1553)&amp;D1553</f>
        <v>0</v>
      </c>
      <c r="B1666" t="str">
        <f>COUNTIF($E$2:E1553,E1553)&amp;E1553</f>
        <v>0</v>
      </c>
    </row>
    <row r="1667" spans="1:2" x14ac:dyDescent="0.25">
      <c r="A1667" t="str">
        <f>COUNTIF($D$2:D1554,D1554)&amp;D1554</f>
        <v>0</v>
      </c>
      <c r="B1667" t="str">
        <f>COUNTIF($E$2:E1554,E1554)&amp;E1554</f>
        <v>0</v>
      </c>
    </row>
    <row r="1668" spans="1:2" x14ac:dyDescent="0.25">
      <c r="A1668" t="str">
        <f>COUNTIF($D$2:D1555,D1555)&amp;D1555</f>
        <v>0</v>
      </c>
      <c r="B1668" t="str">
        <f>COUNTIF($E$2:E1555,E1555)&amp;E1555</f>
        <v>0</v>
      </c>
    </row>
    <row r="1669" spans="1:2" x14ac:dyDescent="0.25">
      <c r="A1669" t="str">
        <f>COUNTIF($D$2:D1556,D1556)&amp;D1556</f>
        <v>0</v>
      </c>
      <c r="B1669" t="str">
        <f>COUNTIF($E$2:E1556,E1556)&amp;E1556</f>
        <v>0</v>
      </c>
    </row>
    <row r="1670" spans="1:2" x14ac:dyDescent="0.25">
      <c r="A1670" t="str">
        <f>COUNTIF($D$2:D1557,D1557)&amp;D1557</f>
        <v>0</v>
      </c>
      <c r="B1670" t="str">
        <f>COUNTIF($E$2:E1557,E1557)&amp;E1557</f>
        <v>0</v>
      </c>
    </row>
    <row r="1671" spans="1:2" x14ac:dyDescent="0.25">
      <c r="A1671" t="str">
        <f>COUNTIF($D$2:D1558,D1558)&amp;D1558</f>
        <v>0</v>
      </c>
      <c r="B1671" t="str">
        <f>COUNTIF($E$2:E1558,E1558)&amp;E1558</f>
        <v>0</v>
      </c>
    </row>
    <row r="1672" spans="1:2" x14ac:dyDescent="0.25">
      <c r="A1672" t="str">
        <f>COUNTIF($D$2:D1559,D1559)&amp;D1559</f>
        <v>0</v>
      </c>
      <c r="B1672" t="str">
        <f>COUNTIF($E$2:E1559,E1559)&amp;E1559</f>
        <v>0</v>
      </c>
    </row>
    <row r="1673" spans="1:2" x14ac:dyDescent="0.25">
      <c r="A1673" t="str">
        <f>COUNTIF($D$2:D1560,D1560)&amp;D1560</f>
        <v>0</v>
      </c>
      <c r="B1673" t="str">
        <f>COUNTIF($E$2:E1560,E1560)&amp;E1560</f>
        <v>0</v>
      </c>
    </row>
    <row r="1674" spans="1:2" x14ac:dyDescent="0.25">
      <c r="A1674" t="str">
        <f>COUNTIF($D$2:D1561,D1561)&amp;D1561</f>
        <v>0</v>
      </c>
      <c r="B1674" t="str">
        <f>COUNTIF($E$2:E1561,E1561)&amp;E1561</f>
        <v>0</v>
      </c>
    </row>
    <row r="1675" spans="1:2" x14ac:dyDescent="0.25">
      <c r="A1675" t="str">
        <f>COUNTIF($D$2:D1562,D1562)&amp;D1562</f>
        <v>0</v>
      </c>
      <c r="B1675" t="str">
        <f>COUNTIF($E$2:E1562,E1562)&amp;E1562</f>
        <v>0</v>
      </c>
    </row>
    <row r="1676" spans="1:2" x14ac:dyDescent="0.25">
      <c r="A1676" t="str">
        <f>COUNTIF($D$2:D1563,D1563)&amp;D1563</f>
        <v>0</v>
      </c>
      <c r="B1676" t="str">
        <f>COUNTIF($E$2:E1563,E1563)&amp;E1563</f>
        <v>0</v>
      </c>
    </row>
    <row r="1677" spans="1:2" x14ac:dyDescent="0.25">
      <c r="A1677" t="str">
        <f>COUNTIF($D$2:D1564,D1564)&amp;D1564</f>
        <v>0</v>
      </c>
      <c r="B1677" t="str">
        <f>COUNTIF($E$2:E1564,E1564)&amp;E1564</f>
        <v>0</v>
      </c>
    </row>
    <row r="1678" spans="1:2" x14ac:dyDescent="0.25">
      <c r="A1678" t="str">
        <f>COUNTIF($D$2:D1565,D1565)&amp;D1565</f>
        <v>0</v>
      </c>
      <c r="B1678" t="str">
        <f>COUNTIF($E$2:E1565,E1565)&amp;E1565</f>
        <v>0</v>
      </c>
    </row>
    <row r="1679" spans="1:2" x14ac:dyDescent="0.25">
      <c r="A1679" t="str">
        <f>COUNTIF($D$2:D1566,D1566)&amp;D1566</f>
        <v>0</v>
      </c>
      <c r="B1679" t="str">
        <f>COUNTIF($E$2:E1566,E1566)&amp;E1566</f>
        <v>0</v>
      </c>
    </row>
    <row r="1680" spans="1:2" x14ac:dyDescent="0.25">
      <c r="A1680" t="str">
        <f>COUNTIF($D$2:D1567,D1567)&amp;D1567</f>
        <v>0</v>
      </c>
      <c r="B1680" t="str">
        <f>COUNTIF($E$2:E1567,E1567)&amp;E1567</f>
        <v>0</v>
      </c>
    </row>
    <row r="1681" spans="1:2" x14ac:dyDescent="0.25">
      <c r="A1681" t="str">
        <f>COUNTIF($D$2:D1568,D1568)&amp;D1568</f>
        <v>0</v>
      </c>
      <c r="B1681" t="str">
        <f>COUNTIF($E$2:E1568,E1568)&amp;E1568</f>
        <v>0</v>
      </c>
    </row>
    <row r="1682" spans="1:2" x14ac:dyDescent="0.25">
      <c r="A1682" t="str">
        <f>COUNTIF($D$2:D1569,D1569)&amp;D1569</f>
        <v>0</v>
      </c>
      <c r="B1682" t="str">
        <f>COUNTIF($E$2:E1569,E1569)&amp;E1569</f>
        <v>0</v>
      </c>
    </row>
    <row r="1683" spans="1:2" x14ac:dyDescent="0.25">
      <c r="A1683" t="str">
        <f>COUNTIF($D$2:D1570,D1570)&amp;D1570</f>
        <v>0</v>
      </c>
      <c r="B1683" t="str">
        <f>COUNTIF($E$2:E1570,E1570)&amp;E1570</f>
        <v>0</v>
      </c>
    </row>
    <row r="1684" spans="1:2" x14ac:dyDescent="0.25">
      <c r="A1684" t="str">
        <f>COUNTIF($D$2:D1571,D1571)&amp;D1571</f>
        <v>0</v>
      </c>
      <c r="B1684" t="str">
        <f>COUNTIF($E$2:E1571,E1571)&amp;E1571</f>
        <v>0</v>
      </c>
    </row>
    <row r="1685" spans="1:2" x14ac:dyDescent="0.25">
      <c r="A1685" t="str">
        <f>COUNTIF($D$2:D1572,D1572)&amp;D1572</f>
        <v>0</v>
      </c>
      <c r="B1685" t="str">
        <f>COUNTIF($E$2:E1572,E1572)&amp;E1572</f>
        <v>0</v>
      </c>
    </row>
    <row r="1686" spans="1:2" x14ac:dyDescent="0.25">
      <c r="A1686" t="str">
        <f>COUNTIF($D$2:D1573,D1573)&amp;D1573</f>
        <v>0</v>
      </c>
      <c r="B1686" t="str">
        <f>COUNTIF($E$2:E1573,E1573)&amp;E1573</f>
        <v>0</v>
      </c>
    </row>
    <row r="1687" spans="1:2" x14ac:dyDescent="0.25">
      <c r="A1687" t="str">
        <f>COUNTIF($D$2:D1574,D1574)&amp;D1574</f>
        <v>0</v>
      </c>
      <c r="B1687" t="str">
        <f>COUNTIF($E$2:E1574,E1574)&amp;E1574</f>
        <v>0</v>
      </c>
    </row>
    <row r="1688" spans="1:2" x14ac:dyDescent="0.25">
      <c r="A1688" t="str">
        <f>COUNTIF($D$2:D1575,D1575)&amp;D1575</f>
        <v>0</v>
      </c>
      <c r="B1688" t="str">
        <f>COUNTIF($E$2:E1575,E1575)&amp;E1575</f>
        <v>0</v>
      </c>
    </row>
    <row r="1689" spans="1:2" x14ac:dyDescent="0.25">
      <c r="A1689" t="str">
        <f>COUNTIF($D$2:D1576,D1576)&amp;D1576</f>
        <v>0</v>
      </c>
      <c r="B1689" t="str">
        <f>COUNTIF($E$2:E1576,E1576)&amp;E1576</f>
        <v>0</v>
      </c>
    </row>
    <row r="1690" spans="1:2" x14ac:dyDescent="0.25">
      <c r="A1690" t="str">
        <f>COUNTIF($D$2:D1577,D1577)&amp;D1577</f>
        <v>0</v>
      </c>
      <c r="B1690" t="str">
        <f>COUNTIF($E$2:E1577,E1577)&amp;E1577</f>
        <v>0</v>
      </c>
    </row>
    <row r="1691" spans="1:2" x14ac:dyDescent="0.25">
      <c r="A1691" t="str">
        <f>COUNTIF($D$2:D1578,D1578)&amp;D1578</f>
        <v>0</v>
      </c>
      <c r="B1691" t="str">
        <f>COUNTIF($E$2:E1578,E1578)&amp;E1578</f>
        <v>0</v>
      </c>
    </row>
    <row r="1692" spans="1:2" x14ac:dyDescent="0.25">
      <c r="A1692" t="str">
        <f>COUNTIF($D$2:D1579,D1579)&amp;D1579</f>
        <v>0</v>
      </c>
      <c r="B1692" t="str">
        <f>COUNTIF($E$2:E1579,E1579)&amp;E1579</f>
        <v>0</v>
      </c>
    </row>
    <row r="1693" spans="1:2" x14ac:dyDescent="0.25">
      <c r="A1693" t="str">
        <f>COUNTIF($D$2:D1580,D1580)&amp;D1580</f>
        <v>0</v>
      </c>
      <c r="B1693" t="str">
        <f>COUNTIF($E$2:E1580,E1580)&amp;E1580</f>
        <v>0</v>
      </c>
    </row>
    <row r="1694" spans="1:2" x14ac:dyDescent="0.25">
      <c r="A1694" t="str">
        <f>COUNTIF($D$2:D1581,D1581)&amp;D1581</f>
        <v>0</v>
      </c>
      <c r="B1694" t="str">
        <f>COUNTIF($E$2:E1581,E1581)&amp;E1581</f>
        <v>0</v>
      </c>
    </row>
    <row r="1695" spans="1:2" x14ac:dyDescent="0.25">
      <c r="A1695" t="str">
        <f>COUNTIF($D$2:D1582,D1582)&amp;D1582</f>
        <v>0</v>
      </c>
      <c r="B1695" t="str">
        <f>COUNTIF($E$2:E1582,E1582)&amp;E1582</f>
        <v>0</v>
      </c>
    </row>
    <row r="1696" spans="1:2" x14ac:dyDescent="0.25">
      <c r="A1696" t="str">
        <f>COUNTIF($D$2:D1583,D1583)&amp;D1583</f>
        <v>0</v>
      </c>
      <c r="B1696" t="str">
        <f>COUNTIF($E$2:E1583,E1583)&amp;E1583</f>
        <v>0</v>
      </c>
    </row>
    <row r="1697" spans="1:2" x14ac:dyDescent="0.25">
      <c r="A1697" t="str">
        <f>COUNTIF($D$2:D1584,D1584)&amp;D1584</f>
        <v>0</v>
      </c>
      <c r="B1697" t="str">
        <f>COUNTIF($E$2:E1584,E1584)&amp;E1584</f>
        <v>0</v>
      </c>
    </row>
    <row r="1698" spans="1:2" x14ac:dyDescent="0.25">
      <c r="A1698" t="str">
        <f>COUNTIF($D$2:D1585,D1585)&amp;D1585</f>
        <v>0</v>
      </c>
      <c r="B1698" t="str">
        <f>COUNTIF($E$2:E1585,E1585)&amp;E1585</f>
        <v>0</v>
      </c>
    </row>
    <row r="1699" spans="1:2" x14ac:dyDescent="0.25">
      <c r="A1699" t="str">
        <f>COUNTIF($D$2:D1586,D1586)&amp;D1586</f>
        <v>0</v>
      </c>
      <c r="B1699" t="str">
        <f>COUNTIF($E$2:E1586,E1586)&amp;E1586</f>
        <v>0</v>
      </c>
    </row>
    <row r="1700" spans="1:2" x14ac:dyDescent="0.25">
      <c r="A1700" t="str">
        <f>COUNTIF($D$2:D1587,D1587)&amp;D1587</f>
        <v>0</v>
      </c>
      <c r="B1700" t="str">
        <f>COUNTIF($E$2:E1587,E1587)&amp;E1587</f>
        <v>0</v>
      </c>
    </row>
    <row r="1701" spans="1:2" x14ac:dyDescent="0.25">
      <c r="A1701" t="str">
        <f>COUNTIF($D$2:D1588,D1588)&amp;D1588</f>
        <v>0</v>
      </c>
      <c r="B1701" t="str">
        <f>COUNTIF($E$2:E1588,E1588)&amp;E1588</f>
        <v>0</v>
      </c>
    </row>
    <row r="1702" spans="1:2" x14ac:dyDescent="0.25">
      <c r="A1702" t="str">
        <f>COUNTIF($D$2:D1589,D1589)&amp;D1589</f>
        <v>0</v>
      </c>
      <c r="B1702" t="str">
        <f>COUNTIF($E$2:E1589,E1589)&amp;E1589</f>
        <v>0</v>
      </c>
    </row>
    <row r="1703" spans="1:2" x14ac:dyDescent="0.25">
      <c r="A1703" t="str">
        <f>COUNTIF($D$2:D1590,D1590)&amp;D1590</f>
        <v>0</v>
      </c>
      <c r="B1703" t="str">
        <f>COUNTIF($E$2:E1590,E1590)&amp;E1590</f>
        <v>0</v>
      </c>
    </row>
    <row r="1704" spans="1:2" x14ac:dyDescent="0.25">
      <c r="A1704" t="str">
        <f>COUNTIF($D$2:D1591,D1591)&amp;D1591</f>
        <v>0</v>
      </c>
      <c r="B1704" t="str">
        <f>COUNTIF($E$2:E1591,E1591)&amp;E1591</f>
        <v>0</v>
      </c>
    </row>
    <row r="1705" spans="1:2" x14ac:dyDescent="0.25">
      <c r="A1705" t="str">
        <f>COUNTIF($D$2:D1592,D1592)&amp;D1592</f>
        <v>0</v>
      </c>
      <c r="B1705" t="str">
        <f>COUNTIF($E$2:E1592,E1592)&amp;E1592</f>
        <v>0</v>
      </c>
    </row>
    <row r="1706" spans="1:2" x14ac:dyDescent="0.25">
      <c r="A1706" t="str">
        <f>COUNTIF($D$2:D1593,D1593)&amp;D1593</f>
        <v>0</v>
      </c>
      <c r="B1706" t="str">
        <f>COUNTIF($E$2:E1593,E1593)&amp;E1593</f>
        <v>0</v>
      </c>
    </row>
    <row r="1707" spans="1:2" x14ac:dyDescent="0.25">
      <c r="A1707" t="str">
        <f>COUNTIF($D$2:D1594,D1594)&amp;D1594</f>
        <v>0</v>
      </c>
      <c r="B1707" t="str">
        <f>COUNTIF($E$2:E1594,E1594)&amp;E1594</f>
        <v>0</v>
      </c>
    </row>
    <row r="1708" spans="1:2" x14ac:dyDescent="0.25">
      <c r="A1708" t="str">
        <f>COUNTIF($D$2:D1595,D1595)&amp;D1595</f>
        <v>0</v>
      </c>
      <c r="B1708" t="str">
        <f>COUNTIF($E$2:E1595,E1595)&amp;E1595</f>
        <v>0</v>
      </c>
    </row>
    <row r="1709" spans="1:2" x14ac:dyDescent="0.25">
      <c r="A1709" t="str">
        <f>COUNTIF($D$2:D1596,D1596)&amp;D1596</f>
        <v>0</v>
      </c>
      <c r="B1709" t="str">
        <f>COUNTIF($E$2:E1596,E1596)&amp;E1596</f>
        <v>0</v>
      </c>
    </row>
    <row r="1710" spans="1:2" x14ac:dyDescent="0.25">
      <c r="A1710" t="str">
        <f>COUNTIF($D$2:D1597,D1597)&amp;D1597</f>
        <v>0</v>
      </c>
      <c r="B1710" t="str">
        <f>COUNTIF($E$2:E1597,E1597)&amp;E1597</f>
        <v>0</v>
      </c>
    </row>
    <row r="1711" spans="1:2" x14ac:dyDescent="0.25">
      <c r="A1711" t="str">
        <f>COUNTIF($D$2:D1598,D1598)&amp;D1598</f>
        <v>0</v>
      </c>
      <c r="B1711" t="str">
        <f>COUNTIF($E$2:E1598,E1598)&amp;E1598</f>
        <v>0</v>
      </c>
    </row>
    <row r="1712" spans="1:2" x14ac:dyDescent="0.25">
      <c r="A1712" t="str">
        <f>COUNTIF($D$2:D1599,D1599)&amp;D1599</f>
        <v>0</v>
      </c>
      <c r="B1712" t="str">
        <f>COUNTIF($E$2:E1599,E1599)&amp;E1599</f>
        <v>0</v>
      </c>
    </row>
    <row r="1713" spans="1:2" x14ac:dyDescent="0.25">
      <c r="A1713" t="str">
        <f>COUNTIF($D$2:D1600,D1600)&amp;D1600</f>
        <v>0</v>
      </c>
      <c r="B1713" t="str">
        <f>COUNTIF($E$2:E1600,E1600)&amp;E1600</f>
        <v>0</v>
      </c>
    </row>
    <row r="1714" spans="1:2" x14ac:dyDescent="0.25">
      <c r="A1714" t="str">
        <f>COUNTIF($D$2:D1601,D1601)&amp;D1601</f>
        <v>0</v>
      </c>
      <c r="B1714" t="str">
        <f>COUNTIF($E$2:E1601,E1601)&amp;E1601</f>
        <v>0</v>
      </c>
    </row>
    <row r="1715" spans="1:2" x14ac:dyDescent="0.25">
      <c r="A1715" t="str">
        <f>COUNTIF($D$2:D1602,D1602)&amp;D1602</f>
        <v>0</v>
      </c>
      <c r="B1715" t="str">
        <f>COUNTIF($E$2:E1602,E1602)&amp;E1602</f>
        <v>0</v>
      </c>
    </row>
    <row r="1716" spans="1:2" x14ac:dyDescent="0.25">
      <c r="A1716" t="str">
        <f>COUNTIF($D$2:D1603,D1603)&amp;D1603</f>
        <v>0</v>
      </c>
      <c r="B1716" t="str">
        <f>COUNTIF($E$2:E1603,E1603)&amp;E1603</f>
        <v>0</v>
      </c>
    </row>
    <row r="1717" spans="1:2" x14ac:dyDescent="0.25">
      <c r="A1717" t="str">
        <f>COUNTIF($D$2:D1604,D1604)&amp;D1604</f>
        <v>0</v>
      </c>
      <c r="B1717" t="str">
        <f>COUNTIF($E$2:E1604,E1604)&amp;E1604</f>
        <v>0</v>
      </c>
    </row>
    <row r="1718" spans="1:2" x14ac:dyDescent="0.25">
      <c r="A1718" t="str">
        <f>COUNTIF($D$2:D1605,D1605)&amp;D1605</f>
        <v>0</v>
      </c>
      <c r="B1718" t="str">
        <f>COUNTIF($E$2:E1605,E1605)&amp;E1605</f>
        <v>0</v>
      </c>
    </row>
    <row r="1719" spans="1:2" x14ac:dyDescent="0.25">
      <c r="A1719" t="str">
        <f>COUNTIF($D$2:D1606,D1606)&amp;D1606</f>
        <v>0</v>
      </c>
      <c r="B1719" t="str">
        <f>COUNTIF($E$2:E1606,E1606)&amp;E1606</f>
        <v>0</v>
      </c>
    </row>
    <row r="1720" spans="1:2" x14ac:dyDescent="0.25">
      <c r="A1720" t="str">
        <f>COUNTIF($D$2:D1607,D1607)&amp;D1607</f>
        <v>0</v>
      </c>
      <c r="B1720" t="str">
        <f>COUNTIF($E$2:E1607,E1607)&amp;E1607</f>
        <v>0</v>
      </c>
    </row>
    <row r="1721" spans="1:2" x14ac:dyDescent="0.25">
      <c r="A1721" t="str">
        <f>COUNTIF($D$2:D1608,D1608)&amp;D1608</f>
        <v>0</v>
      </c>
      <c r="B1721" t="str">
        <f>COUNTIF($E$2:E1608,E1608)&amp;E1608</f>
        <v>0</v>
      </c>
    </row>
    <row r="1722" spans="1:2" x14ac:dyDescent="0.25">
      <c r="A1722" t="str">
        <f>COUNTIF($D$2:D1609,D1609)&amp;D1609</f>
        <v>0</v>
      </c>
      <c r="B1722" t="str">
        <f>COUNTIF($E$2:E1609,E1609)&amp;E1609</f>
        <v>0</v>
      </c>
    </row>
    <row r="1723" spans="1:2" x14ac:dyDescent="0.25">
      <c r="A1723" t="str">
        <f>COUNTIF($D$2:D1610,D1610)&amp;D1610</f>
        <v>0</v>
      </c>
      <c r="B1723" t="str">
        <f>COUNTIF($E$2:E1610,E1610)&amp;E1610</f>
        <v>0</v>
      </c>
    </row>
    <row r="1724" spans="1:2" x14ac:dyDescent="0.25">
      <c r="A1724" t="str">
        <f>COUNTIF($D$2:D1611,D1611)&amp;D1611</f>
        <v>0</v>
      </c>
      <c r="B1724" t="str">
        <f>COUNTIF($E$2:E1611,E1611)&amp;E1611</f>
        <v>0</v>
      </c>
    </row>
    <row r="1725" spans="1:2" x14ac:dyDescent="0.25">
      <c r="A1725" t="str">
        <f>COUNTIF($D$2:D1612,D1612)&amp;D1612</f>
        <v>0</v>
      </c>
      <c r="B1725" t="str">
        <f>COUNTIF($E$2:E1612,E1612)&amp;E1612</f>
        <v>0</v>
      </c>
    </row>
    <row r="1726" spans="1:2" x14ac:dyDescent="0.25">
      <c r="A1726" t="str">
        <f>COUNTIF($D$2:D1613,D1613)&amp;D1613</f>
        <v>0</v>
      </c>
      <c r="B1726" t="str">
        <f>COUNTIF($E$2:E1613,E1613)&amp;E1613</f>
        <v>0</v>
      </c>
    </row>
    <row r="1727" spans="1:2" x14ac:dyDescent="0.25">
      <c r="A1727" t="str">
        <f>COUNTIF($D$2:D1614,D1614)&amp;D1614</f>
        <v>0</v>
      </c>
      <c r="B1727" t="str">
        <f>COUNTIF($E$2:E1614,E1614)&amp;E1614</f>
        <v>0</v>
      </c>
    </row>
    <row r="1728" spans="1:2" x14ac:dyDescent="0.25">
      <c r="A1728" t="str">
        <f>COUNTIF($D$2:D1615,D1615)&amp;D1615</f>
        <v>0</v>
      </c>
      <c r="B1728" t="str">
        <f>COUNTIF($E$2:E1615,E1615)&amp;E1615</f>
        <v>0</v>
      </c>
    </row>
    <row r="1729" spans="1:2" x14ac:dyDescent="0.25">
      <c r="A1729" t="str">
        <f>COUNTIF($D$2:D1616,D1616)&amp;D1616</f>
        <v>0</v>
      </c>
      <c r="B1729" t="str">
        <f>COUNTIF($E$2:E1616,E1616)&amp;E1616</f>
        <v>0</v>
      </c>
    </row>
    <row r="1730" spans="1:2" x14ac:dyDescent="0.25">
      <c r="A1730" t="str">
        <f>COUNTIF($D$2:D1617,D1617)&amp;D1617</f>
        <v>0</v>
      </c>
      <c r="B1730" t="str">
        <f>COUNTIF($E$2:E1617,E1617)&amp;E1617</f>
        <v>0</v>
      </c>
    </row>
    <row r="1731" spans="1:2" x14ac:dyDescent="0.25">
      <c r="A1731" t="str">
        <f>COUNTIF($D$2:D1618,D1618)&amp;D1618</f>
        <v>0</v>
      </c>
      <c r="B1731" t="str">
        <f>COUNTIF($E$2:E1618,E1618)&amp;E1618</f>
        <v>0</v>
      </c>
    </row>
    <row r="1732" spans="1:2" x14ac:dyDescent="0.25">
      <c r="A1732" t="str">
        <f>COUNTIF($D$2:D1619,D1619)&amp;D1619</f>
        <v>0</v>
      </c>
      <c r="B1732" t="str">
        <f>COUNTIF($E$2:E1619,E1619)&amp;E1619</f>
        <v>0</v>
      </c>
    </row>
    <row r="1733" spans="1:2" x14ac:dyDescent="0.25">
      <c r="A1733" t="str">
        <f>COUNTIF($D$2:D1620,D1620)&amp;D1620</f>
        <v>0</v>
      </c>
      <c r="B1733" t="str">
        <f>COUNTIF($E$2:E1620,E1620)&amp;E1620</f>
        <v>0</v>
      </c>
    </row>
    <row r="1734" spans="1:2" x14ac:dyDescent="0.25">
      <c r="A1734" t="str">
        <f>COUNTIF($D$2:D1621,D1621)&amp;D1621</f>
        <v>0</v>
      </c>
      <c r="B1734" t="str">
        <f>COUNTIF($E$2:E1621,E1621)&amp;E1621</f>
        <v>0</v>
      </c>
    </row>
    <row r="1735" spans="1:2" x14ac:dyDescent="0.25">
      <c r="A1735" t="str">
        <f>COUNTIF($D$2:D1622,D1622)&amp;D1622</f>
        <v>0</v>
      </c>
      <c r="B1735" t="str">
        <f>COUNTIF($E$2:E1622,E1622)&amp;E1622</f>
        <v>0</v>
      </c>
    </row>
    <row r="1736" spans="1:2" x14ac:dyDescent="0.25">
      <c r="A1736" t="str">
        <f>COUNTIF($D$2:D1623,D1623)&amp;D1623</f>
        <v>0</v>
      </c>
      <c r="B1736" t="str">
        <f>COUNTIF($E$2:E1623,E1623)&amp;E1623</f>
        <v>0</v>
      </c>
    </row>
    <row r="1737" spans="1:2" x14ac:dyDescent="0.25">
      <c r="A1737" t="str">
        <f>COUNTIF($D$2:D1624,D1624)&amp;D1624</f>
        <v>0</v>
      </c>
      <c r="B1737" t="str">
        <f>COUNTIF($E$2:E1624,E1624)&amp;E1624</f>
        <v>0</v>
      </c>
    </row>
    <row r="1738" spans="1:2" x14ac:dyDescent="0.25">
      <c r="A1738" t="str">
        <f>COUNTIF($D$2:D1625,D1625)&amp;D1625</f>
        <v>0</v>
      </c>
      <c r="B1738" t="str">
        <f>COUNTIF($E$2:E1625,E1625)&amp;E1625</f>
        <v>0</v>
      </c>
    </row>
    <row r="1739" spans="1:2" x14ac:dyDescent="0.25">
      <c r="A1739" t="str">
        <f>COUNTIF($D$2:D1626,D1626)&amp;D1626</f>
        <v>0</v>
      </c>
      <c r="B1739" t="str">
        <f>COUNTIF($E$2:E1626,E1626)&amp;E1626</f>
        <v>0</v>
      </c>
    </row>
    <row r="1740" spans="1:2" x14ac:dyDescent="0.25">
      <c r="A1740" t="str">
        <f>COUNTIF($D$2:D1627,D1627)&amp;D1627</f>
        <v>0</v>
      </c>
      <c r="B1740" t="str">
        <f>COUNTIF($E$2:E1627,E1627)&amp;E1627</f>
        <v>0</v>
      </c>
    </row>
    <row r="1741" spans="1:2" x14ac:dyDescent="0.25">
      <c r="A1741" t="str">
        <f>COUNTIF($D$2:D1628,D1628)&amp;D1628</f>
        <v>0</v>
      </c>
      <c r="B1741" t="str">
        <f>COUNTIF($E$2:E1628,E1628)&amp;E1628</f>
        <v>0</v>
      </c>
    </row>
    <row r="1742" spans="1:2" x14ac:dyDescent="0.25">
      <c r="A1742" t="str">
        <f>COUNTIF($D$2:D1629,D1629)&amp;D1629</f>
        <v>0</v>
      </c>
      <c r="B1742" t="str">
        <f>COUNTIF($E$2:E1629,E1629)&amp;E1629</f>
        <v>0</v>
      </c>
    </row>
    <row r="1743" spans="1:2" x14ac:dyDescent="0.25">
      <c r="A1743" t="str">
        <f>COUNTIF($D$2:D1630,D1630)&amp;D1630</f>
        <v>0</v>
      </c>
      <c r="B1743" t="str">
        <f>COUNTIF($E$2:E1630,E1630)&amp;E1630</f>
        <v>0</v>
      </c>
    </row>
    <row r="1744" spans="1:2" x14ac:dyDescent="0.25">
      <c r="A1744" t="str">
        <f>COUNTIF($D$2:D1631,D1631)&amp;D1631</f>
        <v>0</v>
      </c>
      <c r="B1744" t="str">
        <f>COUNTIF($E$2:E1631,E1631)&amp;E1631</f>
        <v>0</v>
      </c>
    </row>
    <row r="1745" spans="1:2" x14ac:dyDescent="0.25">
      <c r="A1745" t="str">
        <f>COUNTIF($D$2:D1632,D1632)&amp;D1632</f>
        <v>0</v>
      </c>
      <c r="B1745" t="str">
        <f>COUNTIF($E$2:E1632,E1632)&amp;E1632</f>
        <v>0</v>
      </c>
    </row>
    <row r="1746" spans="1:2" x14ac:dyDescent="0.25">
      <c r="A1746" t="str">
        <f>COUNTIF($D$2:D1633,D1633)&amp;D1633</f>
        <v>0</v>
      </c>
      <c r="B1746" t="str">
        <f>COUNTIF($E$2:E1633,E1633)&amp;E1633</f>
        <v>0</v>
      </c>
    </row>
    <row r="1747" spans="1:2" x14ac:dyDescent="0.25">
      <c r="A1747" t="str">
        <f>COUNTIF($D$2:D1634,D1634)&amp;D1634</f>
        <v>0</v>
      </c>
      <c r="B1747" t="str">
        <f>COUNTIF($E$2:E1634,E1634)&amp;E1634</f>
        <v>0</v>
      </c>
    </row>
    <row r="1748" spans="1:2" x14ac:dyDescent="0.25">
      <c r="A1748" t="str">
        <f>COUNTIF($D$2:D1635,D1635)&amp;D1635</f>
        <v>0</v>
      </c>
      <c r="B1748" t="str">
        <f>COUNTIF($E$2:E1635,E1635)&amp;E1635</f>
        <v>0</v>
      </c>
    </row>
    <row r="1749" spans="1:2" x14ac:dyDescent="0.25">
      <c r="A1749" t="str">
        <f>COUNTIF($D$2:D1636,D1636)&amp;D1636</f>
        <v>0</v>
      </c>
      <c r="B1749" t="str">
        <f>COUNTIF($E$2:E1636,E1636)&amp;E1636</f>
        <v>0</v>
      </c>
    </row>
    <row r="1750" spans="1:2" x14ac:dyDescent="0.25">
      <c r="A1750" t="str">
        <f>COUNTIF($D$2:D1637,D1637)&amp;D1637</f>
        <v>0</v>
      </c>
      <c r="B1750" t="str">
        <f>COUNTIF($E$2:E1637,E1637)&amp;E1637</f>
        <v>0</v>
      </c>
    </row>
    <row r="1751" spans="1:2" x14ac:dyDescent="0.25">
      <c r="A1751" t="str">
        <f>COUNTIF($D$2:D1638,D1638)&amp;D1638</f>
        <v>0</v>
      </c>
      <c r="B1751" t="str">
        <f>COUNTIF($E$2:E1638,E1638)&amp;E1638</f>
        <v>0</v>
      </c>
    </row>
    <row r="1752" spans="1:2" x14ac:dyDescent="0.25">
      <c r="A1752" t="str">
        <f>COUNTIF($D$2:D1639,D1639)&amp;D1639</f>
        <v>0</v>
      </c>
      <c r="B1752" t="str">
        <f>COUNTIF($E$2:E1639,E1639)&amp;E1639</f>
        <v>0</v>
      </c>
    </row>
    <row r="1753" spans="1:2" x14ac:dyDescent="0.25">
      <c r="A1753" t="str">
        <f>COUNTIF($D$2:D1640,D1640)&amp;D1640</f>
        <v>0</v>
      </c>
      <c r="B1753" t="str">
        <f>COUNTIF($E$2:E1640,E1640)&amp;E1640</f>
        <v>0</v>
      </c>
    </row>
    <row r="1754" spans="1:2" x14ac:dyDescent="0.25">
      <c r="A1754" t="str">
        <f>COUNTIF($D$2:D1641,D1641)&amp;D1641</f>
        <v>0</v>
      </c>
      <c r="B1754" t="str">
        <f>COUNTIF($E$2:E1641,E1641)&amp;E1641</f>
        <v>0</v>
      </c>
    </row>
    <row r="1755" spans="1:2" x14ac:dyDescent="0.25">
      <c r="A1755" t="str">
        <f>COUNTIF($D$2:D1642,D1642)&amp;D1642</f>
        <v>0</v>
      </c>
      <c r="B1755" t="str">
        <f>COUNTIF($E$2:E1642,E1642)&amp;E1642</f>
        <v>0</v>
      </c>
    </row>
    <row r="1756" spans="1:2" x14ac:dyDescent="0.25">
      <c r="A1756" t="str">
        <f>COUNTIF($D$2:D1643,D1643)&amp;D1643</f>
        <v>0</v>
      </c>
      <c r="B1756" t="str">
        <f>COUNTIF($E$2:E1643,E1643)&amp;E1643</f>
        <v>0</v>
      </c>
    </row>
    <row r="1757" spans="1:2" x14ac:dyDescent="0.25">
      <c r="A1757" t="str">
        <f>COUNTIF($D$2:D1644,D1644)&amp;D1644</f>
        <v>0</v>
      </c>
      <c r="B1757" t="str">
        <f>COUNTIF($E$2:E1644,E1644)&amp;E1644</f>
        <v>0</v>
      </c>
    </row>
    <row r="1758" spans="1:2" x14ac:dyDescent="0.25">
      <c r="A1758" t="str">
        <f>COUNTIF($D$2:D1645,D1645)&amp;D1645</f>
        <v>0</v>
      </c>
      <c r="B1758" t="str">
        <f>COUNTIF($E$2:E1645,E1645)&amp;E1645</f>
        <v>0</v>
      </c>
    </row>
    <row r="1759" spans="1:2" x14ac:dyDescent="0.25">
      <c r="A1759" t="str">
        <f>COUNTIF($D$2:D1646,D1646)&amp;D1646</f>
        <v>0</v>
      </c>
      <c r="B1759" t="str">
        <f>COUNTIF($E$2:E1646,E1646)&amp;E1646</f>
        <v>0</v>
      </c>
    </row>
    <row r="1760" spans="1:2" x14ac:dyDescent="0.25">
      <c r="A1760" t="str">
        <f>COUNTIF($D$2:D1647,D1647)&amp;D1647</f>
        <v>0</v>
      </c>
      <c r="B1760" t="str">
        <f>COUNTIF($E$2:E1647,E1647)&amp;E1647</f>
        <v>0</v>
      </c>
    </row>
    <row r="1761" spans="1:2" x14ac:dyDescent="0.25">
      <c r="A1761" t="str">
        <f>COUNTIF($D$2:D1648,D1648)&amp;D1648</f>
        <v>0</v>
      </c>
      <c r="B1761" t="str">
        <f>COUNTIF($E$2:E1648,E1648)&amp;E1648</f>
        <v>0</v>
      </c>
    </row>
    <row r="1762" spans="1:2" x14ac:dyDescent="0.25">
      <c r="A1762" t="str">
        <f>COUNTIF($D$2:D1649,D1649)&amp;D1649</f>
        <v>0</v>
      </c>
      <c r="B1762" t="str">
        <f>COUNTIF($E$2:E1649,E1649)&amp;E1649</f>
        <v>0</v>
      </c>
    </row>
    <row r="1763" spans="1:2" x14ac:dyDescent="0.25">
      <c r="A1763" t="str">
        <f>COUNTIF($D$2:D1650,D1650)&amp;D1650</f>
        <v>0</v>
      </c>
      <c r="B1763" t="str">
        <f>COUNTIF($E$2:E1650,E1650)&amp;E1650</f>
        <v>0</v>
      </c>
    </row>
    <row r="1764" spans="1:2" x14ac:dyDescent="0.25">
      <c r="A1764" t="str">
        <f>COUNTIF($D$2:D1651,D1651)&amp;D1651</f>
        <v>0</v>
      </c>
      <c r="B1764" t="str">
        <f>COUNTIF($E$2:E1651,E1651)&amp;E1651</f>
        <v>0</v>
      </c>
    </row>
    <row r="1765" spans="1:2" x14ac:dyDescent="0.25">
      <c r="A1765" t="str">
        <f>COUNTIF($D$2:D1652,D1652)&amp;D1652</f>
        <v>0</v>
      </c>
      <c r="B1765" t="str">
        <f>COUNTIF($E$2:E1652,E1652)&amp;E1652</f>
        <v>0</v>
      </c>
    </row>
    <row r="1766" spans="1:2" x14ac:dyDescent="0.25">
      <c r="A1766" t="str">
        <f>COUNTIF($D$2:D1653,D1653)&amp;D1653</f>
        <v>0</v>
      </c>
      <c r="B1766" t="str">
        <f>COUNTIF($E$2:E1653,E1653)&amp;E1653</f>
        <v>0</v>
      </c>
    </row>
    <row r="1767" spans="1:2" x14ac:dyDescent="0.25">
      <c r="A1767" t="str">
        <f>COUNTIF($D$2:D1654,D1654)&amp;D1654</f>
        <v>0</v>
      </c>
      <c r="B1767" t="str">
        <f>COUNTIF($E$2:E1654,E1654)&amp;E1654</f>
        <v>0</v>
      </c>
    </row>
    <row r="1768" spans="1:2" x14ac:dyDescent="0.25">
      <c r="A1768" t="str">
        <f>COUNTIF($D$2:D1655,D1655)&amp;D1655</f>
        <v>0</v>
      </c>
      <c r="B1768" t="str">
        <f>COUNTIF($E$2:E1655,E1655)&amp;E1655</f>
        <v>0</v>
      </c>
    </row>
    <row r="1769" spans="1:2" x14ac:dyDescent="0.25">
      <c r="A1769" t="str">
        <f>COUNTIF($D$2:D1656,D1656)&amp;D1656</f>
        <v>0</v>
      </c>
      <c r="B1769" t="str">
        <f>COUNTIF($E$2:E1656,E1656)&amp;E1656</f>
        <v>0</v>
      </c>
    </row>
    <row r="1770" spans="1:2" x14ac:dyDescent="0.25">
      <c r="A1770" t="str">
        <f>COUNTIF($D$2:D1657,D1657)&amp;D1657</f>
        <v>0</v>
      </c>
      <c r="B1770" t="str">
        <f>COUNTIF($E$2:E1657,E1657)&amp;E1657</f>
        <v>0</v>
      </c>
    </row>
    <row r="1771" spans="1:2" x14ac:dyDescent="0.25">
      <c r="A1771" t="str">
        <f>COUNTIF($D$2:D1658,D1658)&amp;D1658</f>
        <v>0</v>
      </c>
      <c r="B1771" t="str">
        <f>COUNTIF($E$2:E1658,E1658)&amp;E1658</f>
        <v>0</v>
      </c>
    </row>
    <row r="1772" spans="1:2" x14ac:dyDescent="0.25">
      <c r="A1772" t="str">
        <f>COUNTIF($D$2:D1659,D1659)&amp;D1659</f>
        <v>0</v>
      </c>
      <c r="B1772" t="str">
        <f>COUNTIF($E$2:E1659,E1659)&amp;E1659</f>
        <v>0</v>
      </c>
    </row>
    <row r="1773" spans="1:2" x14ac:dyDescent="0.25">
      <c r="A1773" t="str">
        <f>COUNTIF($D$2:D1660,D1660)&amp;D1660</f>
        <v>0</v>
      </c>
      <c r="B1773" t="str">
        <f>COUNTIF($E$2:E1660,E1660)&amp;E1660</f>
        <v>0</v>
      </c>
    </row>
    <row r="1774" spans="1:2" x14ac:dyDescent="0.25">
      <c r="A1774" t="str">
        <f>COUNTIF($D$2:D1661,D1661)&amp;D1661</f>
        <v>0</v>
      </c>
      <c r="B1774" t="str">
        <f>COUNTIF($E$2:E1661,E1661)&amp;E1661</f>
        <v>0</v>
      </c>
    </row>
    <row r="1775" spans="1:2" x14ac:dyDescent="0.25">
      <c r="A1775" t="str">
        <f>COUNTIF($D$2:D1662,D1662)&amp;D1662</f>
        <v>0</v>
      </c>
      <c r="B1775" t="str">
        <f>COUNTIF($E$2:E1662,E1662)&amp;E1662</f>
        <v>0</v>
      </c>
    </row>
    <row r="1776" spans="1:2" x14ac:dyDescent="0.25">
      <c r="A1776" t="str">
        <f>COUNTIF($D$2:D1663,D1663)&amp;D1663</f>
        <v>0</v>
      </c>
      <c r="B1776" t="str">
        <f>COUNTIF($E$2:E1663,E1663)&amp;E1663</f>
        <v>0</v>
      </c>
    </row>
    <row r="1777" spans="1:2" x14ac:dyDescent="0.25">
      <c r="A1777" t="str">
        <f>COUNTIF($D$2:D1664,D1664)&amp;D1664</f>
        <v>0</v>
      </c>
      <c r="B1777" t="str">
        <f>COUNTIF($E$2:E1664,E1664)&amp;E1664</f>
        <v>0</v>
      </c>
    </row>
    <row r="1778" spans="1:2" x14ac:dyDescent="0.25">
      <c r="A1778" t="str">
        <f>COUNTIF($D$2:D1665,D1665)&amp;D1665</f>
        <v>0</v>
      </c>
      <c r="B1778" t="str">
        <f>COUNTIF($E$2:E1665,E1665)&amp;E1665</f>
        <v>0</v>
      </c>
    </row>
    <row r="1779" spans="1:2" x14ac:dyDescent="0.25">
      <c r="A1779" t="str">
        <f>COUNTIF($D$2:D1666,D1666)&amp;D1666</f>
        <v>0</v>
      </c>
      <c r="B1779" t="str">
        <f>COUNTIF($E$2:E1666,E1666)&amp;E1666</f>
        <v>0</v>
      </c>
    </row>
    <row r="1780" spans="1:2" x14ac:dyDescent="0.25">
      <c r="A1780" t="str">
        <f>COUNTIF($D$2:D1667,D1667)&amp;D1667</f>
        <v>0</v>
      </c>
      <c r="B1780" t="str">
        <f>COUNTIF($E$2:E1667,E1667)&amp;E1667</f>
        <v>0</v>
      </c>
    </row>
    <row r="1781" spans="1:2" x14ac:dyDescent="0.25">
      <c r="A1781" t="str">
        <f>COUNTIF($D$2:D1668,D1668)&amp;D1668</f>
        <v>0</v>
      </c>
      <c r="B1781" t="str">
        <f>COUNTIF($E$2:E1668,E1668)&amp;E1668</f>
        <v>0</v>
      </c>
    </row>
    <row r="1782" spans="1:2" x14ac:dyDescent="0.25">
      <c r="A1782" t="str">
        <f>COUNTIF($D$2:D1669,D1669)&amp;D1669</f>
        <v>0</v>
      </c>
      <c r="B1782" t="str">
        <f>COUNTIF($E$2:E1669,E1669)&amp;E1669</f>
        <v>0</v>
      </c>
    </row>
    <row r="1783" spans="1:2" x14ac:dyDescent="0.25">
      <c r="A1783" t="str">
        <f>COUNTIF($D$2:D1670,D1670)&amp;D1670</f>
        <v>0</v>
      </c>
      <c r="B1783" t="str">
        <f>COUNTIF($E$2:E1670,E1670)&amp;E1670</f>
        <v>0</v>
      </c>
    </row>
    <row r="1784" spans="1:2" x14ac:dyDescent="0.25">
      <c r="A1784" t="str">
        <f>COUNTIF($D$2:D1671,D1671)&amp;D1671</f>
        <v>0</v>
      </c>
      <c r="B1784" t="str">
        <f>COUNTIF($E$2:E1671,E1671)&amp;E1671</f>
        <v>0</v>
      </c>
    </row>
    <row r="1785" spans="1:2" x14ac:dyDescent="0.25">
      <c r="A1785" t="str">
        <f>COUNTIF($D$2:D1672,D1672)&amp;D1672</f>
        <v>0</v>
      </c>
      <c r="B1785" t="str">
        <f>COUNTIF($E$2:E1672,E1672)&amp;E1672</f>
        <v>0</v>
      </c>
    </row>
    <row r="1786" spans="1:2" x14ac:dyDescent="0.25">
      <c r="A1786" t="str">
        <f>COUNTIF($D$2:D1673,D1673)&amp;D1673</f>
        <v>0</v>
      </c>
      <c r="B1786" t="str">
        <f>COUNTIF($E$2:E1673,E1673)&amp;E1673</f>
        <v>0</v>
      </c>
    </row>
    <row r="1787" spans="1:2" x14ac:dyDescent="0.25">
      <c r="A1787" t="str">
        <f>COUNTIF($D$2:D1674,D1674)&amp;D1674</f>
        <v>0</v>
      </c>
      <c r="B1787" t="str">
        <f>COUNTIF($E$2:E1674,E1674)&amp;E1674</f>
        <v>0</v>
      </c>
    </row>
    <row r="1788" spans="1:2" x14ac:dyDescent="0.25">
      <c r="A1788" t="str">
        <f>COUNTIF($D$2:D1675,D1675)&amp;D1675</f>
        <v>0</v>
      </c>
      <c r="B1788" t="str">
        <f>COUNTIF($E$2:E1675,E1675)&amp;E1675</f>
        <v>0</v>
      </c>
    </row>
    <row r="1789" spans="1:2" x14ac:dyDescent="0.25">
      <c r="A1789" t="str">
        <f>COUNTIF($D$2:D1676,D1676)&amp;D1676</f>
        <v>0</v>
      </c>
      <c r="B1789" t="str">
        <f>COUNTIF($E$2:E1676,E1676)&amp;E1676</f>
        <v>0</v>
      </c>
    </row>
    <row r="1790" spans="1:2" x14ac:dyDescent="0.25">
      <c r="A1790" t="str">
        <f>COUNTIF($D$2:D1677,D1677)&amp;D1677</f>
        <v>0</v>
      </c>
      <c r="B1790" t="str">
        <f>COUNTIF($E$2:E1677,E1677)&amp;E1677</f>
        <v>0</v>
      </c>
    </row>
    <row r="1791" spans="1:2" x14ac:dyDescent="0.25">
      <c r="A1791" t="str">
        <f>COUNTIF($D$2:D1678,D1678)&amp;D1678</f>
        <v>0</v>
      </c>
      <c r="B1791" t="str">
        <f>COUNTIF($E$2:E1678,E1678)&amp;E1678</f>
        <v>0</v>
      </c>
    </row>
    <row r="1792" spans="1:2" x14ac:dyDescent="0.25">
      <c r="A1792" t="str">
        <f>COUNTIF($D$2:D1679,D1679)&amp;D1679</f>
        <v>0</v>
      </c>
      <c r="B1792" t="str">
        <f>COUNTIF($E$2:E1679,E1679)&amp;E1679</f>
        <v>0</v>
      </c>
    </row>
    <row r="1793" spans="1:2" x14ac:dyDescent="0.25">
      <c r="A1793" t="str">
        <f>COUNTIF($D$2:D1680,D1680)&amp;D1680</f>
        <v>0</v>
      </c>
      <c r="B1793" t="str">
        <f>COUNTIF($E$2:E1680,E1680)&amp;E1680</f>
        <v>0</v>
      </c>
    </row>
    <row r="1794" spans="1:2" x14ac:dyDescent="0.25">
      <c r="A1794" t="str">
        <f>COUNTIF($D$2:D1681,D1681)&amp;D1681</f>
        <v>0</v>
      </c>
      <c r="B1794" t="str">
        <f>COUNTIF($E$2:E1681,E1681)&amp;E1681</f>
        <v>0</v>
      </c>
    </row>
    <row r="1795" spans="1:2" x14ac:dyDescent="0.25">
      <c r="A1795" t="str">
        <f>COUNTIF($D$2:D1682,D1682)&amp;D1682</f>
        <v>0</v>
      </c>
      <c r="B1795" t="str">
        <f>COUNTIF($E$2:E1682,E1682)&amp;E1682</f>
        <v>0</v>
      </c>
    </row>
    <row r="1796" spans="1:2" x14ac:dyDescent="0.25">
      <c r="A1796" t="str">
        <f>COUNTIF($D$2:D1683,D1683)&amp;D1683</f>
        <v>0</v>
      </c>
      <c r="B1796" t="str">
        <f>COUNTIF($E$2:E1683,E1683)&amp;E1683</f>
        <v>0</v>
      </c>
    </row>
    <row r="1797" spans="1:2" x14ac:dyDescent="0.25">
      <c r="A1797" t="str">
        <f>COUNTIF($D$2:D1684,D1684)&amp;D1684</f>
        <v>0</v>
      </c>
      <c r="B1797" t="str">
        <f>COUNTIF($E$2:E1684,E1684)&amp;E1684</f>
        <v>0</v>
      </c>
    </row>
    <row r="1798" spans="1:2" x14ac:dyDescent="0.25">
      <c r="A1798" t="str">
        <f>COUNTIF($D$2:D1685,D1685)&amp;D1685</f>
        <v>0</v>
      </c>
      <c r="B1798" t="str">
        <f>COUNTIF($E$2:E1685,E1685)&amp;E1685</f>
        <v>0</v>
      </c>
    </row>
    <row r="1799" spans="1:2" x14ac:dyDescent="0.25">
      <c r="A1799" t="str">
        <f>COUNTIF($D$2:D1686,D1686)&amp;D1686</f>
        <v>0</v>
      </c>
      <c r="B1799" t="str">
        <f>COUNTIF($E$2:E1686,E1686)&amp;E1686</f>
        <v>0</v>
      </c>
    </row>
    <row r="1800" spans="1:2" x14ac:dyDescent="0.25">
      <c r="A1800" t="str">
        <f>COUNTIF($D$2:D1687,D1687)&amp;D1687</f>
        <v>0</v>
      </c>
      <c r="B1800" t="str">
        <f>COUNTIF($E$2:E1687,E1687)&amp;E1687</f>
        <v>0</v>
      </c>
    </row>
    <row r="1801" spans="1:2" x14ac:dyDescent="0.25">
      <c r="A1801" t="str">
        <f>COUNTIF($D$2:D1688,D1688)&amp;D1688</f>
        <v>0</v>
      </c>
      <c r="B1801" t="str">
        <f>COUNTIF($E$2:E1688,E1688)&amp;E1688</f>
        <v>0</v>
      </c>
    </row>
    <row r="1802" spans="1:2" x14ac:dyDescent="0.25">
      <c r="A1802" t="str">
        <f>COUNTIF($D$2:D1689,D1689)&amp;D1689</f>
        <v>0</v>
      </c>
      <c r="B1802" t="str">
        <f>COUNTIF($E$2:E1689,E1689)&amp;E1689</f>
        <v>0</v>
      </c>
    </row>
    <row r="1803" spans="1:2" x14ac:dyDescent="0.25">
      <c r="A1803" t="str">
        <f>COUNTIF($D$2:D1690,D1690)&amp;D1690</f>
        <v>0</v>
      </c>
      <c r="B1803" t="str">
        <f>COUNTIF($E$2:E1690,E1690)&amp;E1690</f>
        <v>0</v>
      </c>
    </row>
    <row r="1804" spans="1:2" x14ac:dyDescent="0.25">
      <c r="A1804" t="str">
        <f>COUNTIF($D$2:D1691,D1691)&amp;D1691</f>
        <v>0</v>
      </c>
      <c r="B1804" t="str">
        <f>COUNTIF($E$2:E1691,E1691)&amp;E1691</f>
        <v>0</v>
      </c>
    </row>
    <row r="1805" spans="1:2" x14ac:dyDescent="0.25">
      <c r="A1805" t="str">
        <f>COUNTIF($D$2:D1692,D1692)&amp;D1692</f>
        <v>0</v>
      </c>
      <c r="B1805" t="str">
        <f>COUNTIF($E$2:E1692,E1692)&amp;E1692</f>
        <v>0</v>
      </c>
    </row>
    <row r="1806" spans="1:2" x14ac:dyDescent="0.25">
      <c r="A1806" t="str">
        <f>COUNTIF($D$2:D1693,D1693)&amp;D1693</f>
        <v>0</v>
      </c>
      <c r="B1806" t="str">
        <f>COUNTIF($E$2:E1693,E1693)&amp;E1693</f>
        <v>0</v>
      </c>
    </row>
    <row r="1807" spans="1:2" x14ac:dyDescent="0.25">
      <c r="A1807" t="str">
        <f>COUNTIF($D$2:D1694,D1694)&amp;D1694</f>
        <v>0</v>
      </c>
      <c r="B1807" t="str">
        <f>COUNTIF($E$2:E1694,E1694)&amp;E1694</f>
        <v>0</v>
      </c>
    </row>
    <row r="1808" spans="1:2" x14ac:dyDescent="0.25">
      <c r="A1808" t="str">
        <f>COUNTIF($D$2:D1695,D1695)&amp;D1695</f>
        <v>0</v>
      </c>
      <c r="B1808" t="str">
        <f>COUNTIF($E$2:E1695,E1695)&amp;E1695</f>
        <v>0</v>
      </c>
    </row>
    <row r="1809" spans="1:2" x14ac:dyDescent="0.25">
      <c r="A1809" t="str">
        <f>COUNTIF($D$2:D1696,D1696)&amp;D1696</f>
        <v>0</v>
      </c>
      <c r="B1809" t="str">
        <f>COUNTIF($E$2:E1696,E1696)&amp;E1696</f>
        <v>0</v>
      </c>
    </row>
    <row r="1810" spans="1:2" x14ac:dyDescent="0.25">
      <c r="A1810" t="str">
        <f>COUNTIF($D$2:D1697,D1697)&amp;D1697</f>
        <v>0</v>
      </c>
      <c r="B1810" t="str">
        <f>COUNTIF($E$2:E1697,E1697)&amp;E1697</f>
        <v>0</v>
      </c>
    </row>
    <row r="1811" spans="1:2" x14ac:dyDescent="0.25">
      <c r="A1811" t="str">
        <f>COUNTIF($D$2:D1698,D1698)&amp;D1698</f>
        <v>0</v>
      </c>
      <c r="B1811" t="str">
        <f>COUNTIF($E$2:E1698,E1698)&amp;E1698</f>
        <v>0</v>
      </c>
    </row>
    <row r="1812" spans="1:2" x14ac:dyDescent="0.25">
      <c r="A1812" t="str">
        <f>COUNTIF($D$2:D1699,D1699)&amp;D1699</f>
        <v>0</v>
      </c>
      <c r="B1812" t="str">
        <f>COUNTIF($E$2:E1699,E1699)&amp;E1699</f>
        <v>0</v>
      </c>
    </row>
    <row r="1813" spans="1:2" x14ac:dyDescent="0.25">
      <c r="A1813" t="str">
        <f>COUNTIF($D$2:D1700,D1700)&amp;D1700</f>
        <v>0</v>
      </c>
      <c r="B1813" t="str">
        <f>COUNTIF($E$2:E1700,E1700)&amp;E1700</f>
        <v>0</v>
      </c>
    </row>
    <row r="1814" spans="1:2" x14ac:dyDescent="0.25">
      <c r="A1814" t="str">
        <f>COUNTIF($D$2:D1701,D1701)&amp;D1701</f>
        <v>0</v>
      </c>
      <c r="B1814" t="str">
        <f>COUNTIF($E$2:E1701,E1701)&amp;E1701</f>
        <v>0</v>
      </c>
    </row>
    <row r="1815" spans="1:2" x14ac:dyDescent="0.25">
      <c r="A1815" t="str">
        <f>COUNTIF($D$2:D1702,D1702)&amp;D1702</f>
        <v>0</v>
      </c>
      <c r="B1815" t="str">
        <f>COUNTIF($E$2:E1702,E1702)&amp;E1702</f>
        <v>0</v>
      </c>
    </row>
    <row r="1816" spans="1:2" x14ac:dyDescent="0.25">
      <c r="A1816" t="str">
        <f>COUNTIF($D$2:D1703,D1703)&amp;D1703</f>
        <v>0</v>
      </c>
      <c r="B1816" t="str">
        <f>COUNTIF($E$2:E1703,E1703)&amp;E1703</f>
        <v>0</v>
      </c>
    </row>
    <row r="1817" spans="1:2" x14ac:dyDescent="0.25">
      <c r="A1817" t="str">
        <f>COUNTIF($D$2:D1704,D1704)&amp;D1704</f>
        <v>0</v>
      </c>
      <c r="B1817" t="str">
        <f>COUNTIF($E$2:E1704,E1704)&amp;E1704</f>
        <v>0</v>
      </c>
    </row>
    <row r="1818" spans="1:2" x14ac:dyDescent="0.25">
      <c r="A1818" t="str">
        <f>COUNTIF($D$2:D1705,D1705)&amp;D1705</f>
        <v>0</v>
      </c>
      <c r="B1818" t="str">
        <f>COUNTIF($E$2:E1705,E1705)&amp;E1705</f>
        <v>0</v>
      </c>
    </row>
    <row r="1819" spans="1:2" x14ac:dyDescent="0.25">
      <c r="A1819" t="str">
        <f>COUNTIF($D$2:D1706,D1706)&amp;D1706</f>
        <v>0</v>
      </c>
      <c r="B1819" t="str">
        <f>COUNTIF($E$2:E1706,E1706)&amp;E1706</f>
        <v>0</v>
      </c>
    </row>
    <row r="1820" spans="1:2" x14ac:dyDescent="0.25">
      <c r="A1820" t="str">
        <f>COUNTIF($D$2:D1707,D1707)&amp;D1707</f>
        <v>0</v>
      </c>
      <c r="B1820" t="str">
        <f>COUNTIF($E$2:E1707,E1707)&amp;E1707</f>
        <v>0</v>
      </c>
    </row>
    <row r="1821" spans="1:2" x14ac:dyDescent="0.25">
      <c r="A1821" t="str">
        <f>COUNTIF($D$2:D1708,D1708)&amp;D1708</f>
        <v>0</v>
      </c>
      <c r="B1821" t="str">
        <f>COUNTIF($E$2:E1708,E1708)&amp;E1708</f>
        <v>0</v>
      </c>
    </row>
    <row r="1822" spans="1:2" x14ac:dyDescent="0.25">
      <c r="A1822" t="str">
        <f>COUNTIF($D$2:D1709,D1709)&amp;D1709</f>
        <v>0</v>
      </c>
      <c r="B1822" t="str">
        <f>COUNTIF($E$2:E1709,E1709)&amp;E1709</f>
        <v>0</v>
      </c>
    </row>
    <row r="1823" spans="1:2" x14ac:dyDescent="0.25">
      <c r="A1823" t="str">
        <f>COUNTIF($D$2:D1710,D1710)&amp;D1710</f>
        <v>0</v>
      </c>
      <c r="B1823" t="str">
        <f>COUNTIF($E$2:E1710,E1710)&amp;E1710</f>
        <v>0</v>
      </c>
    </row>
    <row r="1824" spans="1:2" x14ac:dyDescent="0.25">
      <c r="A1824" t="str">
        <f>COUNTIF($D$2:D1711,D1711)&amp;D1711</f>
        <v>0</v>
      </c>
      <c r="B1824" t="str">
        <f>COUNTIF($E$2:E1711,E1711)&amp;E1711</f>
        <v>0</v>
      </c>
    </row>
    <row r="1825" spans="1:2" x14ac:dyDescent="0.25">
      <c r="A1825" t="str">
        <f>COUNTIF($D$2:D1712,D1712)&amp;D1712</f>
        <v>0</v>
      </c>
      <c r="B1825" t="str">
        <f>COUNTIF($E$2:E1712,E1712)&amp;E1712</f>
        <v>0</v>
      </c>
    </row>
    <row r="1826" spans="1:2" x14ac:dyDescent="0.25">
      <c r="A1826" t="str">
        <f>COUNTIF($D$2:D1713,D1713)&amp;D1713</f>
        <v>0</v>
      </c>
      <c r="B1826" t="str">
        <f>COUNTIF($E$2:E1713,E1713)&amp;E1713</f>
        <v>0</v>
      </c>
    </row>
    <row r="1827" spans="1:2" x14ac:dyDescent="0.25">
      <c r="A1827" t="str">
        <f>COUNTIF($D$2:D1714,D1714)&amp;D1714</f>
        <v>0</v>
      </c>
      <c r="B1827" t="str">
        <f>COUNTIF($E$2:E1714,E1714)&amp;E1714</f>
        <v>0</v>
      </c>
    </row>
    <row r="1828" spans="1:2" x14ac:dyDescent="0.25">
      <c r="A1828" t="str">
        <f>COUNTIF($D$2:D1715,D1715)&amp;D1715</f>
        <v>0</v>
      </c>
      <c r="B1828" t="str">
        <f>COUNTIF($E$2:E1715,E1715)&amp;E1715</f>
        <v>0</v>
      </c>
    </row>
    <row r="1829" spans="1:2" x14ac:dyDescent="0.25">
      <c r="A1829" t="str">
        <f>COUNTIF($D$2:D1716,D1716)&amp;D1716</f>
        <v>0</v>
      </c>
      <c r="B1829" t="str">
        <f>COUNTIF($E$2:E1716,E1716)&amp;E1716</f>
        <v>0</v>
      </c>
    </row>
    <row r="1830" spans="1:2" x14ac:dyDescent="0.25">
      <c r="A1830" t="str">
        <f>COUNTIF($D$2:D1717,D1717)&amp;D1717</f>
        <v>0</v>
      </c>
      <c r="B1830" t="str">
        <f>COUNTIF($E$2:E1717,E1717)&amp;E1717</f>
        <v>0</v>
      </c>
    </row>
    <row r="1831" spans="1:2" x14ac:dyDescent="0.25">
      <c r="A1831" t="str">
        <f>COUNTIF($D$2:D1718,D1718)&amp;D1718</f>
        <v>0</v>
      </c>
      <c r="B1831" t="str">
        <f>COUNTIF($E$2:E1718,E1718)&amp;E1718</f>
        <v>0</v>
      </c>
    </row>
    <row r="1832" spans="1:2" x14ac:dyDescent="0.25">
      <c r="A1832" t="str">
        <f>COUNTIF($D$2:D1719,D1719)&amp;D1719</f>
        <v>0</v>
      </c>
      <c r="B1832" t="str">
        <f>COUNTIF($E$2:E1719,E1719)&amp;E1719</f>
        <v>0</v>
      </c>
    </row>
    <row r="1833" spans="1:2" x14ac:dyDescent="0.25">
      <c r="A1833" t="str">
        <f>COUNTIF($D$2:D1720,D1720)&amp;D1720</f>
        <v>0</v>
      </c>
      <c r="B1833" t="str">
        <f>COUNTIF($E$2:E1720,E1720)&amp;E1720</f>
        <v>0</v>
      </c>
    </row>
    <row r="1834" spans="1:2" x14ac:dyDescent="0.25">
      <c r="A1834" t="str">
        <f>COUNTIF($D$2:D1721,D1721)&amp;D1721</f>
        <v>0</v>
      </c>
      <c r="B1834" t="str">
        <f>COUNTIF($E$2:E1721,E1721)&amp;E1721</f>
        <v>0</v>
      </c>
    </row>
    <row r="1835" spans="1:2" x14ac:dyDescent="0.25">
      <c r="A1835" t="str">
        <f>COUNTIF($D$2:D1722,D1722)&amp;D1722</f>
        <v>0</v>
      </c>
      <c r="B1835" t="str">
        <f>COUNTIF($E$2:E1722,E1722)&amp;E1722</f>
        <v>0</v>
      </c>
    </row>
    <row r="1836" spans="1:2" x14ac:dyDescent="0.25">
      <c r="A1836" t="str">
        <f>COUNTIF($D$2:D1723,D1723)&amp;D1723</f>
        <v>0</v>
      </c>
      <c r="B1836" t="str">
        <f>COUNTIF($E$2:E1723,E1723)&amp;E1723</f>
        <v>0</v>
      </c>
    </row>
    <row r="1837" spans="1:2" x14ac:dyDescent="0.25">
      <c r="A1837" t="str">
        <f>COUNTIF($D$2:D1724,D1724)&amp;D1724</f>
        <v>0</v>
      </c>
      <c r="B1837" t="str">
        <f>COUNTIF($E$2:E1724,E1724)&amp;E1724</f>
        <v>0</v>
      </c>
    </row>
    <row r="1838" spans="1:2" x14ac:dyDescent="0.25">
      <c r="A1838" t="str">
        <f>COUNTIF($D$2:D1725,D1725)&amp;D1725</f>
        <v>0</v>
      </c>
      <c r="B1838" t="str">
        <f>COUNTIF($E$2:E1725,E1725)&amp;E1725</f>
        <v>0</v>
      </c>
    </row>
    <row r="1839" spans="1:2" x14ac:dyDescent="0.25">
      <c r="A1839" t="str">
        <f>COUNTIF($D$2:D1726,D1726)&amp;D1726</f>
        <v>0</v>
      </c>
      <c r="B1839" t="str">
        <f>COUNTIF($E$2:E1726,E1726)&amp;E1726</f>
        <v>0</v>
      </c>
    </row>
    <row r="1840" spans="1:2" x14ac:dyDescent="0.25">
      <c r="A1840" t="str">
        <f>COUNTIF($D$2:D1727,D1727)&amp;D1727</f>
        <v>0</v>
      </c>
      <c r="B1840" t="str">
        <f>COUNTIF($E$2:E1727,E1727)&amp;E1727</f>
        <v>0</v>
      </c>
    </row>
    <row r="1841" spans="1:2" x14ac:dyDescent="0.25">
      <c r="A1841" t="str">
        <f>COUNTIF($D$2:D1728,D1728)&amp;D1728</f>
        <v>0</v>
      </c>
      <c r="B1841" t="str">
        <f>COUNTIF($E$2:E1728,E1728)&amp;E1728</f>
        <v>0</v>
      </c>
    </row>
    <row r="1842" spans="1:2" x14ac:dyDescent="0.25">
      <c r="A1842" t="str">
        <f>COUNTIF($D$2:D1729,D1729)&amp;D1729</f>
        <v>0</v>
      </c>
      <c r="B1842" t="str">
        <f>COUNTIF($E$2:E1729,E1729)&amp;E1729</f>
        <v>0</v>
      </c>
    </row>
    <row r="1843" spans="1:2" x14ac:dyDescent="0.25">
      <c r="A1843" t="str">
        <f>COUNTIF($D$2:D1730,D1730)&amp;D1730</f>
        <v>0</v>
      </c>
      <c r="B1843" t="str">
        <f>COUNTIF($E$2:E1730,E1730)&amp;E1730</f>
        <v>0</v>
      </c>
    </row>
    <row r="1844" spans="1:2" x14ac:dyDescent="0.25">
      <c r="A1844" t="str">
        <f>COUNTIF($D$2:D1731,D1731)&amp;D1731</f>
        <v>0</v>
      </c>
      <c r="B1844" t="str">
        <f>COUNTIF($E$2:E1731,E1731)&amp;E1731</f>
        <v>0</v>
      </c>
    </row>
    <row r="1845" spans="1:2" x14ac:dyDescent="0.25">
      <c r="A1845" t="str">
        <f>COUNTIF($D$2:D1732,D1732)&amp;D1732</f>
        <v>0</v>
      </c>
      <c r="B1845" t="str">
        <f>COUNTIF($E$2:E1732,E1732)&amp;E1732</f>
        <v>0</v>
      </c>
    </row>
    <row r="1846" spans="1:2" x14ac:dyDescent="0.25">
      <c r="A1846" t="str">
        <f>COUNTIF($D$2:D1733,D1733)&amp;D1733</f>
        <v>0</v>
      </c>
      <c r="B1846" t="str">
        <f>COUNTIF($E$2:E1733,E1733)&amp;E1733</f>
        <v>0</v>
      </c>
    </row>
    <row r="1847" spans="1:2" x14ac:dyDescent="0.25">
      <c r="A1847" t="str">
        <f>COUNTIF($D$2:D1734,D1734)&amp;D1734</f>
        <v>0</v>
      </c>
      <c r="B1847" t="str">
        <f>COUNTIF($E$2:E1734,E1734)&amp;E1734</f>
        <v>0</v>
      </c>
    </row>
    <row r="1848" spans="1:2" x14ac:dyDescent="0.25">
      <c r="A1848" t="str">
        <f>COUNTIF($D$2:D1735,D1735)&amp;D1735</f>
        <v>0</v>
      </c>
      <c r="B1848" t="str">
        <f>COUNTIF($E$2:E1735,E1735)&amp;E1735</f>
        <v>0</v>
      </c>
    </row>
    <row r="1849" spans="1:2" x14ac:dyDescent="0.25">
      <c r="A1849" t="str">
        <f>COUNTIF($D$2:D1736,D1736)&amp;D1736</f>
        <v>0</v>
      </c>
      <c r="B1849" t="str">
        <f>COUNTIF($E$2:E1736,E1736)&amp;E1736</f>
        <v>0</v>
      </c>
    </row>
    <row r="1850" spans="1:2" x14ac:dyDescent="0.25">
      <c r="A1850" t="str">
        <f>COUNTIF($D$2:D1737,D1737)&amp;D1737</f>
        <v>0</v>
      </c>
      <c r="B1850" t="str">
        <f>COUNTIF($E$2:E1737,E1737)&amp;E1737</f>
        <v>0</v>
      </c>
    </row>
    <row r="1851" spans="1:2" x14ac:dyDescent="0.25">
      <c r="A1851" t="str">
        <f>COUNTIF($D$2:D1738,D1738)&amp;D1738</f>
        <v>0</v>
      </c>
      <c r="B1851" t="str">
        <f>COUNTIF($E$2:E1738,E1738)&amp;E1738</f>
        <v>0</v>
      </c>
    </row>
    <row r="1852" spans="1:2" x14ac:dyDescent="0.25">
      <c r="A1852" t="str">
        <f>COUNTIF($D$2:D1739,D1739)&amp;D1739</f>
        <v>0</v>
      </c>
      <c r="B1852" t="str">
        <f>COUNTIF($E$2:E1739,E1739)&amp;E1739</f>
        <v>0</v>
      </c>
    </row>
    <row r="1853" spans="1:2" x14ac:dyDescent="0.25">
      <c r="A1853" t="str">
        <f>COUNTIF($D$2:D1740,D1740)&amp;D1740</f>
        <v>0</v>
      </c>
      <c r="B1853" t="str">
        <f>COUNTIF($E$2:E1740,E1740)&amp;E1740</f>
        <v>0</v>
      </c>
    </row>
    <row r="1854" spans="1:2" x14ac:dyDescent="0.25">
      <c r="A1854" t="str">
        <f>COUNTIF($D$2:D1741,D1741)&amp;D1741</f>
        <v>0</v>
      </c>
      <c r="B1854" t="str">
        <f>COUNTIF($E$2:E1741,E1741)&amp;E1741</f>
        <v>0</v>
      </c>
    </row>
    <row r="1855" spans="1:2" x14ac:dyDescent="0.25">
      <c r="A1855" t="str">
        <f>COUNTIF($D$2:D1742,D1742)&amp;D1742</f>
        <v>0</v>
      </c>
      <c r="B1855" t="str">
        <f>COUNTIF($E$2:E1742,E1742)&amp;E1742</f>
        <v>0</v>
      </c>
    </row>
    <row r="1856" spans="1:2" x14ac:dyDescent="0.25">
      <c r="A1856" t="str">
        <f>COUNTIF($D$2:D1743,D1743)&amp;D1743</f>
        <v>0</v>
      </c>
      <c r="B1856" t="str">
        <f>COUNTIF($E$2:E1743,E1743)&amp;E1743</f>
        <v>0</v>
      </c>
    </row>
    <row r="1857" spans="1:2" x14ac:dyDescent="0.25">
      <c r="A1857" t="str">
        <f>COUNTIF($D$2:D1744,D1744)&amp;D1744</f>
        <v>0</v>
      </c>
      <c r="B1857" t="str">
        <f>COUNTIF($E$2:E1744,E1744)&amp;E1744</f>
        <v>0</v>
      </c>
    </row>
    <row r="1858" spans="1:2" x14ac:dyDescent="0.25">
      <c r="A1858" t="str">
        <f>COUNTIF($D$2:D1745,D1745)&amp;D1745</f>
        <v>0</v>
      </c>
      <c r="B1858" t="str">
        <f>COUNTIF($E$2:E1745,E1745)&amp;E1745</f>
        <v>0</v>
      </c>
    </row>
    <row r="1859" spans="1:2" x14ac:dyDescent="0.25">
      <c r="A1859" t="str">
        <f>COUNTIF($D$2:D1746,D1746)&amp;D1746</f>
        <v>0</v>
      </c>
      <c r="B1859" t="str">
        <f>COUNTIF($E$2:E1746,E1746)&amp;E1746</f>
        <v>0</v>
      </c>
    </row>
    <row r="1860" spans="1:2" x14ac:dyDescent="0.25">
      <c r="A1860" t="str">
        <f>COUNTIF($D$2:D1747,D1747)&amp;D1747</f>
        <v>0</v>
      </c>
      <c r="B1860" t="str">
        <f>COUNTIF($E$2:E1747,E1747)&amp;E1747</f>
        <v>0</v>
      </c>
    </row>
    <row r="1861" spans="1:2" x14ac:dyDescent="0.25">
      <c r="A1861" t="str">
        <f>COUNTIF($D$2:D1748,D1748)&amp;D1748</f>
        <v>0</v>
      </c>
      <c r="B1861" t="str">
        <f>COUNTIF($E$2:E1748,E1748)&amp;E1748</f>
        <v>0</v>
      </c>
    </row>
    <row r="1862" spans="1:2" x14ac:dyDescent="0.25">
      <c r="A1862" t="str">
        <f>COUNTIF($D$2:D1749,D1749)&amp;D1749</f>
        <v>0</v>
      </c>
      <c r="B1862" t="str">
        <f>COUNTIF($E$2:E1749,E1749)&amp;E1749</f>
        <v>0</v>
      </c>
    </row>
    <row r="1863" spans="1:2" x14ac:dyDescent="0.25">
      <c r="A1863" t="str">
        <f>COUNTIF($D$2:D1750,D1750)&amp;D1750</f>
        <v>0</v>
      </c>
      <c r="B1863" t="str">
        <f>COUNTIF($E$2:E1750,E1750)&amp;E1750</f>
        <v>0</v>
      </c>
    </row>
    <row r="1864" spans="1:2" x14ac:dyDescent="0.25">
      <c r="A1864" t="str">
        <f>COUNTIF($D$2:D1751,D1751)&amp;D1751</f>
        <v>0</v>
      </c>
      <c r="B1864" t="str">
        <f>COUNTIF($E$2:E1751,E1751)&amp;E1751</f>
        <v>0</v>
      </c>
    </row>
    <row r="1865" spans="1:2" x14ac:dyDescent="0.25">
      <c r="A1865" t="str">
        <f>COUNTIF($D$2:D1752,D1752)&amp;D1752</f>
        <v>0</v>
      </c>
      <c r="B1865" t="str">
        <f>COUNTIF($E$2:E1752,E1752)&amp;E1752</f>
        <v>0</v>
      </c>
    </row>
    <row r="1866" spans="1:2" x14ac:dyDescent="0.25">
      <c r="A1866" t="str">
        <f>COUNTIF($D$2:D1753,D1753)&amp;D1753</f>
        <v>0</v>
      </c>
      <c r="B1866" t="str">
        <f>COUNTIF($E$2:E1753,E1753)&amp;E1753</f>
        <v>0</v>
      </c>
    </row>
    <row r="1867" spans="1:2" x14ac:dyDescent="0.25">
      <c r="A1867" t="str">
        <f>COUNTIF($D$2:D1754,D1754)&amp;D1754</f>
        <v>0</v>
      </c>
      <c r="B1867" t="str">
        <f>COUNTIF($E$2:E1754,E1754)&amp;E1754</f>
        <v>0</v>
      </c>
    </row>
    <row r="1868" spans="1:2" x14ac:dyDescent="0.25">
      <c r="A1868" t="str">
        <f>COUNTIF($D$2:D1755,D1755)&amp;D1755</f>
        <v>0</v>
      </c>
      <c r="B1868" t="str">
        <f>COUNTIF($E$2:E1755,E1755)&amp;E1755</f>
        <v>0</v>
      </c>
    </row>
    <row r="1869" spans="1:2" x14ac:dyDescent="0.25">
      <c r="A1869" t="str">
        <f>COUNTIF($D$2:D1756,D1756)&amp;D1756</f>
        <v>0</v>
      </c>
      <c r="B1869" t="str">
        <f>COUNTIF($E$2:E1756,E1756)&amp;E1756</f>
        <v>0</v>
      </c>
    </row>
    <row r="1870" spans="1:2" x14ac:dyDescent="0.25">
      <c r="A1870" t="str">
        <f>COUNTIF($D$2:D1757,D1757)&amp;D1757</f>
        <v>0</v>
      </c>
      <c r="B1870" t="str">
        <f>COUNTIF($E$2:E1757,E1757)&amp;E1757</f>
        <v>0</v>
      </c>
    </row>
    <row r="1871" spans="1:2" x14ac:dyDescent="0.25">
      <c r="A1871" t="str">
        <f>COUNTIF($D$2:D1758,D1758)&amp;D1758</f>
        <v>0</v>
      </c>
      <c r="B1871" t="str">
        <f>COUNTIF($E$2:E1758,E1758)&amp;E1758</f>
        <v>0</v>
      </c>
    </row>
    <row r="1872" spans="1:2" x14ac:dyDescent="0.25">
      <c r="A1872" t="str">
        <f>COUNTIF($D$2:D1759,D1759)&amp;D1759</f>
        <v>0</v>
      </c>
      <c r="B1872" t="str">
        <f>COUNTIF($E$2:E1759,E1759)&amp;E1759</f>
        <v>0</v>
      </c>
    </row>
    <row r="1873" spans="1:2" x14ac:dyDescent="0.25">
      <c r="A1873" t="str">
        <f>COUNTIF($D$2:D1760,D1760)&amp;D1760</f>
        <v>0</v>
      </c>
      <c r="B1873" t="str">
        <f>COUNTIF($E$2:E1760,E1760)&amp;E1760</f>
        <v>0</v>
      </c>
    </row>
    <row r="1874" spans="1:2" x14ac:dyDescent="0.25">
      <c r="A1874" t="str">
        <f>COUNTIF($D$2:D1761,D1761)&amp;D1761</f>
        <v>0</v>
      </c>
      <c r="B1874" t="str">
        <f>COUNTIF($E$2:E1761,E1761)&amp;E1761</f>
        <v>0</v>
      </c>
    </row>
    <row r="1875" spans="1:2" x14ac:dyDescent="0.25">
      <c r="A1875" t="str">
        <f>COUNTIF($D$2:D1762,D1762)&amp;D1762</f>
        <v>0</v>
      </c>
      <c r="B1875" t="str">
        <f>COUNTIF($E$2:E1762,E1762)&amp;E1762</f>
        <v>0</v>
      </c>
    </row>
    <row r="1876" spans="1:2" x14ac:dyDescent="0.25">
      <c r="A1876" t="str">
        <f>COUNTIF($D$2:D1763,D1763)&amp;D1763</f>
        <v>0</v>
      </c>
      <c r="B1876" t="str">
        <f>COUNTIF($E$2:E1763,E1763)&amp;E1763</f>
        <v>0</v>
      </c>
    </row>
    <row r="1877" spans="1:2" x14ac:dyDescent="0.25">
      <c r="A1877" t="str">
        <f>COUNTIF($D$2:D1764,D1764)&amp;D1764</f>
        <v>0</v>
      </c>
      <c r="B1877" t="str">
        <f>COUNTIF($E$2:E1764,E1764)&amp;E1764</f>
        <v>0</v>
      </c>
    </row>
    <row r="1878" spans="1:2" x14ac:dyDescent="0.25">
      <c r="A1878" t="str">
        <f>COUNTIF($D$2:D1765,D1765)&amp;D1765</f>
        <v>0</v>
      </c>
      <c r="B1878" t="str">
        <f>COUNTIF($E$2:E1765,E1765)&amp;E1765</f>
        <v>0</v>
      </c>
    </row>
    <row r="1879" spans="1:2" x14ac:dyDescent="0.25">
      <c r="A1879" t="str">
        <f>COUNTIF($D$2:D1766,D1766)&amp;D1766</f>
        <v>0</v>
      </c>
      <c r="B1879" t="str">
        <f>COUNTIF($E$2:E1766,E1766)&amp;E1766</f>
        <v>0</v>
      </c>
    </row>
    <row r="1880" spans="1:2" x14ac:dyDescent="0.25">
      <c r="A1880" t="str">
        <f>COUNTIF($D$2:D1767,D1767)&amp;D1767</f>
        <v>0</v>
      </c>
      <c r="B1880" t="str">
        <f>COUNTIF($E$2:E1767,E1767)&amp;E1767</f>
        <v>0</v>
      </c>
    </row>
    <row r="1881" spans="1:2" x14ac:dyDescent="0.25">
      <c r="A1881" t="str">
        <f>COUNTIF($D$2:D1768,D1768)&amp;D1768</f>
        <v>0</v>
      </c>
      <c r="B1881" t="str">
        <f>COUNTIF($E$2:E1768,E1768)&amp;E1768</f>
        <v>0</v>
      </c>
    </row>
    <row r="1882" spans="1:2" x14ac:dyDescent="0.25">
      <c r="A1882" t="str">
        <f>COUNTIF($D$2:D1769,D1769)&amp;D1769</f>
        <v>0</v>
      </c>
      <c r="B1882" t="str">
        <f>COUNTIF($E$2:E1769,E1769)&amp;E1769</f>
        <v>0</v>
      </c>
    </row>
    <row r="1883" spans="1:2" x14ac:dyDescent="0.25">
      <c r="A1883" t="str">
        <f>COUNTIF($D$2:D1770,D1770)&amp;D1770</f>
        <v>0</v>
      </c>
      <c r="B1883" t="str">
        <f>COUNTIF($E$2:E1770,E1770)&amp;E1770</f>
        <v>0</v>
      </c>
    </row>
    <row r="1884" spans="1:2" x14ac:dyDescent="0.25">
      <c r="A1884" t="str">
        <f>COUNTIF($D$2:D1771,D1771)&amp;D1771</f>
        <v>0</v>
      </c>
      <c r="B1884" t="str">
        <f>COUNTIF($E$2:E1771,E1771)&amp;E1771</f>
        <v>0</v>
      </c>
    </row>
    <row r="1885" spans="1:2" x14ac:dyDescent="0.25">
      <c r="A1885" t="str">
        <f>COUNTIF($D$2:D1772,D1772)&amp;D1772</f>
        <v>0</v>
      </c>
      <c r="B1885" t="str">
        <f>COUNTIF($E$2:E1772,E1772)&amp;E1772</f>
        <v>0</v>
      </c>
    </row>
    <row r="1886" spans="1:2" x14ac:dyDescent="0.25">
      <c r="A1886" t="str">
        <f>COUNTIF($D$2:D1773,D1773)&amp;D1773</f>
        <v>0</v>
      </c>
      <c r="B1886" t="str">
        <f>COUNTIF($E$2:E1773,E1773)&amp;E1773</f>
        <v>0</v>
      </c>
    </row>
    <row r="1887" spans="1:2" x14ac:dyDescent="0.25">
      <c r="A1887" t="str">
        <f>COUNTIF($D$2:D1774,D1774)&amp;D1774</f>
        <v>0</v>
      </c>
      <c r="B1887" t="str">
        <f>COUNTIF($E$2:E1774,E1774)&amp;E1774</f>
        <v>0</v>
      </c>
    </row>
    <row r="1888" spans="1:2" x14ac:dyDescent="0.25">
      <c r="A1888" t="str">
        <f>COUNTIF($D$2:D1775,D1775)&amp;D1775</f>
        <v>0</v>
      </c>
      <c r="B1888" t="str">
        <f>COUNTIF($E$2:E1775,E1775)&amp;E1775</f>
        <v>0</v>
      </c>
    </row>
    <row r="1889" spans="1:2" x14ac:dyDescent="0.25">
      <c r="A1889" t="str">
        <f>COUNTIF($D$2:D1776,D1776)&amp;D1776</f>
        <v>0</v>
      </c>
      <c r="B1889" t="str">
        <f>COUNTIF($E$2:E1776,E1776)&amp;E1776</f>
        <v>0</v>
      </c>
    </row>
    <row r="1890" spans="1:2" x14ac:dyDescent="0.25">
      <c r="A1890" t="str">
        <f>COUNTIF($D$2:D1777,D1777)&amp;D1777</f>
        <v>0</v>
      </c>
      <c r="B1890" t="str">
        <f>COUNTIF($E$2:E1777,E1777)&amp;E1777</f>
        <v>0</v>
      </c>
    </row>
    <row r="1891" spans="1:2" x14ac:dyDescent="0.25">
      <c r="A1891" t="str">
        <f>COUNTIF($D$2:D1778,D1778)&amp;D1778</f>
        <v>0</v>
      </c>
      <c r="B1891" t="str">
        <f>COUNTIF($E$2:E1778,E1778)&amp;E1778</f>
        <v>0</v>
      </c>
    </row>
    <row r="1892" spans="1:2" x14ac:dyDescent="0.25">
      <c r="A1892" t="str">
        <f>COUNTIF($D$2:D1779,D1779)&amp;D1779</f>
        <v>0</v>
      </c>
      <c r="B1892" t="str">
        <f>COUNTIF($E$2:E1779,E1779)&amp;E1779</f>
        <v>0</v>
      </c>
    </row>
    <row r="1893" spans="1:2" x14ac:dyDescent="0.25">
      <c r="A1893" t="str">
        <f>COUNTIF($D$2:D1780,D1780)&amp;D1780</f>
        <v>0</v>
      </c>
      <c r="B1893" t="str">
        <f>COUNTIF($E$2:E1780,E1780)&amp;E1780</f>
        <v>0</v>
      </c>
    </row>
    <row r="1894" spans="1:2" x14ac:dyDescent="0.25">
      <c r="A1894" t="str">
        <f>COUNTIF($D$2:D1781,D1781)&amp;D1781</f>
        <v>0</v>
      </c>
      <c r="B1894" t="str">
        <f>COUNTIF($E$2:E1781,E1781)&amp;E1781</f>
        <v>0</v>
      </c>
    </row>
    <row r="1895" spans="1:2" x14ac:dyDescent="0.25">
      <c r="A1895" t="str">
        <f>COUNTIF($D$2:D1782,D1782)&amp;D1782</f>
        <v>0</v>
      </c>
      <c r="B1895" t="str">
        <f>COUNTIF($E$2:E1782,E1782)&amp;E1782</f>
        <v>0</v>
      </c>
    </row>
    <row r="1896" spans="1:2" x14ac:dyDescent="0.25">
      <c r="A1896" t="str">
        <f>COUNTIF($D$2:D1783,D1783)&amp;D1783</f>
        <v>0</v>
      </c>
      <c r="B1896" t="str">
        <f>COUNTIF($E$2:E1783,E1783)&amp;E1783</f>
        <v>0</v>
      </c>
    </row>
    <row r="1897" spans="1:2" x14ac:dyDescent="0.25">
      <c r="A1897" t="str">
        <f>COUNTIF($D$2:D1784,D1784)&amp;D1784</f>
        <v>0</v>
      </c>
      <c r="B1897" t="str">
        <f>COUNTIF($E$2:E1784,E1784)&amp;E1784</f>
        <v>0</v>
      </c>
    </row>
    <row r="1898" spans="1:2" x14ac:dyDescent="0.25">
      <c r="A1898" t="str">
        <f>COUNTIF($D$2:D1785,D1785)&amp;D1785</f>
        <v>0</v>
      </c>
      <c r="B1898" t="str">
        <f>COUNTIF($E$2:E1785,E1785)&amp;E1785</f>
        <v>0</v>
      </c>
    </row>
    <row r="1899" spans="1:2" x14ac:dyDescent="0.25">
      <c r="A1899" t="str">
        <f>COUNTIF($D$2:D1786,D1786)&amp;D1786</f>
        <v>0</v>
      </c>
      <c r="B1899" t="str">
        <f>COUNTIF($E$2:E1786,E1786)&amp;E1786</f>
        <v>0</v>
      </c>
    </row>
    <row r="1900" spans="1:2" x14ac:dyDescent="0.25">
      <c r="A1900" t="str">
        <f>COUNTIF($D$2:D1787,D1787)&amp;D1787</f>
        <v>0</v>
      </c>
      <c r="B1900" t="str">
        <f>COUNTIF($E$2:E1787,E1787)&amp;E1787</f>
        <v>0</v>
      </c>
    </row>
    <row r="1901" spans="1:2" x14ac:dyDescent="0.25">
      <c r="A1901" t="str">
        <f>COUNTIF($D$2:D1788,D1788)&amp;D1788</f>
        <v>0</v>
      </c>
      <c r="B1901" t="str">
        <f>COUNTIF($E$2:E1788,E1788)&amp;E1788</f>
        <v>0</v>
      </c>
    </row>
    <row r="1902" spans="1:2" x14ac:dyDescent="0.25">
      <c r="A1902" t="str">
        <f>COUNTIF($D$2:D1789,D1789)&amp;D1789</f>
        <v>0</v>
      </c>
      <c r="B1902" t="str">
        <f>COUNTIF($E$2:E1789,E1789)&amp;E1789</f>
        <v>0</v>
      </c>
    </row>
    <row r="1903" spans="1:2" x14ac:dyDescent="0.25">
      <c r="A1903" t="str">
        <f>COUNTIF($D$2:D1790,D1790)&amp;D1790</f>
        <v>0</v>
      </c>
      <c r="B1903" t="str">
        <f>COUNTIF($E$2:E1790,E1790)&amp;E1790</f>
        <v>0</v>
      </c>
    </row>
    <row r="1904" spans="1:2" x14ac:dyDescent="0.25">
      <c r="A1904" t="str">
        <f>COUNTIF($D$2:D1791,D1791)&amp;D1791</f>
        <v>0</v>
      </c>
      <c r="B1904" t="str">
        <f>COUNTIF($E$2:E1791,E1791)&amp;E1791</f>
        <v>0</v>
      </c>
    </row>
    <row r="1905" spans="1:2" x14ac:dyDescent="0.25">
      <c r="A1905" t="str">
        <f>COUNTIF($D$2:D1792,D1792)&amp;D1792</f>
        <v>0</v>
      </c>
      <c r="B1905" t="str">
        <f>COUNTIF($E$2:E1792,E1792)&amp;E1792</f>
        <v>0</v>
      </c>
    </row>
    <row r="1906" spans="1:2" x14ac:dyDescent="0.25">
      <c r="A1906" t="str">
        <f>COUNTIF($D$2:D1793,D1793)&amp;D1793</f>
        <v>0</v>
      </c>
      <c r="B1906" t="str">
        <f>COUNTIF($E$2:E1793,E1793)&amp;E1793</f>
        <v>0</v>
      </c>
    </row>
    <row r="1907" spans="1:2" x14ac:dyDescent="0.25">
      <c r="A1907" t="str">
        <f>COUNTIF($D$2:D1794,D1794)&amp;D1794</f>
        <v>0</v>
      </c>
      <c r="B1907" t="str">
        <f>COUNTIF($E$2:E1794,E1794)&amp;E1794</f>
        <v>0</v>
      </c>
    </row>
    <row r="1908" spans="1:2" x14ac:dyDescent="0.25">
      <c r="A1908" t="str">
        <f>COUNTIF($D$2:D1795,D1795)&amp;D1795</f>
        <v>0</v>
      </c>
      <c r="B1908" t="str">
        <f>COUNTIF($E$2:E1795,E1795)&amp;E1795</f>
        <v>0</v>
      </c>
    </row>
    <row r="1909" spans="1:2" x14ac:dyDescent="0.25">
      <c r="A1909" t="str">
        <f>COUNTIF($D$2:D1796,D1796)&amp;D1796</f>
        <v>0</v>
      </c>
      <c r="B1909" t="str">
        <f>COUNTIF($E$2:E1796,E1796)&amp;E1796</f>
        <v>0</v>
      </c>
    </row>
    <row r="1910" spans="1:2" x14ac:dyDescent="0.25">
      <c r="A1910" t="str">
        <f>COUNTIF($D$2:D1797,D1797)&amp;D1797</f>
        <v>0</v>
      </c>
      <c r="B1910" t="str">
        <f>COUNTIF($E$2:E1797,E1797)&amp;E1797</f>
        <v>0</v>
      </c>
    </row>
    <row r="1911" spans="1:2" x14ac:dyDescent="0.25">
      <c r="A1911" t="str">
        <f>COUNTIF($D$2:D1798,D1798)&amp;D1798</f>
        <v>0</v>
      </c>
      <c r="B1911" t="str">
        <f>COUNTIF($E$2:E1798,E1798)&amp;E1798</f>
        <v>0</v>
      </c>
    </row>
    <row r="1912" spans="1:2" x14ac:dyDescent="0.25">
      <c r="A1912" t="str">
        <f>COUNTIF($D$2:D1799,D1799)&amp;D1799</f>
        <v>0</v>
      </c>
      <c r="B1912" t="str">
        <f>COUNTIF($E$2:E1799,E1799)&amp;E1799</f>
        <v>0</v>
      </c>
    </row>
    <row r="1913" spans="1:2" x14ac:dyDescent="0.25">
      <c r="A1913" t="str">
        <f>COUNTIF($D$2:D1800,D1800)&amp;D1800</f>
        <v>0</v>
      </c>
      <c r="B1913" t="str">
        <f>COUNTIF($E$2:E1800,E1800)&amp;E1800</f>
        <v>0</v>
      </c>
    </row>
    <row r="1914" spans="1:2" x14ac:dyDescent="0.25">
      <c r="A1914" t="str">
        <f>COUNTIF($D$2:D1801,D1801)&amp;D1801</f>
        <v>0</v>
      </c>
      <c r="B1914" t="str">
        <f>COUNTIF($E$2:E1801,E1801)&amp;E1801</f>
        <v>0</v>
      </c>
    </row>
    <row r="1915" spans="1:2" x14ac:dyDescent="0.25">
      <c r="A1915" t="str">
        <f>COUNTIF($D$2:D1802,D1802)&amp;D1802</f>
        <v>0</v>
      </c>
      <c r="B1915" t="str">
        <f>COUNTIF($E$2:E1802,E1802)&amp;E1802</f>
        <v>0</v>
      </c>
    </row>
    <row r="1916" spans="1:2" x14ac:dyDescent="0.25">
      <c r="A1916" t="str">
        <f>COUNTIF($D$2:D1803,D1803)&amp;D1803</f>
        <v>0</v>
      </c>
      <c r="B1916" t="str">
        <f>COUNTIF($E$2:E1803,E1803)&amp;E1803</f>
        <v>0</v>
      </c>
    </row>
    <row r="1917" spans="1:2" x14ac:dyDescent="0.25">
      <c r="A1917" t="str">
        <f>COUNTIF($D$2:D1804,D1804)&amp;D1804</f>
        <v>0</v>
      </c>
      <c r="B1917" t="str">
        <f>COUNTIF($E$2:E1804,E1804)&amp;E1804</f>
        <v>0</v>
      </c>
    </row>
    <row r="1918" spans="1:2" x14ac:dyDescent="0.25">
      <c r="A1918" t="str">
        <f>COUNTIF($D$2:D1805,D1805)&amp;D1805</f>
        <v>0</v>
      </c>
      <c r="B1918" t="str">
        <f>COUNTIF($E$2:E1805,E1805)&amp;E1805</f>
        <v>0</v>
      </c>
    </row>
    <row r="1919" spans="1:2" x14ac:dyDescent="0.25">
      <c r="A1919" t="str">
        <f>COUNTIF($D$2:D1806,D1806)&amp;D1806</f>
        <v>0</v>
      </c>
      <c r="B1919" t="str">
        <f>COUNTIF($E$2:E1806,E1806)&amp;E1806</f>
        <v>0</v>
      </c>
    </row>
    <row r="1920" spans="1:2" x14ac:dyDescent="0.25">
      <c r="A1920" t="str">
        <f>COUNTIF($D$2:D1807,D1807)&amp;D1807</f>
        <v>0</v>
      </c>
      <c r="B1920" t="str">
        <f>COUNTIF($E$2:E1807,E1807)&amp;E1807</f>
        <v>0</v>
      </c>
    </row>
    <row r="1921" spans="1:2" x14ac:dyDescent="0.25">
      <c r="A1921" t="str">
        <f>COUNTIF($D$2:D1808,D1808)&amp;D1808</f>
        <v>0</v>
      </c>
      <c r="B1921" t="str">
        <f>COUNTIF($E$2:E1808,E1808)&amp;E1808</f>
        <v>0</v>
      </c>
    </row>
    <row r="1922" spans="1:2" x14ac:dyDescent="0.25">
      <c r="A1922" t="str">
        <f>COUNTIF($D$2:D1809,D1809)&amp;D1809</f>
        <v>0</v>
      </c>
      <c r="B1922" t="str">
        <f>COUNTIF($E$2:E1809,E1809)&amp;E1809</f>
        <v>0</v>
      </c>
    </row>
    <row r="1923" spans="1:2" x14ac:dyDescent="0.25">
      <c r="A1923" t="str">
        <f>COUNTIF($D$2:D1810,D1810)&amp;D1810</f>
        <v>0</v>
      </c>
      <c r="B1923" t="str">
        <f>COUNTIF($E$2:E1810,E1810)&amp;E1810</f>
        <v>0</v>
      </c>
    </row>
    <row r="1924" spans="1:2" x14ac:dyDescent="0.25">
      <c r="A1924" t="str">
        <f>COUNTIF($D$2:D1811,D1811)&amp;D1811</f>
        <v>0</v>
      </c>
      <c r="B1924" t="str">
        <f>COUNTIF($E$2:E1811,E1811)&amp;E1811</f>
        <v>0</v>
      </c>
    </row>
    <row r="1925" spans="1:2" x14ac:dyDescent="0.25">
      <c r="A1925" t="str">
        <f>COUNTIF($D$2:D1812,D1812)&amp;D1812</f>
        <v>0</v>
      </c>
      <c r="B1925" t="str">
        <f>COUNTIF($E$2:E1812,E1812)&amp;E1812</f>
        <v>0</v>
      </c>
    </row>
    <row r="1926" spans="1:2" x14ac:dyDescent="0.25">
      <c r="A1926" t="str">
        <f>COUNTIF($D$2:D1813,D1813)&amp;D1813</f>
        <v>0</v>
      </c>
      <c r="B1926" t="str">
        <f>COUNTIF($E$2:E1813,E1813)&amp;E1813</f>
        <v>0</v>
      </c>
    </row>
    <row r="1927" spans="1:2" x14ac:dyDescent="0.25">
      <c r="A1927" t="str">
        <f>COUNTIF($D$2:D1814,D1814)&amp;D1814</f>
        <v>0</v>
      </c>
      <c r="B1927" t="str">
        <f>COUNTIF($E$2:E1814,E1814)&amp;E1814</f>
        <v>0</v>
      </c>
    </row>
    <row r="1928" spans="1:2" x14ac:dyDescent="0.25">
      <c r="A1928" t="str">
        <f>COUNTIF($D$2:D1815,D1815)&amp;D1815</f>
        <v>0</v>
      </c>
      <c r="B1928" t="str">
        <f>COUNTIF($E$2:E1815,E1815)&amp;E1815</f>
        <v>0</v>
      </c>
    </row>
    <row r="1929" spans="1:2" x14ac:dyDescent="0.25">
      <c r="A1929" t="str">
        <f>COUNTIF($D$2:D1816,D1816)&amp;D1816</f>
        <v>0</v>
      </c>
      <c r="B1929" t="str">
        <f>COUNTIF($E$2:E1816,E1816)&amp;E1816</f>
        <v>0</v>
      </c>
    </row>
    <row r="1930" spans="1:2" x14ac:dyDescent="0.25">
      <c r="A1930" t="str">
        <f>COUNTIF($D$2:D1817,D1817)&amp;D1817</f>
        <v>0</v>
      </c>
      <c r="B1930" t="str">
        <f>COUNTIF($E$2:E1817,E1817)&amp;E1817</f>
        <v>0</v>
      </c>
    </row>
    <row r="1931" spans="1:2" x14ac:dyDescent="0.25">
      <c r="A1931" t="str">
        <f>COUNTIF($D$2:D1818,D1818)&amp;D1818</f>
        <v>0</v>
      </c>
      <c r="B1931" t="str">
        <f>COUNTIF($E$2:E1818,E1818)&amp;E1818</f>
        <v>0</v>
      </c>
    </row>
    <row r="1932" spans="1:2" x14ac:dyDescent="0.25">
      <c r="A1932" t="str">
        <f>COUNTIF($D$2:D1819,D1819)&amp;D1819</f>
        <v>0</v>
      </c>
      <c r="B1932" t="str">
        <f>COUNTIF($E$2:E1819,E1819)&amp;E1819</f>
        <v>0</v>
      </c>
    </row>
    <row r="1933" spans="1:2" x14ac:dyDescent="0.25">
      <c r="A1933" t="str">
        <f>COUNTIF($D$2:D1820,D1820)&amp;D1820</f>
        <v>0</v>
      </c>
      <c r="B1933" t="str">
        <f>COUNTIF($E$2:E1820,E1820)&amp;E1820</f>
        <v>0</v>
      </c>
    </row>
    <row r="1934" spans="1:2" x14ac:dyDescent="0.25">
      <c r="A1934" t="str">
        <f>COUNTIF($D$2:D1821,D1821)&amp;D1821</f>
        <v>0</v>
      </c>
      <c r="B1934" t="str">
        <f>COUNTIF($E$2:E1821,E1821)&amp;E1821</f>
        <v>0</v>
      </c>
    </row>
    <row r="1935" spans="1:2" x14ac:dyDescent="0.25">
      <c r="A1935" t="str">
        <f>COUNTIF($D$2:D1822,D1822)&amp;D1822</f>
        <v>0</v>
      </c>
      <c r="B1935" t="str">
        <f>COUNTIF($E$2:E1822,E1822)&amp;E1822</f>
        <v>0</v>
      </c>
    </row>
    <row r="1936" spans="1:2" x14ac:dyDescent="0.25">
      <c r="A1936" t="str">
        <f>COUNTIF($D$2:D1823,D1823)&amp;D1823</f>
        <v>0</v>
      </c>
      <c r="B1936" t="str">
        <f>COUNTIF($E$2:E1823,E1823)&amp;E1823</f>
        <v>0</v>
      </c>
    </row>
    <row r="1937" spans="1:2" x14ac:dyDescent="0.25">
      <c r="A1937" t="str">
        <f>COUNTIF($D$2:D1824,D1824)&amp;D1824</f>
        <v>0</v>
      </c>
      <c r="B1937" t="str">
        <f>COUNTIF($E$2:E1824,E1824)&amp;E1824</f>
        <v>0</v>
      </c>
    </row>
    <row r="1938" spans="1:2" x14ac:dyDescent="0.25">
      <c r="A1938" t="str">
        <f>COUNTIF($D$2:D1825,D1825)&amp;D1825</f>
        <v>0</v>
      </c>
      <c r="B1938" t="str">
        <f>COUNTIF($E$2:E1825,E1825)&amp;E1825</f>
        <v>0</v>
      </c>
    </row>
    <row r="1939" spans="1:2" x14ac:dyDescent="0.25">
      <c r="A1939" t="str">
        <f>COUNTIF($D$2:D1826,D1826)&amp;D1826</f>
        <v>0</v>
      </c>
      <c r="B1939" t="str">
        <f>COUNTIF($E$2:E1826,E1826)&amp;E1826</f>
        <v>0</v>
      </c>
    </row>
    <row r="1940" spans="1:2" x14ac:dyDescent="0.25">
      <c r="A1940" t="str">
        <f>COUNTIF($D$2:D1827,D1827)&amp;D1827</f>
        <v>0</v>
      </c>
      <c r="B1940" t="str">
        <f>COUNTIF($E$2:E1827,E1827)&amp;E1827</f>
        <v>0</v>
      </c>
    </row>
    <row r="1941" spans="1:2" x14ac:dyDescent="0.25">
      <c r="A1941" t="str">
        <f>COUNTIF($D$2:D1828,D1828)&amp;D1828</f>
        <v>0</v>
      </c>
      <c r="B1941" t="str">
        <f>COUNTIF($E$2:E1828,E1828)&amp;E1828</f>
        <v>0</v>
      </c>
    </row>
    <row r="1942" spans="1:2" x14ac:dyDescent="0.25">
      <c r="A1942" t="str">
        <f>COUNTIF($D$2:D1829,D1829)&amp;D1829</f>
        <v>0</v>
      </c>
      <c r="B1942" t="str">
        <f>COUNTIF($E$2:E1829,E1829)&amp;E1829</f>
        <v>0</v>
      </c>
    </row>
    <row r="1943" spans="1:2" x14ac:dyDescent="0.25">
      <c r="A1943" t="str">
        <f>COUNTIF($D$2:D1830,D1830)&amp;D1830</f>
        <v>0</v>
      </c>
      <c r="B1943" t="str">
        <f>COUNTIF($E$2:E1830,E1830)&amp;E1830</f>
        <v>0</v>
      </c>
    </row>
    <row r="1944" spans="1:2" x14ac:dyDescent="0.25">
      <c r="A1944" t="str">
        <f>COUNTIF($D$2:D1831,D1831)&amp;D1831</f>
        <v>0</v>
      </c>
      <c r="B1944" t="str">
        <f>COUNTIF($E$2:E1831,E1831)&amp;E1831</f>
        <v>0</v>
      </c>
    </row>
    <row r="1945" spans="1:2" x14ac:dyDescent="0.25">
      <c r="A1945" t="str">
        <f>COUNTIF($D$2:D1832,D1832)&amp;D1832</f>
        <v>0</v>
      </c>
      <c r="B1945" t="str">
        <f>COUNTIF($E$2:E1832,E1832)&amp;E1832</f>
        <v>0</v>
      </c>
    </row>
    <row r="1946" spans="1:2" x14ac:dyDescent="0.25">
      <c r="A1946" t="str">
        <f>COUNTIF($D$2:D1833,D1833)&amp;D1833</f>
        <v>0</v>
      </c>
      <c r="B1946" t="str">
        <f>COUNTIF($E$2:E1833,E1833)&amp;E1833</f>
        <v>0</v>
      </c>
    </row>
    <row r="1947" spans="1:2" x14ac:dyDescent="0.25">
      <c r="A1947" t="str">
        <f>COUNTIF($D$2:D1834,D1834)&amp;D1834</f>
        <v>0</v>
      </c>
      <c r="B1947" t="str">
        <f>COUNTIF($E$2:E1834,E1834)&amp;E1834</f>
        <v>0</v>
      </c>
    </row>
    <row r="1948" spans="1:2" x14ac:dyDescent="0.25">
      <c r="A1948" t="str">
        <f>COUNTIF($D$2:D1835,D1835)&amp;D1835</f>
        <v>0</v>
      </c>
      <c r="B1948" t="str">
        <f>COUNTIF($E$2:E1835,E1835)&amp;E1835</f>
        <v>0</v>
      </c>
    </row>
    <row r="1949" spans="1:2" x14ac:dyDescent="0.25">
      <c r="A1949" t="str">
        <f>COUNTIF($D$2:D1836,D1836)&amp;D1836</f>
        <v>0</v>
      </c>
      <c r="B1949" t="str">
        <f>COUNTIF($E$2:E1836,E1836)&amp;E1836</f>
        <v>0</v>
      </c>
    </row>
    <row r="1950" spans="1:2" x14ac:dyDescent="0.25">
      <c r="A1950" t="str">
        <f>COUNTIF($D$2:D1837,D1837)&amp;D1837</f>
        <v>0</v>
      </c>
      <c r="B1950" t="str">
        <f>COUNTIF($E$2:E1837,E1837)&amp;E1837</f>
        <v>0</v>
      </c>
    </row>
    <row r="1951" spans="1:2" x14ac:dyDescent="0.25">
      <c r="A1951" t="str">
        <f>COUNTIF($D$2:D1838,D1838)&amp;D1838</f>
        <v>0</v>
      </c>
      <c r="B1951" t="str">
        <f>COUNTIF($E$2:E1838,E1838)&amp;E1838</f>
        <v>0</v>
      </c>
    </row>
    <row r="1952" spans="1:2" x14ac:dyDescent="0.25">
      <c r="A1952" t="str">
        <f>COUNTIF($D$2:D1839,D1839)&amp;D1839</f>
        <v>0</v>
      </c>
      <c r="B1952" t="str">
        <f>COUNTIF($E$2:E1839,E1839)&amp;E1839</f>
        <v>0</v>
      </c>
    </row>
    <row r="1953" spans="1:2" x14ac:dyDescent="0.25">
      <c r="A1953" t="str">
        <f>COUNTIF($D$2:D1840,D1840)&amp;D1840</f>
        <v>0</v>
      </c>
      <c r="B1953" t="str">
        <f>COUNTIF($E$2:E1840,E1840)&amp;E1840</f>
        <v>0</v>
      </c>
    </row>
    <row r="1954" spans="1:2" x14ac:dyDescent="0.25">
      <c r="A1954" t="str">
        <f>COUNTIF($D$2:D1841,D1841)&amp;D1841</f>
        <v>0</v>
      </c>
      <c r="B1954" t="str">
        <f>COUNTIF($E$2:E1841,E1841)&amp;E1841</f>
        <v>0</v>
      </c>
    </row>
    <row r="1955" spans="1:2" x14ac:dyDescent="0.25">
      <c r="A1955" t="str">
        <f>COUNTIF($D$2:D1842,D1842)&amp;D1842</f>
        <v>0</v>
      </c>
      <c r="B1955" t="str">
        <f>COUNTIF($E$2:E1842,E1842)&amp;E1842</f>
        <v>0</v>
      </c>
    </row>
    <row r="1956" spans="1:2" x14ac:dyDescent="0.25">
      <c r="A1956" t="str">
        <f>COUNTIF($D$2:D1843,D1843)&amp;D1843</f>
        <v>0</v>
      </c>
      <c r="B1956" t="str">
        <f>COUNTIF($E$2:E1843,E1843)&amp;E1843</f>
        <v>0</v>
      </c>
    </row>
    <row r="1957" spans="1:2" x14ac:dyDescent="0.25">
      <c r="A1957" t="str">
        <f>COUNTIF($D$2:D1844,D1844)&amp;D1844</f>
        <v>0</v>
      </c>
      <c r="B1957" t="str">
        <f>COUNTIF($E$2:E1844,E1844)&amp;E1844</f>
        <v>0</v>
      </c>
    </row>
    <row r="1958" spans="1:2" x14ac:dyDescent="0.25">
      <c r="A1958" t="str">
        <f>COUNTIF($D$2:D1845,D1845)&amp;D1845</f>
        <v>0</v>
      </c>
      <c r="B1958" t="str">
        <f>COUNTIF($E$2:E1845,E1845)&amp;E1845</f>
        <v>0</v>
      </c>
    </row>
    <row r="1959" spans="1:2" x14ac:dyDescent="0.25">
      <c r="A1959" t="str">
        <f>COUNTIF($D$2:D1846,D1846)&amp;D1846</f>
        <v>0</v>
      </c>
      <c r="B1959" t="str">
        <f>COUNTIF($E$2:E1846,E1846)&amp;E1846</f>
        <v>0</v>
      </c>
    </row>
    <row r="1960" spans="1:2" x14ac:dyDescent="0.25">
      <c r="A1960" t="str">
        <f>COUNTIF($D$2:D1847,D1847)&amp;D1847</f>
        <v>0</v>
      </c>
      <c r="B1960" t="str">
        <f>COUNTIF($E$2:E1847,E1847)&amp;E1847</f>
        <v>0</v>
      </c>
    </row>
    <row r="1961" spans="1:2" x14ac:dyDescent="0.25">
      <c r="A1961" t="str">
        <f>COUNTIF($D$2:D1848,D1848)&amp;D1848</f>
        <v>0</v>
      </c>
      <c r="B1961" t="str">
        <f>COUNTIF($E$2:E1848,E1848)&amp;E1848</f>
        <v>0</v>
      </c>
    </row>
    <row r="1962" spans="1:2" x14ac:dyDescent="0.25">
      <c r="A1962" t="str">
        <f>COUNTIF($D$2:D1849,D1849)&amp;D1849</f>
        <v>0</v>
      </c>
      <c r="B1962" t="str">
        <f>COUNTIF($E$2:E1849,E1849)&amp;E1849</f>
        <v>0</v>
      </c>
    </row>
    <row r="1963" spans="1:2" x14ac:dyDescent="0.25">
      <c r="A1963" t="str">
        <f>COUNTIF($D$2:D1850,D1850)&amp;D1850</f>
        <v>0</v>
      </c>
      <c r="B1963" t="str">
        <f>COUNTIF($E$2:E1850,E1850)&amp;E1850</f>
        <v>0</v>
      </c>
    </row>
    <row r="1964" spans="1:2" x14ac:dyDescent="0.25">
      <c r="A1964" t="str">
        <f>COUNTIF($D$2:D1851,D1851)&amp;D1851</f>
        <v>0</v>
      </c>
      <c r="B1964" t="str">
        <f>COUNTIF($E$2:E1851,E1851)&amp;E1851</f>
        <v>0</v>
      </c>
    </row>
    <row r="1965" spans="1:2" x14ac:dyDescent="0.25">
      <c r="A1965" t="str">
        <f>COUNTIF($D$2:D1852,D1852)&amp;D1852</f>
        <v>0</v>
      </c>
      <c r="B1965" t="str">
        <f>COUNTIF($E$2:E1852,E1852)&amp;E1852</f>
        <v>0</v>
      </c>
    </row>
    <row r="1966" spans="1:2" x14ac:dyDescent="0.25">
      <c r="A1966" t="str">
        <f>COUNTIF($D$2:D1853,D1853)&amp;D1853</f>
        <v>0</v>
      </c>
      <c r="B1966" t="str">
        <f>COUNTIF($E$2:E1853,E1853)&amp;E1853</f>
        <v>0</v>
      </c>
    </row>
    <row r="1967" spans="1:2" x14ac:dyDescent="0.25">
      <c r="A1967" t="str">
        <f>COUNTIF($D$2:D1854,D1854)&amp;D1854</f>
        <v>0</v>
      </c>
      <c r="B1967" t="str">
        <f>COUNTIF($E$2:E1854,E1854)&amp;E1854</f>
        <v>0</v>
      </c>
    </row>
    <row r="1968" spans="1:2" x14ac:dyDescent="0.25">
      <c r="A1968" t="str">
        <f>COUNTIF($D$2:D1855,D1855)&amp;D1855</f>
        <v>0</v>
      </c>
      <c r="B1968" t="str">
        <f>COUNTIF($E$2:E1855,E1855)&amp;E1855</f>
        <v>0</v>
      </c>
    </row>
    <row r="1969" spans="1:2" x14ac:dyDescent="0.25">
      <c r="A1969" t="str">
        <f>COUNTIF($D$2:D1856,D1856)&amp;D1856</f>
        <v>0</v>
      </c>
      <c r="B1969" t="str">
        <f>COUNTIF($E$2:E1856,E1856)&amp;E1856</f>
        <v>0</v>
      </c>
    </row>
    <row r="1970" spans="1:2" x14ac:dyDescent="0.25">
      <c r="A1970" t="str">
        <f>COUNTIF($D$2:D1857,D1857)&amp;D1857</f>
        <v>0</v>
      </c>
      <c r="B1970" t="str">
        <f>COUNTIF($E$2:E1857,E1857)&amp;E1857</f>
        <v>0</v>
      </c>
    </row>
    <row r="1971" spans="1:2" x14ac:dyDescent="0.25">
      <c r="A1971" t="str">
        <f>COUNTIF($D$2:D1858,D1858)&amp;D1858</f>
        <v>0</v>
      </c>
      <c r="B1971" t="str">
        <f>COUNTIF($E$2:E1858,E1858)&amp;E1858</f>
        <v>0</v>
      </c>
    </row>
    <row r="1972" spans="1:2" x14ac:dyDescent="0.25">
      <c r="A1972" t="str">
        <f>COUNTIF($D$2:D1859,D1859)&amp;D1859</f>
        <v>0</v>
      </c>
      <c r="B1972" t="str">
        <f>COUNTIF($E$2:E1859,E1859)&amp;E1859</f>
        <v>0</v>
      </c>
    </row>
    <row r="1973" spans="1:2" x14ac:dyDescent="0.25">
      <c r="A1973" t="str">
        <f>COUNTIF($D$2:D1860,D1860)&amp;D1860</f>
        <v>0</v>
      </c>
      <c r="B1973" t="str">
        <f>COUNTIF($E$2:E1860,E1860)&amp;E1860</f>
        <v>0</v>
      </c>
    </row>
    <row r="1974" spans="1:2" x14ac:dyDescent="0.25">
      <c r="A1974" t="str">
        <f>COUNTIF($D$2:D1861,D1861)&amp;D1861</f>
        <v>0</v>
      </c>
      <c r="B1974" t="str">
        <f>COUNTIF($E$2:E1861,E1861)&amp;E1861</f>
        <v>0</v>
      </c>
    </row>
    <row r="1975" spans="1:2" x14ac:dyDescent="0.25">
      <c r="A1975" t="str">
        <f>COUNTIF($D$2:D1862,D1862)&amp;D1862</f>
        <v>0</v>
      </c>
      <c r="B1975" t="str">
        <f>COUNTIF($E$2:E1862,E1862)&amp;E1862</f>
        <v>0</v>
      </c>
    </row>
    <row r="1976" spans="1:2" x14ac:dyDescent="0.25">
      <c r="A1976" t="str">
        <f>COUNTIF($D$2:D1863,D1863)&amp;D1863</f>
        <v>0</v>
      </c>
      <c r="B1976" t="str">
        <f>COUNTIF($E$2:E1863,E1863)&amp;E1863</f>
        <v>0</v>
      </c>
    </row>
    <row r="1977" spans="1:2" x14ac:dyDescent="0.25">
      <c r="A1977" t="str">
        <f>COUNTIF($D$2:D1864,D1864)&amp;D1864</f>
        <v>0</v>
      </c>
      <c r="B1977" t="str">
        <f>COUNTIF($E$2:E1864,E1864)&amp;E1864</f>
        <v>0</v>
      </c>
    </row>
    <row r="1978" spans="1:2" x14ac:dyDescent="0.25">
      <c r="A1978" t="str">
        <f>COUNTIF($D$2:D1865,D1865)&amp;D1865</f>
        <v>0</v>
      </c>
      <c r="B1978" t="str">
        <f>COUNTIF($E$2:E1865,E1865)&amp;E1865</f>
        <v>0</v>
      </c>
    </row>
    <row r="1979" spans="1:2" x14ac:dyDescent="0.25">
      <c r="A1979" t="str">
        <f>COUNTIF($D$2:D1866,D1866)&amp;D1866</f>
        <v>0</v>
      </c>
      <c r="B1979" t="str">
        <f>COUNTIF($E$2:E1866,E1866)&amp;E1866</f>
        <v>0</v>
      </c>
    </row>
    <row r="1980" spans="1:2" x14ac:dyDescent="0.25">
      <c r="A1980" t="str">
        <f>COUNTIF($D$2:D1867,D1867)&amp;D1867</f>
        <v>0</v>
      </c>
      <c r="B1980" t="str">
        <f>COUNTIF($E$2:E1867,E1867)&amp;E1867</f>
        <v>0</v>
      </c>
    </row>
    <row r="1981" spans="1:2" x14ac:dyDescent="0.25">
      <c r="A1981" t="str">
        <f>COUNTIF($D$2:D1868,D1868)&amp;D1868</f>
        <v>0</v>
      </c>
      <c r="B1981" t="str">
        <f>COUNTIF($E$2:E1868,E1868)&amp;E1868</f>
        <v>0</v>
      </c>
    </row>
    <row r="1982" spans="1:2" x14ac:dyDescent="0.25">
      <c r="A1982" t="str">
        <f>COUNTIF($D$2:D1869,D1869)&amp;D1869</f>
        <v>0</v>
      </c>
      <c r="B1982" t="str">
        <f>COUNTIF($E$2:E1869,E1869)&amp;E1869</f>
        <v>0</v>
      </c>
    </row>
    <row r="1983" spans="1:2" x14ac:dyDescent="0.25">
      <c r="A1983" t="str">
        <f>COUNTIF($D$2:D1870,D1870)&amp;D1870</f>
        <v>0</v>
      </c>
      <c r="B1983" t="str">
        <f>COUNTIF($E$2:E1870,E1870)&amp;E1870</f>
        <v>0</v>
      </c>
    </row>
    <row r="1984" spans="1:2" x14ac:dyDescent="0.25">
      <c r="A1984" t="str">
        <f>COUNTIF($D$2:D1871,D1871)&amp;D1871</f>
        <v>0</v>
      </c>
      <c r="B1984" t="str">
        <f>COUNTIF($E$2:E1871,E1871)&amp;E1871</f>
        <v>0</v>
      </c>
    </row>
    <row r="1985" spans="1:2" x14ac:dyDescent="0.25">
      <c r="A1985" t="str">
        <f>COUNTIF($D$2:D1872,D1872)&amp;D1872</f>
        <v>0</v>
      </c>
      <c r="B1985" t="str">
        <f>COUNTIF($E$2:E1872,E1872)&amp;E1872</f>
        <v>0</v>
      </c>
    </row>
    <row r="1986" spans="1:2" x14ac:dyDescent="0.25">
      <c r="A1986" t="str">
        <f>COUNTIF($D$2:D1873,D1873)&amp;D1873</f>
        <v>0</v>
      </c>
      <c r="B1986" t="str">
        <f>COUNTIF($E$2:E1873,E1873)&amp;E1873</f>
        <v>0</v>
      </c>
    </row>
    <row r="1987" spans="1:2" x14ac:dyDescent="0.25">
      <c r="A1987" t="str">
        <f>COUNTIF($D$2:D1874,D1874)&amp;D1874</f>
        <v>0</v>
      </c>
      <c r="B1987" t="str">
        <f>COUNTIF($E$2:E1874,E1874)&amp;E1874</f>
        <v>0</v>
      </c>
    </row>
    <row r="1988" spans="1:2" x14ac:dyDescent="0.25">
      <c r="A1988" t="str">
        <f>COUNTIF($D$2:D1875,D1875)&amp;D1875</f>
        <v>0</v>
      </c>
      <c r="B1988" t="str">
        <f>COUNTIF($E$2:E1875,E1875)&amp;E1875</f>
        <v>0</v>
      </c>
    </row>
    <row r="1989" spans="1:2" x14ac:dyDescent="0.25">
      <c r="A1989" t="str">
        <f>COUNTIF($D$2:D1876,D1876)&amp;D1876</f>
        <v>0</v>
      </c>
      <c r="B1989" t="str">
        <f>COUNTIF($E$2:E1876,E1876)&amp;E1876</f>
        <v>0</v>
      </c>
    </row>
    <row r="1990" spans="1:2" x14ac:dyDescent="0.25">
      <c r="A1990" t="str">
        <f>COUNTIF($D$2:D1877,D1877)&amp;D1877</f>
        <v>0</v>
      </c>
      <c r="B1990" t="str">
        <f>COUNTIF($E$2:E1877,E1877)&amp;E1877</f>
        <v>0</v>
      </c>
    </row>
    <row r="1991" spans="1:2" x14ac:dyDescent="0.25">
      <c r="A1991" t="str">
        <f>COUNTIF($D$2:D1878,D1878)&amp;D1878</f>
        <v>0</v>
      </c>
      <c r="B1991" t="str">
        <f>COUNTIF($E$2:E1878,E1878)&amp;E1878</f>
        <v>0</v>
      </c>
    </row>
    <row r="1992" spans="1:2" x14ac:dyDescent="0.25">
      <c r="A1992" t="str">
        <f>COUNTIF($D$2:D1879,D1879)&amp;D1879</f>
        <v>0</v>
      </c>
      <c r="B1992" t="str">
        <f>COUNTIF($E$2:E1879,E1879)&amp;E1879</f>
        <v>0</v>
      </c>
    </row>
    <row r="1993" spans="1:2" x14ac:dyDescent="0.25">
      <c r="A1993" t="str">
        <f>COUNTIF($D$2:D1880,D1880)&amp;D1880</f>
        <v>0</v>
      </c>
      <c r="B1993" t="str">
        <f>COUNTIF($E$2:E1880,E1880)&amp;E1880</f>
        <v>0</v>
      </c>
    </row>
    <row r="1994" spans="1:2" x14ac:dyDescent="0.25">
      <c r="A1994" t="str">
        <f>COUNTIF($D$2:D1881,D1881)&amp;D1881</f>
        <v>0</v>
      </c>
      <c r="B1994" t="str">
        <f>COUNTIF($E$2:E1881,E1881)&amp;E1881</f>
        <v>0</v>
      </c>
    </row>
    <row r="1995" spans="1:2" x14ac:dyDescent="0.25">
      <c r="A1995" t="str">
        <f>COUNTIF($D$2:D1882,D1882)&amp;D1882</f>
        <v>0</v>
      </c>
      <c r="B1995" t="str">
        <f>COUNTIF($E$2:E1882,E1882)&amp;E1882</f>
        <v>0</v>
      </c>
    </row>
    <row r="1996" spans="1:2" x14ac:dyDescent="0.25">
      <c r="A1996" t="str">
        <f>COUNTIF($D$2:D1883,D1883)&amp;D1883</f>
        <v>0</v>
      </c>
      <c r="B1996" t="str">
        <f>COUNTIF($E$2:E1883,E1883)&amp;E1883</f>
        <v>0</v>
      </c>
    </row>
    <row r="1997" spans="1:2" x14ac:dyDescent="0.25">
      <c r="A1997" t="str">
        <f>COUNTIF($D$2:D1884,D1884)&amp;D1884</f>
        <v>0</v>
      </c>
      <c r="B1997" t="str">
        <f>COUNTIF($E$2:E1884,E1884)&amp;E1884</f>
        <v>0</v>
      </c>
    </row>
    <row r="1998" spans="1:2" x14ac:dyDescent="0.25">
      <c r="A1998" t="str">
        <f>COUNTIF($D$2:D1885,D1885)&amp;D1885</f>
        <v>0</v>
      </c>
      <c r="B1998" t="str">
        <f>COUNTIF($E$2:E1885,E1885)&amp;E1885</f>
        <v>0</v>
      </c>
    </row>
    <row r="1999" spans="1:2" x14ac:dyDescent="0.25">
      <c r="A1999" t="str">
        <f>COUNTIF($D$2:D1886,D1886)&amp;D1886</f>
        <v>0</v>
      </c>
      <c r="B1999" t="str">
        <f>COUNTIF($E$2:E1886,E1886)&amp;E1886</f>
        <v>0</v>
      </c>
    </row>
    <row r="2000" spans="1:2" x14ac:dyDescent="0.25">
      <c r="A2000" t="str">
        <f>COUNTIF($D$2:D1887,D1887)&amp;D1887</f>
        <v>0</v>
      </c>
      <c r="B2000" t="str">
        <f>COUNTIF($E$2:E1887,E1887)&amp;E1887</f>
        <v>0</v>
      </c>
    </row>
    <row r="2001" spans="1:2" x14ac:dyDescent="0.25">
      <c r="A2001" t="str">
        <f>COUNTIF($D$2:D1888,D1888)&amp;D1888</f>
        <v>0</v>
      </c>
      <c r="B2001" t="str">
        <f>COUNTIF($E$2:E1888,E1888)&amp;E1888</f>
        <v>0</v>
      </c>
    </row>
    <row r="2002" spans="1:2" x14ac:dyDescent="0.25">
      <c r="A2002" t="str">
        <f>COUNTIF($D$2:D1889,D1889)&amp;D1889</f>
        <v>0</v>
      </c>
      <c r="B2002" t="str">
        <f>COUNTIF($E$2:E1889,E1889)&amp;E1889</f>
        <v>0</v>
      </c>
    </row>
    <row r="2003" spans="1:2" x14ac:dyDescent="0.25">
      <c r="A2003" t="str">
        <f>COUNTIF($D$2:D1890,D1890)&amp;D1890</f>
        <v>0</v>
      </c>
      <c r="B2003" t="str">
        <f>COUNTIF($E$2:E1890,E1890)&amp;E1890</f>
        <v>0</v>
      </c>
    </row>
    <row r="2004" spans="1:2" x14ac:dyDescent="0.25">
      <c r="A2004" t="str">
        <f>COUNTIF($D$2:D1891,D1891)&amp;D1891</f>
        <v>0</v>
      </c>
      <c r="B2004" t="str">
        <f>COUNTIF($E$2:E1891,E1891)&amp;E1891</f>
        <v>0</v>
      </c>
    </row>
    <row r="2005" spans="1:2" x14ac:dyDescent="0.25">
      <c r="A2005" t="str">
        <f>COUNTIF($D$2:D1892,D1892)&amp;D1892</f>
        <v>0</v>
      </c>
      <c r="B2005" t="str">
        <f>COUNTIF($E$2:E1892,E1892)&amp;E1892</f>
        <v>0</v>
      </c>
    </row>
    <row r="2006" spans="1:2" x14ac:dyDescent="0.25">
      <c r="A2006" t="str">
        <f>COUNTIF($D$2:D1893,D1893)&amp;D1893</f>
        <v>0</v>
      </c>
      <c r="B2006" t="str">
        <f>COUNTIF($E$2:E1893,E1893)&amp;E1893</f>
        <v>0</v>
      </c>
    </row>
    <row r="2007" spans="1:2" x14ac:dyDescent="0.25">
      <c r="A2007" t="str">
        <f>COUNTIF($D$2:D1894,D1894)&amp;D1894</f>
        <v>0</v>
      </c>
      <c r="B2007" t="str">
        <f>COUNTIF($E$2:E1894,E1894)&amp;E1894</f>
        <v>0</v>
      </c>
    </row>
    <row r="2008" spans="1:2" x14ac:dyDescent="0.25">
      <c r="A2008" t="str">
        <f>COUNTIF($D$2:D1895,D1895)&amp;D1895</f>
        <v>0</v>
      </c>
      <c r="B2008" t="str">
        <f>COUNTIF($E$2:E1895,E1895)&amp;E1895</f>
        <v>0</v>
      </c>
    </row>
    <row r="2009" spans="1:2" x14ac:dyDescent="0.25">
      <c r="A2009" t="str">
        <f>COUNTIF($D$2:D1896,D1896)&amp;D1896</f>
        <v>0</v>
      </c>
      <c r="B2009" t="str">
        <f>COUNTIF($E$2:E1896,E1896)&amp;E1896</f>
        <v>0</v>
      </c>
    </row>
    <row r="2010" spans="1:2" x14ac:dyDescent="0.25">
      <c r="A2010" t="str">
        <f>COUNTIF($D$2:D1897,D1897)&amp;D1897</f>
        <v>0</v>
      </c>
      <c r="B2010" t="str">
        <f>COUNTIF($E$2:E1897,E1897)&amp;E1897</f>
        <v>0</v>
      </c>
    </row>
    <row r="2011" spans="1:2" x14ac:dyDescent="0.25">
      <c r="A2011" t="str">
        <f>COUNTIF($D$2:D1898,D1898)&amp;D1898</f>
        <v>0</v>
      </c>
      <c r="B2011" t="str">
        <f>COUNTIF($E$2:E1898,E1898)&amp;E1898</f>
        <v>0</v>
      </c>
    </row>
    <row r="2012" spans="1:2" x14ac:dyDescent="0.25">
      <c r="A2012" t="str">
        <f>COUNTIF($D$2:D1899,D1899)&amp;D1899</f>
        <v>0</v>
      </c>
      <c r="B2012" t="str">
        <f>COUNTIF($E$2:E1899,E1899)&amp;E1899</f>
        <v>0</v>
      </c>
    </row>
    <row r="2013" spans="1:2" x14ac:dyDescent="0.25">
      <c r="A2013" t="str">
        <f>COUNTIF($D$2:D1900,D1900)&amp;D1900</f>
        <v>0</v>
      </c>
      <c r="B2013" t="str">
        <f>COUNTIF($E$2:E1900,E1900)&amp;E1900</f>
        <v>0</v>
      </c>
    </row>
    <row r="2014" spans="1:2" x14ac:dyDescent="0.25">
      <c r="A2014" t="str">
        <f>COUNTIF($D$2:D1901,D1901)&amp;D1901</f>
        <v>0</v>
      </c>
      <c r="B2014" t="str">
        <f>COUNTIF($E$2:E1901,E1901)&amp;E1901</f>
        <v>0</v>
      </c>
    </row>
    <row r="2015" spans="1:2" x14ac:dyDescent="0.25">
      <c r="A2015" t="str">
        <f>COUNTIF($D$2:D1902,D1902)&amp;D1902</f>
        <v>0</v>
      </c>
      <c r="B2015" t="str">
        <f>COUNTIF($E$2:E1902,E1902)&amp;E1902</f>
        <v>0</v>
      </c>
    </row>
    <row r="2016" spans="1:2" x14ac:dyDescent="0.25">
      <c r="A2016" t="str">
        <f>COUNTIF($D$2:D1903,D1903)&amp;D1903</f>
        <v>0</v>
      </c>
      <c r="B2016" t="str">
        <f>COUNTIF($E$2:E1903,E1903)&amp;E1903</f>
        <v>0</v>
      </c>
    </row>
    <row r="2017" spans="1:2" x14ac:dyDescent="0.25">
      <c r="A2017" t="str">
        <f>COUNTIF($D$2:D1904,D1904)&amp;D1904</f>
        <v>0</v>
      </c>
      <c r="B2017" t="str">
        <f>COUNTIF($E$2:E1904,E1904)&amp;E1904</f>
        <v>0</v>
      </c>
    </row>
    <row r="2018" spans="1:2" x14ac:dyDescent="0.25">
      <c r="A2018" t="str">
        <f>COUNTIF($D$2:D1905,D1905)&amp;D1905</f>
        <v>0</v>
      </c>
      <c r="B2018" t="str">
        <f>COUNTIF($E$2:E1905,E1905)&amp;E1905</f>
        <v>0</v>
      </c>
    </row>
    <row r="2019" spans="1:2" x14ac:dyDescent="0.25">
      <c r="A2019" t="str">
        <f>COUNTIF($D$2:D1906,D1906)&amp;D1906</f>
        <v>0</v>
      </c>
      <c r="B2019" t="str">
        <f>COUNTIF($E$2:E1906,E1906)&amp;E1906</f>
        <v>0</v>
      </c>
    </row>
    <row r="2020" spans="1:2" x14ac:dyDescent="0.25">
      <c r="A2020" t="str">
        <f>COUNTIF($D$2:D1907,D1907)&amp;D1907</f>
        <v>0</v>
      </c>
      <c r="B2020" t="str">
        <f>COUNTIF($E$2:E1907,E1907)&amp;E1907</f>
        <v>0</v>
      </c>
    </row>
    <row r="2021" spans="1:2" x14ac:dyDescent="0.25">
      <c r="A2021" t="str">
        <f>COUNTIF($D$2:D1908,D1908)&amp;D1908</f>
        <v>0</v>
      </c>
      <c r="B2021" t="str">
        <f>COUNTIF($E$2:E1908,E1908)&amp;E1908</f>
        <v>0</v>
      </c>
    </row>
    <row r="2022" spans="1:2" x14ac:dyDescent="0.25">
      <c r="A2022" t="str">
        <f>COUNTIF($D$2:D1909,D1909)&amp;D1909</f>
        <v>0</v>
      </c>
      <c r="B2022" t="str">
        <f>COUNTIF($E$2:E1909,E1909)&amp;E1909</f>
        <v>0</v>
      </c>
    </row>
    <row r="2023" spans="1:2" x14ac:dyDescent="0.25">
      <c r="A2023" t="str">
        <f>COUNTIF($D$2:D1910,D1910)&amp;D1910</f>
        <v>0</v>
      </c>
      <c r="B2023" t="str">
        <f>COUNTIF($E$2:E1910,E1910)&amp;E1910</f>
        <v>0</v>
      </c>
    </row>
    <row r="2024" spans="1:2" x14ac:dyDescent="0.25">
      <c r="A2024" t="str">
        <f>COUNTIF($D$2:D1911,D1911)&amp;D1911</f>
        <v>0</v>
      </c>
      <c r="B2024" t="str">
        <f>COUNTIF($E$2:E1911,E1911)&amp;E1911</f>
        <v>0</v>
      </c>
    </row>
    <row r="2025" spans="1:2" x14ac:dyDescent="0.25">
      <c r="A2025" t="str">
        <f>COUNTIF($D$2:D1912,D1912)&amp;D1912</f>
        <v>0</v>
      </c>
      <c r="B2025" t="str">
        <f>COUNTIF($E$2:E1912,E1912)&amp;E1912</f>
        <v>0</v>
      </c>
    </row>
    <row r="2026" spans="1:2" x14ac:dyDescent="0.25">
      <c r="A2026" t="str">
        <f>COUNTIF($D$2:D1913,D1913)&amp;D1913</f>
        <v>0</v>
      </c>
      <c r="B2026" t="str">
        <f>COUNTIF($E$2:E1913,E1913)&amp;E1913</f>
        <v>0</v>
      </c>
    </row>
    <row r="2027" spans="1:2" x14ac:dyDescent="0.25">
      <c r="A2027" t="str">
        <f>COUNTIF($D$2:D1914,D1914)&amp;D1914</f>
        <v>0</v>
      </c>
      <c r="B2027" t="str">
        <f>COUNTIF($E$2:E1914,E1914)&amp;E1914</f>
        <v>0</v>
      </c>
    </row>
    <row r="2028" spans="1:2" x14ac:dyDescent="0.25">
      <c r="A2028" t="str">
        <f>COUNTIF($D$2:D1915,D1915)&amp;D1915</f>
        <v>0</v>
      </c>
      <c r="B2028" t="str">
        <f>COUNTIF($E$2:E1915,E1915)&amp;E1915</f>
        <v>0</v>
      </c>
    </row>
    <row r="2029" spans="1:2" x14ac:dyDescent="0.25">
      <c r="A2029" t="str">
        <f>COUNTIF($D$2:D1916,D1916)&amp;D1916</f>
        <v>0</v>
      </c>
      <c r="B2029" t="str">
        <f>COUNTIF($E$2:E1916,E1916)&amp;E1916</f>
        <v>0</v>
      </c>
    </row>
    <row r="2030" spans="1:2" x14ac:dyDescent="0.25">
      <c r="A2030" t="str">
        <f>COUNTIF($D$2:D1917,D1917)&amp;D1917</f>
        <v>0</v>
      </c>
      <c r="B2030" t="str">
        <f>COUNTIF($E$2:E1917,E1917)&amp;E1917</f>
        <v>0</v>
      </c>
    </row>
    <row r="2031" spans="1:2" x14ac:dyDescent="0.25">
      <c r="A2031" t="str">
        <f>COUNTIF($D$2:D1918,D1918)&amp;D1918</f>
        <v>0</v>
      </c>
      <c r="B2031" t="str">
        <f>COUNTIF($E$2:E1918,E1918)&amp;E1918</f>
        <v>0</v>
      </c>
    </row>
    <row r="2032" spans="1:2" x14ac:dyDescent="0.25">
      <c r="A2032" t="str">
        <f>COUNTIF($D$2:D1919,D1919)&amp;D1919</f>
        <v>0</v>
      </c>
      <c r="B2032" t="str">
        <f>COUNTIF($E$2:E1919,E1919)&amp;E1919</f>
        <v>0</v>
      </c>
    </row>
    <row r="2033" spans="1:2" x14ac:dyDescent="0.25">
      <c r="A2033" t="str">
        <f>COUNTIF($D$2:D1920,D1920)&amp;D1920</f>
        <v>0</v>
      </c>
      <c r="B2033" t="str">
        <f>COUNTIF($E$2:E1920,E1920)&amp;E1920</f>
        <v>0</v>
      </c>
    </row>
    <row r="2034" spans="1:2" x14ac:dyDescent="0.25">
      <c r="A2034" t="str">
        <f>COUNTIF($D$2:D1921,D1921)&amp;D1921</f>
        <v>0</v>
      </c>
      <c r="B2034" t="str">
        <f>COUNTIF($E$2:E1921,E1921)&amp;E1921</f>
        <v>0</v>
      </c>
    </row>
    <row r="2035" spans="1:2" x14ac:dyDescent="0.25">
      <c r="A2035" t="str">
        <f>COUNTIF($D$2:D1922,D1922)&amp;D1922</f>
        <v>0</v>
      </c>
      <c r="B2035" t="str">
        <f>COUNTIF($E$2:E1922,E1922)&amp;E1922</f>
        <v>0</v>
      </c>
    </row>
    <row r="2036" spans="1:2" x14ac:dyDescent="0.25">
      <c r="A2036" t="str">
        <f>COUNTIF($D$2:D1923,D1923)&amp;D1923</f>
        <v>0</v>
      </c>
      <c r="B2036" t="str">
        <f>COUNTIF($E$2:E1923,E1923)&amp;E1923</f>
        <v>0</v>
      </c>
    </row>
    <row r="2037" spans="1:2" x14ac:dyDescent="0.25">
      <c r="A2037" t="str">
        <f>COUNTIF($D$2:D1924,D1924)&amp;D1924</f>
        <v>0</v>
      </c>
      <c r="B2037" t="str">
        <f>COUNTIF($E$2:E1924,E1924)&amp;E1924</f>
        <v>0</v>
      </c>
    </row>
    <row r="2038" spans="1:2" x14ac:dyDescent="0.25">
      <c r="A2038" t="str">
        <f>COUNTIF($D$2:D1925,D1925)&amp;D1925</f>
        <v>0</v>
      </c>
      <c r="B2038" t="str">
        <f>COUNTIF($E$2:E1925,E1925)&amp;E1925</f>
        <v>0</v>
      </c>
    </row>
    <row r="2039" spans="1:2" x14ac:dyDescent="0.25">
      <c r="A2039" t="str">
        <f>COUNTIF($D$2:D1926,D1926)&amp;D1926</f>
        <v>0</v>
      </c>
      <c r="B2039" t="str">
        <f>COUNTIF($E$2:E1926,E1926)&amp;E1926</f>
        <v>0</v>
      </c>
    </row>
    <row r="2040" spans="1:2" x14ac:dyDescent="0.25">
      <c r="A2040" t="str">
        <f>COUNTIF($D$2:D1927,D1927)&amp;D1927</f>
        <v>0</v>
      </c>
      <c r="B2040" t="str">
        <f>COUNTIF($E$2:E1927,E1927)&amp;E1927</f>
        <v>0</v>
      </c>
    </row>
    <row r="2041" spans="1:2" x14ac:dyDescent="0.25">
      <c r="A2041" t="str">
        <f>COUNTIF($D$2:D1928,D1928)&amp;D1928</f>
        <v>0</v>
      </c>
      <c r="B2041" t="str">
        <f>COUNTIF($E$2:E1928,E1928)&amp;E1928</f>
        <v>0</v>
      </c>
    </row>
    <row r="2042" spans="1:2" x14ac:dyDescent="0.25">
      <c r="A2042" t="str">
        <f>COUNTIF($D$2:D1929,D1929)&amp;D1929</f>
        <v>0</v>
      </c>
      <c r="B2042" t="str">
        <f>COUNTIF($E$2:E1929,E1929)&amp;E1929</f>
        <v>0</v>
      </c>
    </row>
    <row r="2043" spans="1:2" x14ac:dyDescent="0.25">
      <c r="A2043" t="str">
        <f>COUNTIF($D$2:D1930,D1930)&amp;D1930</f>
        <v>0</v>
      </c>
      <c r="B2043" t="str">
        <f>COUNTIF($E$2:E1930,E1930)&amp;E1930</f>
        <v>0</v>
      </c>
    </row>
    <row r="2044" spans="1:2" x14ac:dyDescent="0.25">
      <c r="A2044" t="str">
        <f>COUNTIF($D$2:D1931,D1931)&amp;D1931</f>
        <v>0</v>
      </c>
      <c r="B2044" t="str">
        <f>COUNTIF($E$2:E1931,E1931)&amp;E1931</f>
        <v>0</v>
      </c>
    </row>
    <row r="2045" spans="1:2" x14ac:dyDescent="0.25">
      <c r="A2045" t="str">
        <f>COUNTIF($D$2:D1932,D1932)&amp;D1932</f>
        <v>0</v>
      </c>
      <c r="B2045" t="str">
        <f>COUNTIF($E$2:E1932,E1932)&amp;E1932</f>
        <v>0</v>
      </c>
    </row>
    <row r="2046" spans="1:2" x14ac:dyDescent="0.25">
      <c r="A2046" t="str">
        <f>COUNTIF($D$2:D1933,D1933)&amp;D1933</f>
        <v>0</v>
      </c>
      <c r="B2046" t="str">
        <f>COUNTIF($E$2:E1933,E1933)&amp;E1933</f>
        <v>0</v>
      </c>
    </row>
    <row r="2047" spans="1:2" x14ac:dyDescent="0.25">
      <c r="A2047" t="str">
        <f>COUNTIF($D$2:D1934,D1934)&amp;D1934</f>
        <v>0</v>
      </c>
      <c r="B2047" t="str">
        <f>COUNTIF($E$2:E1934,E1934)&amp;E1934</f>
        <v>0</v>
      </c>
    </row>
    <row r="2048" spans="1:2" x14ac:dyDescent="0.25">
      <c r="A2048" t="str">
        <f>COUNTIF($D$2:D1935,D1935)&amp;D1935</f>
        <v>0</v>
      </c>
      <c r="B2048" t="str">
        <f>COUNTIF($E$2:E1935,E1935)&amp;E1935</f>
        <v>0</v>
      </c>
    </row>
    <row r="2049" spans="1:2" x14ac:dyDescent="0.25">
      <c r="A2049" t="str">
        <f>COUNTIF($D$2:D1936,D1936)&amp;D1936</f>
        <v>0</v>
      </c>
      <c r="B2049" t="str">
        <f>COUNTIF($E$2:E1936,E1936)&amp;E1936</f>
        <v>0</v>
      </c>
    </row>
    <row r="2050" spans="1:2" x14ac:dyDescent="0.25">
      <c r="A2050" t="str">
        <f>COUNTIF($D$2:D1937,D1937)&amp;D1937</f>
        <v>0</v>
      </c>
      <c r="B2050" t="str">
        <f>COUNTIF($E$2:E1937,E1937)&amp;E1937</f>
        <v>0</v>
      </c>
    </row>
    <row r="2051" spans="1:2" x14ac:dyDescent="0.25">
      <c r="A2051" t="str">
        <f>COUNTIF($D$2:D1938,D1938)&amp;D1938</f>
        <v>0</v>
      </c>
      <c r="B2051" t="str">
        <f>COUNTIF($E$2:E1938,E1938)&amp;E1938</f>
        <v>0</v>
      </c>
    </row>
    <row r="2052" spans="1:2" x14ac:dyDescent="0.25">
      <c r="A2052" t="str">
        <f>COUNTIF($D$2:D1939,D1939)&amp;D1939</f>
        <v>0</v>
      </c>
      <c r="B2052" t="str">
        <f>COUNTIF($E$2:E1939,E1939)&amp;E1939</f>
        <v>0</v>
      </c>
    </row>
    <row r="2053" spans="1:2" x14ac:dyDescent="0.25">
      <c r="A2053" t="str">
        <f>COUNTIF($D$2:D1940,D1940)&amp;D1940</f>
        <v>0</v>
      </c>
      <c r="B2053" t="str">
        <f>COUNTIF($E$2:E1940,E1940)&amp;E1940</f>
        <v>0</v>
      </c>
    </row>
    <row r="2054" spans="1:2" x14ac:dyDescent="0.25">
      <c r="A2054" t="str">
        <f>COUNTIF($D$2:D1941,D1941)&amp;D1941</f>
        <v>0</v>
      </c>
      <c r="B2054" t="str">
        <f>COUNTIF($E$2:E1941,E1941)&amp;E1941</f>
        <v>0</v>
      </c>
    </row>
    <row r="2055" spans="1:2" x14ac:dyDescent="0.25">
      <c r="A2055" t="str">
        <f>COUNTIF($D$2:D1942,D1942)&amp;D1942</f>
        <v>0</v>
      </c>
      <c r="B2055" t="str">
        <f>COUNTIF($E$2:E1942,E1942)&amp;E1942</f>
        <v>0</v>
      </c>
    </row>
    <row r="2056" spans="1:2" x14ac:dyDescent="0.25">
      <c r="A2056" t="str">
        <f>COUNTIF($D$2:D1943,D1943)&amp;D1943</f>
        <v>0</v>
      </c>
      <c r="B2056" t="str">
        <f>COUNTIF($E$2:E1943,E1943)&amp;E1943</f>
        <v>0</v>
      </c>
    </row>
    <row r="2057" spans="1:2" x14ac:dyDescent="0.25">
      <c r="A2057" t="str">
        <f>COUNTIF($D$2:D1944,D1944)&amp;D1944</f>
        <v>0</v>
      </c>
      <c r="B2057" t="str">
        <f>COUNTIF($E$2:E1944,E1944)&amp;E1944</f>
        <v>0</v>
      </c>
    </row>
    <row r="2058" spans="1:2" x14ac:dyDescent="0.25">
      <c r="A2058" t="str">
        <f>COUNTIF($D$2:D1945,D1945)&amp;D1945</f>
        <v>0</v>
      </c>
      <c r="B2058" t="str">
        <f>COUNTIF($E$2:E1945,E1945)&amp;E1945</f>
        <v>0</v>
      </c>
    </row>
    <row r="2059" spans="1:2" x14ac:dyDescent="0.25">
      <c r="A2059" t="str">
        <f>COUNTIF($D$2:D1946,D1946)&amp;D1946</f>
        <v>0</v>
      </c>
      <c r="B2059" t="str">
        <f>COUNTIF($E$2:E1946,E1946)&amp;E1946</f>
        <v>0</v>
      </c>
    </row>
    <row r="2060" spans="1:2" x14ac:dyDescent="0.25">
      <c r="A2060" t="str">
        <f>COUNTIF($D$2:D1947,D1947)&amp;D1947</f>
        <v>0</v>
      </c>
      <c r="B2060" t="str">
        <f>COUNTIF($E$2:E1947,E1947)&amp;E1947</f>
        <v>0</v>
      </c>
    </row>
    <row r="2061" spans="1:2" x14ac:dyDescent="0.25">
      <c r="A2061" t="str">
        <f>COUNTIF($D$2:D1948,D1948)&amp;D1948</f>
        <v>0</v>
      </c>
      <c r="B2061" t="str">
        <f>COUNTIF($E$2:E1948,E1948)&amp;E1948</f>
        <v>0</v>
      </c>
    </row>
    <row r="2062" spans="1:2" x14ac:dyDescent="0.25">
      <c r="A2062" t="str">
        <f>COUNTIF($D$2:D1949,D1949)&amp;D1949</f>
        <v>0</v>
      </c>
      <c r="B2062" t="str">
        <f>COUNTIF($E$2:E1949,E1949)&amp;E1949</f>
        <v>0</v>
      </c>
    </row>
    <row r="2063" spans="1:2" x14ac:dyDescent="0.25">
      <c r="A2063" t="str">
        <f>COUNTIF($D$2:D1950,D1950)&amp;D1950</f>
        <v>0</v>
      </c>
      <c r="B2063" t="str">
        <f>COUNTIF($E$2:E1950,E1950)&amp;E1950</f>
        <v>0</v>
      </c>
    </row>
    <row r="2064" spans="1:2" x14ac:dyDescent="0.25">
      <c r="A2064" t="str">
        <f>COUNTIF($D$2:D1951,D1951)&amp;D1951</f>
        <v>0</v>
      </c>
      <c r="B2064" t="str">
        <f>COUNTIF($E$2:E1951,E1951)&amp;E1951</f>
        <v>0</v>
      </c>
    </row>
    <row r="2065" spans="1:2" x14ac:dyDescent="0.25">
      <c r="A2065" t="str">
        <f>COUNTIF($D$2:D1952,D1952)&amp;D1952</f>
        <v>0</v>
      </c>
      <c r="B2065" t="str">
        <f>COUNTIF($E$2:E1952,E1952)&amp;E1952</f>
        <v>0</v>
      </c>
    </row>
    <row r="2066" spans="1:2" x14ac:dyDescent="0.25">
      <c r="A2066" t="str">
        <f>COUNTIF($D$2:D1953,D1953)&amp;D1953</f>
        <v>0</v>
      </c>
      <c r="B2066" t="str">
        <f>COUNTIF($E$2:E1953,E1953)&amp;E1953</f>
        <v>0</v>
      </c>
    </row>
    <row r="2067" spans="1:2" x14ac:dyDescent="0.25">
      <c r="A2067" t="str">
        <f>COUNTIF($D$2:D1954,D1954)&amp;D1954</f>
        <v>0</v>
      </c>
      <c r="B2067" t="str">
        <f>COUNTIF($E$2:E1954,E1954)&amp;E1954</f>
        <v>0</v>
      </c>
    </row>
    <row r="2068" spans="1:2" x14ac:dyDescent="0.25">
      <c r="A2068" t="str">
        <f>COUNTIF($D$2:D1955,D1955)&amp;D1955</f>
        <v>0</v>
      </c>
      <c r="B2068" t="str">
        <f>COUNTIF($E$2:E1955,E1955)&amp;E1955</f>
        <v>0</v>
      </c>
    </row>
    <row r="2069" spans="1:2" x14ac:dyDescent="0.25">
      <c r="A2069" t="str">
        <f>COUNTIF($D$2:D1956,D1956)&amp;D1956</f>
        <v>0</v>
      </c>
      <c r="B2069" t="str">
        <f>COUNTIF($E$2:E1956,E1956)&amp;E1956</f>
        <v>0</v>
      </c>
    </row>
    <row r="2070" spans="1:2" x14ac:dyDescent="0.25">
      <c r="A2070" t="str">
        <f>COUNTIF($D$2:D1957,D1957)&amp;D1957</f>
        <v>0</v>
      </c>
      <c r="B2070" t="str">
        <f>COUNTIF($E$2:E1957,E1957)&amp;E1957</f>
        <v>0</v>
      </c>
    </row>
    <row r="2071" spans="1:2" x14ac:dyDescent="0.25">
      <c r="A2071" t="str">
        <f>COUNTIF($D$2:D1958,D1958)&amp;D1958</f>
        <v>0</v>
      </c>
      <c r="B2071" t="str">
        <f>COUNTIF($E$2:E1958,E1958)&amp;E1958</f>
        <v>0</v>
      </c>
    </row>
    <row r="2072" spans="1:2" x14ac:dyDescent="0.25">
      <c r="A2072" t="str">
        <f>COUNTIF($D$2:D1959,D1959)&amp;D1959</f>
        <v>0</v>
      </c>
      <c r="B2072" t="str">
        <f>COUNTIF($E$2:E1959,E1959)&amp;E1959</f>
        <v>0</v>
      </c>
    </row>
    <row r="2073" spans="1:2" x14ac:dyDescent="0.25">
      <c r="A2073" t="str">
        <f>COUNTIF($D$2:D1960,D1960)&amp;D1960</f>
        <v>0</v>
      </c>
      <c r="B2073" t="str">
        <f>COUNTIF($E$2:E1960,E1960)&amp;E1960</f>
        <v>0</v>
      </c>
    </row>
    <row r="2074" spans="1:2" x14ac:dyDescent="0.25">
      <c r="A2074" t="str">
        <f>COUNTIF($D$2:D1961,D1961)&amp;D1961</f>
        <v>0</v>
      </c>
      <c r="B2074" t="str">
        <f>COUNTIF($E$2:E1961,E1961)&amp;E1961</f>
        <v>0</v>
      </c>
    </row>
    <row r="2075" spans="1:2" x14ac:dyDescent="0.25">
      <c r="A2075" t="str">
        <f>COUNTIF($D$2:D1962,D1962)&amp;D1962</f>
        <v>0</v>
      </c>
      <c r="B2075" t="str">
        <f>COUNTIF($E$2:E1962,E1962)&amp;E1962</f>
        <v>0</v>
      </c>
    </row>
    <row r="2076" spans="1:2" x14ac:dyDescent="0.25">
      <c r="A2076" t="str">
        <f>COUNTIF($D$2:D1963,D1963)&amp;D1963</f>
        <v>0</v>
      </c>
      <c r="B2076" t="str">
        <f>COUNTIF($E$2:E1963,E1963)&amp;E1963</f>
        <v>0</v>
      </c>
    </row>
    <row r="2077" spans="1:2" x14ac:dyDescent="0.25">
      <c r="A2077" t="str">
        <f>COUNTIF($D$2:D1964,D1964)&amp;D1964</f>
        <v>0</v>
      </c>
      <c r="B2077" t="str">
        <f>COUNTIF($E$2:E1964,E1964)&amp;E1964</f>
        <v>0</v>
      </c>
    </row>
    <row r="2078" spans="1:2" x14ac:dyDescent="0.25">
      <c r="A2078" t="str">
        <f>COUNTIF($D$2:D1965,D1965)&amp;D1965</f>
        <v>0</v>
      </c>
      <c r="B2078" t="str">
        <f>COUNTIF($E$2:E1965,E1965)&amp;E1965</f>
        <v>0</v>
      </c>
    </row>
    <row r="2079" spans="1:2" x14ac:dyDescent="0.25">
      <c r="A2079" t="str">
        <f>COUNTIF($D$2:D1966,D1966)&amp;D1966</f>
        <v>0</v>
      </c>
      <c r="B2079" t="str">
        <f>COUNTIF($E$2:E1966,E1966)&amp;E1966</f>
        <v>0</v>
      </c>
    </row>
    <row r="2080" spans="1:2" x14ac:dyDescent="0.25">
      <c r="A2080" t="str">
        <f>COUNTIF($D$2:D1967,D1967)&amp;D1967</f>
        <v>0</v>
      </c>
      <c r="B2080" t="str">
        <f>COUNTIF($E$2:E1967,E1967)&amp;E1967</f>
        <v>0</v>
      </c>
    </row>
    <row r="2081" spans="1:2" x14ac:dyDescent="0.25">
      <c r="A2081" t="str">
        <f>COUNTIF($D$2:D1968,D1968)&amp;D1968</f>
        <v>0</v>
      </c>
      <c r="B2081" t="str">
        <f>COUNTIF($E$2:E1968,E1968)&amp;E1968</f>
        <v>0</v>
      </c>
    </row>
    <row r="2082" spans="1:2" x14ac:dyDescent="0.25">
      <c r="A2082" t="str">
        <f>COUNTIF($D$2:D1969,D1969)&amp;D1969</f>
        <v>0</v>
      </c>
      <c r="B2082" t="str">
        <f>COUNTIF($E$2:E1969,E1969)&amp;E1969</f>
        <v>0</v>
      </c>
    </row>
    <row r="2083" spans="1:2" x14ac:dyDescent="0.25">
      <c r="A2083" t="str">
        <f>COUNTIF($D$2:D1970,D1970)&amp;D1970</f>
        <v>0</v>
      </c>
      <c r="B2083" t="str">
        <f>COUNTIF($E$2:E1970,E1970)&amp;E1970</f>
        <v>0</v>
      </c>
    </row>
    <row r="2084" spans="1:2" x14ac:dyDescent="0.25">
      <c r="A2084" t="str">
        <f>COUNTIF($D$2:D1971,D1971)&amp;D1971</f>
        <v>0</v>
      </c>
      <c r="B2084" t="str">
        <f>COUNTIF($E$2:E1971,E1971)&amp;E1971</f>
        <v>0</v>
      </c>
    </row>
    <row r="2085" spans="1:2" x14ac:dyDescent="0.25">
      <c r="A2085" t="str">
        <f>COUNTIF($D$2:D1972,D1972)&amp;D1972</f>
        <v>0</v>
      </c>
      <c r="B2085" t="str">
        <f>COUNTIF($E$2:E1972,E1972)&amp;E1972</f>
        <v>0</v>
      </c>
    </row>
    <row r="2086" spans="1:2" x14ac:dyDescent="0.25">
      <c r="A2086" t="str">
        <f>COUNTIF($D$2:D1973,D1973)&amp;D1973</f>
        <v>0</v>
      </c>
      <c r="B2086" t="str">
        <f>COUNTIF($E$2:E1973,E1973)&amp;E1973</f>
        <v>0</v>
      </c>
    </row>
    <row r="2087" spans="1:2" x14ac:dyDescent="0.25">
      <c r="A2087" t="str">
        <f>COUNTIF($D$2:D1974,D1974)&amp;D1974</f>
        <v>0</v>
      </c>
      <c r="B2087" t="str">
        <f>COUNTIF($E$2:E1974,E1974)&amp;E1974</f>
        <v>0</v>
      </c>
    </row>
    <row r="2088" spans="1:2" x14ac:dyDescent="0.25">
      <c r="A2088" t="str">
        <f>COUNTIF($D$2:D1975,D1975)&amp;D1975</f>
        <v>0</v>
      </c>
      <c r="B2088" t="str">
        <f>COUNTIF($E$2:E1975,E1975)&amp;E1975</f>
        <v>0</v>
      </c>
    </row>
    <row r="2089" spans="1:2" x14ac:dyDescent="0.25">
      <c r="A2089" t="str">
        <f>COUNTIF($D$2:D1976,D1976)&amp;D1976</f>
        <v>0</v>
      </c>
      <c r="B2089" t="str">
        <f>COUNTIF($E$2:E1976,E1976)&amp;E1976</f>
        <v>0</v>
      </c>
    </row>
    <row r="2090" spans="1:2" x14ac:dyDescent="0.25">
      <c r="A2090" t="str">
        <f>COUNTIF($D$2:D1977,D1977)&amp;D1977</f>
        <v>0</v>
      </c>
      <c r="B2090" t="str">
        <f>COUNTIF($E$2:E1977,E1977)&amp;E1977</f>
        <v>0</v>
      </c>
    </row>
    <row r="2091" spans="1:2" x14ac:dyDescent="0.25">
      <c r="A2091" t="str">
        <f>COUNTIF($D$2:D1978,D1978)&amp;D1978</f>
        <v>0</v>
      </c>
      <c r="B2091" t="str">
        <f>COUNTIF($E$2:E1978,E1978)&amp;E1978</f>
        <v>0</v>
      </c>
    </row>
    <row r="2092" spans="1:2" x14ac:dyDescent="0.25">
      <c r="A2092" t="str">
        <f>COUNTIF($D$2:D1979,D1979)&amp;D1979</f>
        <v>0</v>
      </c>
      <c r="B2092" t="str">
        <f>COUNTIF($E$2:E1979,E1979)&amp;E1979</f>
        <v>0</v>
      </c>
    </row>
    <row r="2093" spans="1:2" x14ac:dyDescent="0.25">
      <c r="A2093" t="str">
        <f>COUNTIF($D$2:D1980,D1980)&amp;D1980</f>
        <v>0</v>
      </c>
      <c r="B2093" t="str">
        <f>COUNTIF($E$2:E1980,E1980)&amp;E1980</f>
        <v>0</v>
      </c>
    </row>
    <row r="2094" spans="1:2" x14ac:dyDescent="0.25">
      <c r="A2094" t="str">
        <f>COUNTIF($D$2:D1981,D1981)&amp;D1981</f>
        <v>0</v>
      </c>
      <c r="B2094" t="str">
        <f>COUNTIF($E$2:E1981,E1981)&amp;E1981</f>
        <v>0</v>
      </c>
    </row>
    <row r="2095" spans="1:2" x14ac:dyDescent="0.25">
      <c r="A2095" t="str">
        <f>COUNTIF($D$2:D1982,D1982)&amp;D1982</f>
        <v>0</v>
      </c>
      <c r="B2095" t="str">
        <f>COUNTIF($E$2:E1982,E1982)&amp;E1982</f>
        <v>0</v>
      </c>
    </row>
    <row r="2096" spans="1:2" x14ac:dyDescent="0.25">
      <c r="A2096" t="str">
        <f>COUNTIF($D$2:D1983,D1983)&amp;D1983</f>
        <v>0</v>
      </c>
      <c r="B2096" t="str">
        <f>COUNTIF($E$2:E1983,E1983)&amp;E1983</f>
        <v>0</v>
      </c>
    </row>
    <row r="2097" spans="1:2" x14ac:dyDescent="0.25">
      <c r="A2097" t="str">
        <f>COUNTIF($D$2:D1984,D1984)&amp;D1984</f>
        <v>0</v>
      </c>
      <c r="B2097" t="str">
        <f>COUNTIF($E$2:E1984,E1984)&amp;E1984</f>
        <v>0</v>
      </c>
    </row>
    <row r="2098" spans="1:2" x14ac:dyDescent="0.25">
      <c r="A2098" t="str">
        <f>COUNTIF($D$2:D1985,D1985)&amp;D1985</f>
        <v>0</v>
      </c>
      <c r="B2098" t="str">
        <f>COUNTIF($E$2:E1985,E1985)&amp;E1985</f>
        <v>0</v>
      </c>
    </row>
    <row r="2099" spans="1:2" x14ac:dyDescent="0.25">
      <c r="A2099" t="str">
        <f>COUNTIF($D$2:D1986,D1986)&amp;D1986</f>
        <v>0</v>
      </c>
      <c r="B2099" t="str">
        <f>COUNTIF($E$2:E1986,E1986)&amp;E1986</f>
        <v>0</v>
      </c>
    </row>
    <row r="2100" spans="1:2" x14ac:dyDescent="0.25">
      <c r="A2100" t="str">
        <f>COUNTIF($D$2:D1987,D1987)&amp;D1987</f>
        <v>0</v>
      </c>
      <c r="B2100" t="str">
        <f>COUNTIF($E$2:E1987,E1987)&amp;E1987</f>
        <v>0</v>
      </c>
    </row>
    <row r="2101" spans="1:2" x14ac:dyDescent="0.25">
      <c r="A2101" t="str">
        <f>COUNTIF($D$2:D1988,D1988)&amp;D1988</f>
        <v>0</v>
      </c>
      <c r="B2101" t="str">
        <f>COUNTIF($E$2:E1988,E1988)&amp;E1988</f>
        <v>0</v>
      </c>
    </row>
    <row r="2102" spans="1:2" x14ac:dyDescent="0.25">
      <c r="A2102" t="str">
        <f>COUNTIF($D$2:D1989,D1989)&amp;D1989</f>
        <v>0</v>
      </c>
      <c r="B2102" t="str">
        <f>COUNTIF($E$2:E1989,E1989)&amp;E1989</f>
        <v>0</v>
      </c>
    </row>
    <row r="2103" spans="1:2" x14ac:dyDescent="0.25">
      <c r="A2103" t="str">
        <f>COUNTIF($D$2:D1990,D1990)&amp;D1990</f>
        <v>0</v>
      </c>
      <c r="B2103" t="str">
        <f>COUNTIF($E$2:E1990,E1990)&amp;E1990</f>
        <v>0</v>
      </c>
    </row>
    <row r="2104" spans="1:2" x14ac:dyDescent="0.25">
      <c r="A2104" t="str">
        <f>COUNTIF($D$2:D1991,D1991)&amp;D1991</f>
        <v>0</v>
      </c>
      <c r="B2104" t="str">
        <f>COUNTIF($E$2:E1991,E1991)&amp;E1991</f>
        <v>0</v>
      </c>
    </row>
    <row r="2105" spans="1:2" x14ac:dyDescent="0.25">
      <c r="A2105" t="str">
        <f>COUNTIF($D$2:D1992,D1992)&amp;D1992</f>
        <v>0</v>
      </c>
      <c r="B2105" t="str">
        <f>COUNTIF($E$2:E1992,E1992)&amp;E1992</f>
        <v>0</v>
      </c>
    </row>
    <row r="2106" spans="1:2" x14ac:dyDescent="0.25">
      <c r="A2106" t="str">
        <f>COUNTIF($D$2:D1993,D1993)&amp;D1993</f>
        <v>0</v>
      </c>
      <c r="B2106" t="str">
        <f>COUNTIF($E$2:E1993,E1993)&amp;E1993</f>
        <v>0</v>
      </c>
    </row>
    <row r="2107" spans="1:2" x14ac:dyDescent="0.25">
      <c r="A2107" t="str">
        <f>COUNTIF($D$2:D1994,D1994)&amp;D1994</f>
        <v>0</v>
      </c>
      <c r="B2107" t="str">
        <f>COUNTIF($E$2:E1994,E1994)&amp;E1994</f>
        <v>0</v>
      </c>
    </row>
    <row r="2108" spans="1:2" x14ac:dyDescent="0.25">
      <c r="A2108" t="str">
        <f>COUNTIF($D$2:D1995,D1995)&amp;D1995</f>
        <v>0</v>
      </c>
      <c r="B2108" t="str">
        <f>COUNTIF($E$2:E1995,E1995)&amp;E1995</f>
        <v>0</v>
      </c>
    </row>
    <row r="2109" spans="1:2" x14ac:dyDescent="0.25">
      <c r="A2109" t="str">
        <f>COUNTIF($D$2:D1996,D1996)&amp;D1996</f>
        <v>0</v>
      </c>
      <c r="B2109" t="str">
        <f>COUNTIF($E$2:E1996,E1996)&amp;E1996</f>
        <v>0</v>
      </c>
    </row>
    <row r="2110" spans="1:2" x14ac:dyDescent="0.25">
      <c r="A2110" t="str">
        <f>COUNTIF($D$2:D1997,D1997)&amp;D1997</f>
        <v>0</v>
      </c>
      <c r="B2110" t="str">
        <f>COUNTIF($E$2:E1997,E1997)&amp;E1997</f>
        <v>0</v>
      </c>
    </row>
    <row r="2111" spans="1:2" x14ac:dyDescent="0.25">
      <c r="A2111" t="str">
        <f>COUNTIF($D$2:D1998,D1998)&amp;D1998</f>
        <v>0</v>
      </c>
      <c r="B2111" t="str">
        <f>COUNTIF($E$2:E1998,E1998)&amp;E1998</f>
        <v>0</v>
      </c>
    </row>
    <row r="2112" spans="1:2" x14ac:dyDescent="0.25">
      <c r="A2112" t="str">
        <f>COUNTIF($D$2:D1999,D1999)&amp;D1999</f>
        <v>0</v>
      </c>
      <c r="B2112" t="str">
        <f>COUNTIF($E$2:E1999,E1999)&amp;E1999</f>
        <v>0</v>
      </c>
    </row>
    <row r="2113" spans="1:2" x14ac:dyDescent="0.25">
      <c r="A2113" t="str">
        <f>COUNTIF($D$2:D2000,D2000)&amp;D2000</f>
        <v>0</v>
      </c>
      <c r="B2113" t="str">
        <f>COUNTIF($E$2:E2000,E2000)&amp;E2000</f>
        <v>0</v>
      </c>
    </row>
    <row r="2114" spans="1:2" x14ac:dyDescent="0.25">
      <c r="A2114" t="str">
        <f>COUNTIF($D$2:D2001,D2001)&amp;D2001</f>
        <v>0</v>
      </c>
      <c r="B2114" t="str">
        <f>COUNTIF($E$2:E2001,E2001)&amp;E2001</f>
        <v>0</v>
      </c>
    </row>
    <row r="2115" spans="1:2" x14ac:dyDescent="0.25">
      <c r="A2115" t="str">
        <f>COUNTIF($D$2:D2002,D2002)&amp;D2002</f>
        <v>0</v>
      </c>
      <c r="B2115" t="str">
        <f>COUNTIF($E$2:E2002,E2002)&amp;E2002</f>
        <v>0</v>
      </c>
    </row>
    <row r="2116" spans="1:2" x14ac:dyDescent="0.25">
      <c r="A2116" t="str">
        <f>COUNTIF($D$2:D2003,D2003)&amp;D2003</f>
        <v>0</v>
      </c>
      <c r="B2116" t="str">
        <f>COUNTIF($E$2:E2003,E2003)&amp;E2003</f>
        <v>0</v>
      </c>
    </row>
    <row r="2117" spans="1:2" x14ac:dyDescent="0.25">
      <c r="A2117" t="str">
        <f>COUNTIF($D$2:D2004,D2004)&amp;D2004</f>
        <v>0</v>
      </c>
      <c r="B2117" t="str">
        <f>COUNTIF($E$2:E2004,E2004)&amp;E2004</f>
        <v>0</v>
      </c>
    </row>
    <row r="2118" spans="1:2" x14ac:dyDescent="0.25">
      <c r="A2118" t="str">
        <f>COUNTIF($D$2:D2005,D2005)&amp;D2005</f>
        <v>0</v>
      </c>
      <c r="B2118" t="str">
        <f>COUNTIF($E$2:E2005,E2005)&amp;E2005</f>
        <v>0</v>
      </c>
    </row>
    <row r="2119" spans="1:2" x14ac:dyDescent="0.25">
      <c r="A2119" t="str">
        <f>COUNTIF($D$2:D2006,D2006)&amp;D2006</f>
        <v>0</v>
      </c>
      <c r="B2119" t="str">
        <f>COUNTIF($E$2:E2006,E2006)&amp;E2006</f>
        <v>0</v>
      </c>
    </row>
    <row r="2120" spans="1:2" x14ac:dyDescent="0.25">
      <c r="A2120" t="str">
        <f>COUNTIF($D$2:D2007,D2007)&amp;D2007</f>
        <v>0</v>
      </c>
      <c r="B2120" t="str">
        <f>COUNTIF($E$2:E2007,E2007)&amp;E2007</f>
        <v>0</v>
      </c>
    </row>
    <row r="2121" spans="1:2" x14ac:dyDescent="0.25">
      <c r="A2121" t="str">
        <f>COUNTIF($D$2:D2008,D2008)&amp;D2008</f>
        <v>0</v>
      </c>
      <c r="B2121" t="str">
        <f>COUNTIF($E$2:E2008,E2008)&amp;E2008</f>
        <v>0</v>
      </c>
    </row>
    <row r="2122" spans="1:2" x14ac:dyDescent="0.25">
      <c r="A2122" t="str">
        <f>COUNTIF($D$2:D2009,D2009)&amp;D2009</f>
        <v>0</v>
      </c>
      <c r="B2122" t="str">
        <f>COUNTIF($E$2:E2009,E2009)&amp;E2009</f>
        <v>0</v>
      </c>
    </row>
    <row r="2123" spans="1:2" x14ac:dyDescent="0.25">
      <c r="A2123" t="str">
        <f>COUNTIF($D$2:D2010,D2010)&amp;D2010</f>
        <v>0</v>
      </c>
      <c r="B2123" t="str">
        <f>COUNTIF($E$2:E2010,E2010)&amp;E2010</f>
        <v>0</v>
      </c>
    </row>
    <row r="2124" spans="1:2" x14ac:dyDescent="0.25">
      <c r="A2124" t="str">
        <f>COUNTIF($D$2:D2011,D2011)&amp;D2011</f>
        <v>0</v>
      </c>
      <c r="B2124" t="str">
        <f>COUNTIF($E$2:E2011,E2011)&amp;E2011</f>
        <v>0</v>
      </c>
    </row>
    <row r="2125" spans="1:2" x14ac:dyDescent="0.25">
      <c r="A2125" t="str">
        <f>COUNTIF($D$2:D2012,D2012)&amp;D2012</f>
        <v>0</v>
      </c>
      <c r="B2125" t="str">
        <f>COUNTIF($E$2:E2012,E2012)&amp;E2012</f>
        <v>0</v>
      </c>
    </row>
    <row r="2126" spans="1:2" x14ac:dyDescent="0.25">
      <c r="A2126" t="str">
        <f>COUNTIF($D$2:D2013,D2013)&amp;D2013</f>
        <v>0</v>
      </c>
      <c r="B2126" t="str">
        <f>COUNTIF($E$2:E2013,E2013)&amp;E2013</f>
        <v>0</v>
      </c>
    </row>
    <row r="2127" spans="1:2" x14ac:dyDescent="0.25">
      <c r="A2127" t="str">
        <f>COUNTIF($D$2:D2014,D2014)&amp;D2014</f>
        <v>0</v>
      </c>
      <c r="B2127" t="str">
        <f>COUNTIF($E$2:E2014,E2014)&amp;E2014</f>
        <v>0</v>
      </c>
    </row>
    <row r="2128" spans="1:2" x14ac:dyDescent="0.25">
      <c r="A2128" t="str">
        <f>COUNTIF($D$2:D2015,D2015)&amp;D2015</f>
        <v>0</v>
      </c>
      <c r="B2128" t="str">
        <f>COUNTIF($E$2:E2015,E2015)&amp;E2015</f>
        <v>0</v>
      </c>
    </row>
    <row r="2129" spans="1:2" x14ac:dyDescent="0.25">
      <c r="A2129" t="str">
        <f>COUNTIF($D$2:D2016,D2016)&amp;D2016</f>
        <v>0</v>
      </c>
      <c r="B2129" t="str">
        <f>COUNTIF($E$2:E2016,E2016)&amp;E2016</f>
        <v>0</v>
      </c>
    </row>
    <row r="2130" spans="1:2" x14ac:dyDescent="0.25">
      <c r="A2130" t="str">
        <f>COUNTIF($D$2:D2017,D2017)&amp;D2017</f>
        <v>0</v>
      </c>
      <c r="B2130" t="str">
        <f>COUNTIF($E$2:E2017,E2017)&amp;E2017</f>
        <v>0</v>
      </c>
    </row>
    <row r="2131" spans="1:2" x14ac:dyDescent="0.25">
      <c r="A2131" t="str">
        <f>COUNTIF($D$2:D2018,D2018)&amp;D2018</f>
        <v>0</v>
      </c>
      <c r="B2131" t="str">
        <f>COUNTIF($E$2:E2018,E2018)&amp;E2018</f>
        <v>0</v>
      </c>
    </row>
    <row r="2132" spans="1:2" x14ac:dyDescent="0.25">
      <c r="A2132" t="str">
        <f>COUNTIF($D$2:D2019,D2019)&amp;D2019</f>
        <v>0</v>
      </c>
      <c r="B2132" t="str">
        <f>COUNTIF($E$2:E2019,E2019)&amp;E2019</f>
        <v>0</v>
      </c>
    </row>
    <row r="2133" spans="1:2" x14ac:dyDescent="0.25">
      <c r="A2133" t="str">
        <f>COUNTIF($D$2:D2020,D2020)&amp;D2020</f>
        <v>0</v>
      </c>
      <c r="B2133" t="str">
        <f>COUNTIF($E$2:E2020,E2020)&amp;E2020</f>
        <v>0</v>
      </c>
    </row>
    <row r="2134" spans="1:2" x14ac:dyDescent="0.25">
      <c r="A2134" t="str">
        <f>COUNTIF($D$2:D2021,D2021)&amp;D2021</f>
        <v>0</v>
      </c>
      <c r="B2134" t="str">
        <f>COUNTIF($E$2:E2021,E2021)&amp;E2021</f>
        <v>0</v>
      </c>
    </row>
    <row r="2135" spans="1:2" x14ac:dyDescent="0.25">
      <c r="A2135" t="str">
        <f>COUNTIF($D$2:D2022,D2022)&amp;D2022</f>
        <v>0</v>
      </c>
      <c r="B2135" t="str">
        <f>COUNTIF($E$2:E2022,E2022)&amp;E2022</f>
        <v>0</v>
      </c>
    </row>
    <row r="2136" spans="1:2" x14ac:dyDescent="0.25">
      <c r="A2136" t="str">
        <f>COUNTIF($D$2:D2023,D2023)&amp;D2023</f>
        <v>0</v>
      </c>
      <c r="B2136" t="str">
        <f>COUNTIF($E$2:E2023,E2023)&amp;E2023</f>
        <v>0</v>
      </c>
    </row>
    <row r="2137" spans="1:2" x14ac:dyDescent="0.25">
      <c r="A2137" t="str">
        <f>COUNTIF($D$2:D2024,D2024)&amp;D2024</f>
        <v>0</v>
      </c>
      <c r="B2137" t="str">
        <f>COUNTIF($E$2:E2024,E2024)&amp;E2024</f>
        <v>0</v>
      </c>
    </row>
    <row r="2138" spans="1:2" x14ac:dyDescent="0.25">
      <c r="A2138" t="str">
        <f>COUNTIF($D$2:D2025,D2025)&amp;D2025</f>
        <v>0</v>
      </c>
      <c r="B2138" t="str">
        <f>COUNTIF($E$2:E2025,E2025)&amp;E2025</f>
        <v>0</v>
      </c>
    </row>
    <row r="2139" spans="1:2" x14ac:dyDescent="0.25">
      <c r="A2139" t="str">
        <f>COUNTIF($D$2:D2026,D2026)&amp;D2026</f>
        <v>0</v>
      </c>
      <c r="B2139" t="str">
        <f>COUNTIF($E$2:E2026,E2026)&amp;E2026</f>
        <v>0</v>
      </c>
    </row>
    <row r="2140" spans="1:2" x14ac:dyDescent="0.25">
      <c r="A2140" t="str">
        <f>COUNTIF($D$2:D2027,D2027)&amp;D2027</f>
        <v>0</v>
      </c>
      <c r="B2140" t="str">
        <f>COUNTIF($E$2:E2027,E2027)&amp;E2027</f>
        <v>0</v>
      </c>
    </row>
    <row r="2141" spans="1:2" x14ac:dyDescent="0.25">
      <c r="A2141" t="str">
        <f>COUNTIF($D$2:D2028,D2028)&amp;D2028</f>
        <v>0</v>
      </c>
      <c r="B2141" t="str">
        <f>COUNTIF($E$2:E2028,E2028)&amp;E2028</f>
        <v>0</v>
      </c>
    </row>
    <row r="2142" spans="1:2" x14ac:dyDescent="0.25">
      <c r="A2142" t="str">
        <f>COUNTIF($D$2:D2029,D2029)&amp;D2029</f>
        <v>0</v>
      </c>
      <c r="B2142" t="str">
        <f>COUNTIF($E$2:E2029,E2029)&amp;E2029</f>
        <v>0</v>
      </c>
    </row>
    <row r="2143" spans="1:2" x14ac:dyDescent="0.25">
      <c r="A2143" t="str">
        <f>COUNTIF($D$2:D2030,D2030)&amp;D2030</f>
        <v>0</v>
      </c>
      <c r="B2143" t="str">
        <f>COUNTIF($E$2:E2030,E2030)&amp;E2030</f>
        <v>0</v>
      </c>
    </row>
    <row r="2144" spans="1:2" x14ac:dyDescent="0.25">
      <c r="A2144" t="str">
        <f>COUNTIF($D$2:D2031,D2031)&amp;D2031</f>
        <v>0</v>
      </c>
      <c r="B2144" t="str">
        <f>COUNTIF($E$2:E2031,E2031)&amp;E2031</f>
        <v>0</v>
      </c>
    </row>
    <row r="2145" spans="1:2" x14ac:dyDescent="0.25">
      <c r="A2145" t="str">
        <f>COUNTIF($D$2:D2032,D2032)&amp;D2032</f>
        <v>0</v>
      </c>
      <c r="B2145" t="str">
        <f>COUNTIF($E$2:E2032,E2032)&amp;E2032</f>
        <v>0</v>
      </c>
    </row>
    <row r="2146" spans="1:2" x14ac:dyDescent="0.25">
      <c r="A2146" t="str">
        <f>COUNTIF($D$2:D2033,D2033)&amp;D2033</f>
        <v>0</v>
      </c>
      <c r="B2146" t="str">
        <f>COUNTIF($E$2:E2033,E2033)&amp;E2033</f>
        <v>0</v>
      </c>
    </row>
    <row r="2147" spans="1:2" x14ac:dyDescent="0.25">
      <c r="A2147" t="str">
        <f>COUNTIF($D$2:D2034,D2034)&amp;D2034</f>
        <v>0</v>
      </c>
      <c r="B2147" t="str">
        <f>COUNTIF($E$2:E2034,E2034)&amp;E2034</f>
        <v>0</v>
      </c>
    </row>
    <row r="2148" spans="1:2" x14ac:dyDescent="0.25">
      <c r="A2148" t="str">
        <f>COUNTIF($D$2:D2035,D2035)&amp;D2035</f>
        <v>0</v>
      </c>
      <c r="B2148" t="str">
        <f>COUNTIF($E$2:E2035,E2035)&amp;E2035</f>
        <v>0</v>
      </c>
    </row>
    <row r="2149" spans="1:2" x14ac:dyDescent="0.25">
      <c r="A2149" t="str">
        <f>COUNTIF($D$2:D2036,D2036)&amp;D2036</f>
        <v>0</v>
      </c>
      <c r="B2149" t="str">
        <f>COUNTIF($E$2:E2036,E2036)&amp;E2036</f>
        <v>0</v>
      </c>
    </row>
    <row r="2150" spans="1:2" x14ac:dyDescent="0.25">
      <c r="A2150" t="str">
        <f>COUNTIF($D$2:D2037,D2037)&amp;D2037</f>
        <v>0</v>
      </c>
      <c r="B2150" t="str">
        <f>COUNTIF($E$2:E2037,E2037)&amp;E2037</f>
        <v>0</v>
      </c>
    </row>
    <row r="2151" spans="1:2" x14ac:dyDescent="0.25">
      <c r="A2151" t="str">
        <f>COUNTIF($D$2:D2038,D2038)&amp;D2038</f>
        <v>0</v>
      </c>
      <c r="B2151" t="str">
        <f>COUNTIF($E$2:E2038,E2038)&amp;E2038</f>
        <v>0</v>
      </c>
    </row>
    <row r="2152" spans="1:2" x14ac:dyDescent="0.25">
      <c r="A2152" t="str">
        <f>COUNTIF($D$2:D2039,D2039)&amp;D2039</f>
        <v>0</v>
      </c>
      <c r="B2152" t="str">
        <f>COUNTIF($E$2:E2039,E2039)&amp;E2039</f>
        <v>0</v>
      </c>
    </row>
    <row r="2153" spans="1:2" x14ac:dyDescent="0.25">
      <c r="A2153" t="str">
        <f>COUNTIF($D$2:D2040,D2040)&amp;D2040</f>
        <v>0</v>
      </c>
      <c r="B2153" t="str">
        <f>COUNTIF($E$2:E2040,E2040)&amp;E2040</f>
        <v>0</v>
      </c>
    </row>
    <row r="2154" spans="1:2" x14ac:dyDescent="0.25">
      <c r="A2154" t="str">
        <f>COUNTIF($D$2:D2041,D2041)&amp;D2041</f>
        <v>0</v>
      </c>
      <c r="B2154" t="str">
        <f>COUNTIF($E$2:E2041,E2041)&amp;E2041</f>
        <v>0</v>
      </c>
    </row>
    <row r="2155" spans="1:2" x14ac:dyDescent="0.25">
      <c r="A2155" t="str">
        <f>COUNTIF($D$2:D2042,D2042)&amp;D2042</f>
        <v>0</v>
      </c>
      <c r="B2155" t="str">
        <f>COUNTIF($E$2:E2042,E2042)&amp;E2042</f>
        <v>0</v>
      </c>
    </row>
    <row r="2156" spans="1:2" x14ac:dyDescent="0.25">
      <c r="A2156" t="str">
        <f>COUNTIF($D$2:D2043,D2043)&amp;D2043</f>
        <v>0</v>
      </c>
      <c r="B2156" t="str">
        <f>COUNTIF($E$2:E2043,E2043)&amp;E2043</f>
        <v>0</v>
      </c>
    </row>
    <row r="2157" spans="1:2" x14ac:dyDescent="0.25">
      <c r="A2157" t="str">
        <f>COUNTIF($D$2:D2044,D2044)&amp;D2044</f>
        <v>0</v>
      </c>
      <c r="B2157" t="str">
        <f>COUNTIF($E$2:E2044,E2044)&amp;E2044</f>
        <v>0</v>
      </c>
    </row>
    <row r="2158" spans="1:2" x14ac:dyDescent="0.25">
      <c r="A2158" t="str">
        <f>COUNTIF($D$2:D2045,D2045)&amp;D2045</f>
        <v>0</v>
      </c>
      <c r="B2158" t="str">
        <f>COUNTIF($E$2:E2045,E2045)&amp;E2045</f>
        <v>0</v>
      </c>
    </row>
    <row r="2159" spans="1:2" x14ac:dyDescent="0.25">
      <c r="A2159" t="str">
        <f>COUNTIF($D$2:D2046,D2046)&amp;D2046</f>
        <v>0</v>
      </c>
      <c r="B2159" t="str">
        <f>COUNTIF($E$2:E2046,E2046)&amp;E2046</f>
        <v>0</v>
      </c>
    </row>
    <row r="2160" spans="1:2" x14ac:dyDescent="0.25">
      <c r="A2160" t="str">
        <f>COUNTIF($D$2:D2047,D2047)&amp;D2047</f>
        <v>0</v>
      </c>
      <c r="B2160" t="str">
        <f>COUNTIF($E$2:E2047,E2047)&amp;E2047</f>
        <v>0</v>
      </c>
    </row>
    <row r="2161" spans="1:2" x14ac:dyDescent="0.25">
      <c r="A2161" t="str">
        <f>COUNTIF($D$2:D2048,D2048)&amp;D2048</f>
        <v>0</v>
      </c>
      <c r="B2161" t="str">
        <f>COUNTIF($E$2:E2048,E2048)&amp;E2048</f>
        <v>0</v>
      </c>
    </row>
    <row r="2162" spans="1:2" x14ac:dyDescent="0.25">
      <c r="A2162" t="str">
        <f>COUNTIF($D$2:D2049,D2049)&amp;D2049</f>
        <v>0</v>
      </c>
      <c r="B2162" t="str">
        <f>COUNTIF($E$2:E2049,E2049)&amp;E2049</f>
        <v>0</v>
      </c>
    </row>
    <row r="2163" spans="1:2" x14ac:dyDescent="0.25">
      <c r="A2163" t="str">
        <f>COUNTIF($D$2:D2050,D2050)&amp;D2050</f>
        <v>0</v>
      </c>
      <c r="B2163" t="str">
        <f>COUNTIF($E$2:E2050,E2050)&amp;E2050</f>
        <v>0</v>
      </c>
    </row>
    <row r="2164" spans="1:2" x14ac:dyDescent="0.25">
      <c r="A2164" t="str">
        <f>COUNTIF($D$2:D2051,D2051)&amp;D2051</f>
        <v>0</v>
      </c>
      <c r="B2164" t="str">
        <f>COUNTIF($E$2:E2051,E2051)&amp;E2051</f>
        <v>0</v>
      </c>
    </row>
    <row r="2165" spans="1:2" x14ac:dyDescent="0.25">
      <c r="A2165" t="str">
        <f>COUNTIF($D$2:D2052,D2052)&amp;D2052</f>
        <v>0</v>
      </c>
      <c r="B2165" t="str">
        <f>COUNTIF($E$2:E2052,E2052)&amp;E2052</f>
        <v>0</v>
      </c>
    </row>
    <row r="2166" spans="1:2" x14ac:dyDescent="0.25">
      <c r="A2166" t="str">
        <f>COUNTIF($D$2:D2053,D2053)&amp;D2053</f>
        <v>0</v>
      </c>
      <c r="B2166" t="str">
        <f>COUNTIF($E$2:E2053,E2053)&amp;E2053</f>
        <v>0</v>
      </c>
    </row>
    <row r="2167" spans="1:2" x14ac:dyDescent="0.25">
      <c r="A2167" t="str">
        <f>COUNTIF($D$2:D2054,D2054)&amp;D2054</f>
        <v>0</v>
      </c>
      <c r="B2167" t="str">
        <f>COUNTIF($E$2:E2054,E2054)&amp;E2054</f>
        <v>0</v>
      </c>
    </row>
    <row r="2168" spans="1:2" x14ac:dyDescent="0.25">
      <c r="A2168" t="str">
        <f>COUNTIF($D$2:D2055,D2055)&amp;D2055</f>
        <v>0</v>
      </c>
      <c r="B2168" t="str">
        <f>COUNTIF($E$2:E2055,E2055)&amp;E2055</f>
        <v>0</v>
      </c>
    </row>
    <row r="2169" spans="1:2" x14ac:dyDescent="0.25">
      <c r="A2169" t="str">
        <f>COUNTIF($D$2:D2056,D2056)&amp;D2056</f>
        <v>0</v>
      </c>
      <c r="B2169" t="str">
        <f>COUNTIF($E$2:E2056,E2056)&amp;E2056</f>
        <v>0</v>
      </c>
    </row>
    <row r="2170" spans="1:2" x14ac:dyDescent="0.25">
      <c r="A2170" t="str">
        <f>COUNTIF($D$2:D2057,D2057)&amp;D2057</f>
        <v>0</v>
      </c>
      <c r="B2170" t="str">
        <f>COUNTIF($E$2:E2057,E2057)&amp;E2057</f>
        <v>0</v>
      </c>
    </row>
    <row r="2171" spans="1:2" x14ac:dyDescent="0.25">
      <c r="A2171" t="str">
        <f>COUNTIF($D$2:D2058,D2058)&amp;D2058</f>
        <v>0</v>
      </c>
      <c r="B2171" t="str">
        <f>COUNTIF($E$2:E2058,E2058)&amp;E2058</f>
        <v>0</v>
      </c>
    </row>
    <row r="2172" spans="1:2" x14ac:dyDescent="0.25">
      <c r="A2172" t="str">
        <f>COUNTIF($D$2:D2059,D2059)&amp;D2059</f>
        <v>0</v>
      </c>
      <c r="B2172" t="str">
        <f>COUNTIF($E$2:E2059,E2059)&amp;E2059</f>
        <v>0</v>
      </c>
    </row>
    <row r="2173" spans="1:2" x14ac:dyDescent="0.25">
      <c r="A2173" t="str">
        <f>COUNTIF($D$2:D2060,D2060)&amp;D2060</f>
        <v>0</v>
      </c>
      <c r="B2173" t="str">
        <f>COUNTIF($E$2:E2060,E2060)&amp;E2060</f>
        <v>0</v>
      </c>
    </row>
    <row r="2174" spans="1:2" x14ac:dyDescent="0.25">
      <c r="A2174" t="str">
        <f>COUNTIF($D$2:D2061,D2061)&amp;D2061</f>
        <v>0</v>
      </c>
      <c r="B2174" t="str">
        <f>COUNTIF($E$2:E2061,E2061)&amp;E2061</f>
        <v>0</v>
      </c>
    </row>
    <row r="2175" spans="1:2" x14ac:dyDescent="0.25">
      <c r="A2175" t="str">
        <f>COUNTIF($D$2:D2062,D2062)&amp;D2062</f>
        <v>0</v>
      </c>
      <c r="B2175" t="str">
        <f>COUNTIF($E$2:E2062,E2062)&amp;E2062</f>
        <v>0</v>
      </c>
    </row>
    <row r="2176" spans="1:2" x14ac:dyDescent="0.25">
      <c r="A2176" t="str">
        <f>COUNTIF($D$2:D2063,D2063)&amp;D2063</f>
        <v>0</v>
      </c>
      <c r="B2176" t="str">
        <f>COUNTIF($E$2:E2063,E2063)&amp;E2063</f>
        <v>0</v>
      </c>
    </row>
    <row r="2177" spans="1:2" x14ac:dyDescent="0.25">
      <c r="A2177" t="str">
        <f>COUNTIF($D$2:D2064,D2064)&amp;D2064</f>
        <v>0</v>
      </c>
      <c r="B2177" t="str">
        <f>COUNTIF($E$2:E2064,E2064)&amp;E2064</f>
        <v>0</v>
      </c>
    </row>
    <row r="2178" spans="1:2" x14ac:dyDescent="0.25">
      <c r="A2178" t="str">
        <f>COUNTIF($D$2:D2065,D2065)&amp;D2065</f>
        <v>0</v>
      </c>
      <c r="B2178" t="str">
        <f>COUNTIF($E$2:E2065,E2065)&amp;E2065</f>
        <v>0</v>
      </c>
    </row>
    <row r="2179" spans="1:2" x14ac:dyDescent="0.25">
      <c r="A2179" t="str">
        <f>COUNTIF($D$2:D2066,D2066)&amp;D2066</f>
        <v>0</v>
      </c>
      <c r="B2179" t="str">
        <f>COUNTIF($E$2:E2066,E2066)&amp;E2066</f>
        <v>0</v>
      </c>
    </row>
    <row r="2180" spans="1:2" x14ac:dyDescent="0.25">
      <c r="A2180" t="str">
        <f>COUNTIF($D$2:D2067,D2067)&amp;D2067</f>
        <v>0</v>
      </c>
      <c r="B2180" t="str">
        <f>COUNTIF($E$2:E2067,E2067)&amp;E2067</f>
        <v>0</v>
      </c>
    </row>
    <row r="2181" spans="1:2" x14ac:dyDescent="0.25">
      <c r="A2181" t="str">
        <f>COUNTIF($D$2:D2068,D2068)&amp;D2068</f>
        <v>0</v>
      </c>
      <c r="B2181" t="str">
        <f>COUNTIF($E$2:E2068,E2068)&amp;E2068</f>
        <v>0</v>
      </c>
    </row>
    <row r="2182" spans="1:2" x14ac:dyDescent="0.25">
      <c r="A2182" t="str">
        <f>COUNTIF($D$2:D2069,D2069)&amp;D2069</f>
        <v>0</v>
      </c>
      <c r="B2182" t="str">
        <f>COUNTIF($E$2:E2069,E2069)&amp;E2069</f>
        <v>0</v>
      </c>
    </row>
    <row r="2183" spans="1:2" x14ac:dyDescent="0.25">
      <c r="A2183" t="str">
        <f>COUNTIF($D$2:D2070,D2070)&amp;D2070</f>
        <v>0</v>
      </c>
      <c r="B2183" t="str">
        <f>COUNTIF($E$2:E2070,E2070)&amp;E2070</f>
        <v>0</v>
      </c>
    </row>
    <row r="2184" spans="1:2" x14ac:dyDescent="0.25">
      <c r="A2184" t="str">
        <f>COUNTIF($D$2:D2071,D2071)&amp;D2071</f>
        <v>0</v>
      </c>
      <c r="B2184" t="str">
        <f>COUNTIF($E$2:E2071,E2071)&amp;E2071</f>
        <v>0</v>
      </c>
    </row>
    <row r="2185" spans="1:2" x14ac:dyDescent="0.25">
      <c r="A2185" t="str">
        <f>COUNTIF($D$2:D2072,D2072)&amp;D2072</f>
        <v>0</v>
      </c>
      <c r="B2185" t="str">
        <f>COUNTIF($E$2:E2072,E2072)&amp;E2072</f>
        <v>0</v>
      </c>
    </row>
    <row r="2186" spans="1:2" x14ac:dyDescent="0.25">
      <c r="A2186" t="str">
        <f>COUNTIF($D$2:D2073,D2073)&amp;D2073</f>
        <v>0</v>
      </c>
      <c r="B2186" t="str">
        <f>COUNTIF($E$2:E2073,E2073)&amp;E2073</f>
        <v>0</v>
      </c>
    </row>
    <row r="2187" spans="1:2" x14ac:dyDescent="0.25">
      <c r="A2187" t="str">
        <f>COUNTIF($D$2:D2074,D2074)&amp;D2074</f>
        <v>0</v>
      </c>
      <c r="B2187" t="str">
        <f>COUNTIF($E$2:E2074,E2074)&amp;E2074</f>
        <v>0</v>
      </c>
    </row>
    <row r="2188" spans="1:2" x14ac:dyDescent="0.25">
      <c r="A2188" t="str">
        <f>COUNTIF($D$2:D2075,D2075)&amp;D2075</f>
        <v>0</v>
      </c>
      <c r="B2188" t="str">
        <f>COUNTIF($E$2:E2075,E2075)&amp;E2075</f>
        <v>0</v>
      </c>
    </row>
    <row r="2189" spans="1:2" x14ac:dyDescent="0.25">
      <c r="A2189" t="str">
        <f>COUNTIF($D$2:D2076,D2076)&amp;D2076</f>
        <v>0</v>
      </c>
      <c r="B2189" t="str">
        <f>COUNTIF($E$2:E2076,E2076)&amp;E2076</f>
        <v>0</v>
      </c>
    </row>
    <row r="2190" spans="1:2" x14ac:dyDescent="0.25">
      <c r="A2190" t="str">
        <f>COUNTIF($D$2:D2077,D2077)&amp;D2077</f>
        <v>0</v>
      </c>
      <c r="B2190" t="str">
        <f>COUNTIF($E$2:E2077,E2077)&amp;E2077</f>
        <v>0</v>
      </c>
    </row>
    <row r="2191" spans="1:2" x14ac:dyDescent="0.25">
      <c r="A2191" t="str">
        <f>COUNTIF($D$2:D2078,D2078)&amp;D2078</f>
        <v>0</v>
      </c>
      <c r="B2191" t="str">
        <f>COUNTIF($E$2:E2078,E2078)&amp;E2078</f>
        <v>0</v>
      </c>
    </row>
    <row r="2192" spans="1:2" x14ac:dyDescent="0.25">
      <c r="A2192" t="str">
        <f>COUNTIF($D$2:D2079,D2079)&amp;D2079</f>
        <v>0</v>
      </c>
      <c r="B2192" t="str">
        <f>COUNTIF($E$2:E2079,E2079)&amp;E2079</f>
        <v>0</v>
      </c>
    </row>
    <row r="2193" spans="1:2" x14ac:dyDescent="0.25">
      <c r="A2193" t="str">
        <f>COUNTIF($D$2:D2080,D2080)&amp;D2080</f>
        <v>0</v>
      </c>
      <c r="B2193" t="str">
        <f>COUNTIF($E$2:E2080,E2080)&amp;E2080</f>
        <v>0</v>
      </c>
    </row>
    <row r="2194" spans="1:2" x14ac:dyDescent="0.25">
      <c r="A2194" t="str">
        <f>COUNTIF($D$2:D2081,D2081)&amp;D2081</f>
        <v>0</v>
      </c>
      <c r="B2194" t="str">
        <f>COUNTIF($E$2:E2081,E2081)&amp;E2081</f>
        <v>0</v>
      </c>
    </row>
    <row r="2195" spans="1:2" x14ac:dyDescent="0.25">
      <c r="A2195" t="str">
        <f>COUNTIF($D$2:D2082,D2082)&amp;D2082</f>
        <v>0</v>
      </c>
      <c r="B2195" t="str">
        <f>COUNTIF($E$2:E2082,E2082)&amp;E2082</f>
        <v>0</v>
      </c>
    </row>
    <row r="2196" spans="1:2" x14ac:dyDescent="0.25">
      <c r="A2196" t="str">
        <f>COUNTIF($D$2:D2083,D2083)&amp;D2083</f>
        <v>0</v>
      </c>
      <c r="B2196" t="str">
        <f>COUNTIF($E$2:E2083,E2083)&amp;E2083</f>
        <v>0</v>
      </c>
    </row>
    <row r="2197" spans="1:2" x14ac:dyDescent="0.25">
      <c r="A2197" t="str">
        <f>COUNTIF($D$2:D2084,D2084)&amp;D2084</f>
        <v>0</v>
      </c>
      <c r="B2197" t="str">
        <f>COUNTIF($E$2:E2084,E2084)&amp;E2084</f>
        <v>0</v>
      </c>
    </row>
    <row r="2198" spans="1:2" x14ac:dyDescent="0.25">
      <c r="A2198" t="str">
        <f>COUNTIF($D$2:D2085,D2085)&amp;D2085</f>
        <v>0</v>
      </c>
      <c r="B2198" t="str">
        <f>COUNTIF($E$2:E2085,E2085)&amp;E2085</f>
        <v>0</v>
      </c>
    </row>
    <row r="2199" spans="1:2" x14ac:dyDescent="0.25">
      <c r="A2199" t="str">
        <f>COUNTIF($D$2:D2086,D2086)&amp;D2086</f>
        <v>0</v>
      </c>
      <c r="B2199" t="str">
        <f>COUNTIF($E$2:E2086,E2086)&amp;E2086</f>
        <v>0</v>
      </c>
    </row>
    <row r="2200" spans="1:2" x14ac:dyDescent="0.25">
      <c r="A2200" t="str">
        <f>COUNTIF($D$2:D2087,D2087)&amp;D2087</f>
        <v>0</v>
      </c>
      <c r="B2200" t="str">
        <f>COUNTIF($E$2:E2087,E2087)&amp;E2087</f>
        <v>0</v>
      </c>
    </row>
    <row r="2201" spans="1:2" x14ac:dyDescent="0.25">
      <c r="A2201" t="str">
        <f>COUNTIF($D$2:D2088,D2088)&amp;D2088</f>
        <v>0</v>
      </c>
      <c r="B2201" t="str">
        <f>COUNTIF($E$2:E2088,E2088)&amp;E2088</f>
        <v>0</v>
      </c>
    </row>
    <row r="2202" spans="1:2" x14ac:dyDescent="0.25">
      <c r="A2202" t="str">
        <f>COUNTIF($D$2:D2089,D2089)&amp;D2089</f>
        <v>0</v>
      </c>
      <c r="B2202" t="str">
        <f>COUNTIF($E$2:E2089,E2089)&amp;E2089</f>
        <v>0</v>
      </c>
    </row>
    <row r="2203" spans="1:2" x14ac:dyDescent="0.25">
      <c r="A2203" t="str">
        <f>COUNTIF($D$2:D2090,D2090)&amp;D2090</f>
        <v>0</v>
      </c>
      <c r="B2203" t="str">
        <f>COUNTIF($E$2:E2090,E2090)&amp;E2090</f>
        <v>0</v>
      </c>
    </row>
    <row r="2204" spans="1:2" x14ac:dyDescent="0.25">
      <c r="A2204" t="str">
        <f>COUNTIF($D$2:D2091,D2091)&amp;D2091</f>
        <v>0</v>
      </c>
      <c r="B2204" t="str">
        <f>COUNTIF($E$2:E2091,E2091)&amp;E2091</f>
        <v>0</v>
      </c>
    </row>
    <row r="2205" spans="1:2" x14ac:dyDescent="0.25">
      <c r="A2205" t="str">
        <f>COUNTIF($D$2:D2092,D2092)&amp;D2092</f>
        <v>0</v>
      </c>
      <c r="B2205" t="str">
        <f>COUNTIF($E$2:E2092,E2092)&amp;E2092</f>
        <v>0</v>
      </c>
    </row>
    <row r="2206" spans="1:2" x14ac:dyDescent="0.25">
      <c r="A2206" t="str">
        <f>COUNTIF($D$2:D2093,D2093)&amp;D2093</f>
        <v>0</v>
      </c>
      <c r="B2206" t="str">
        <f>COUNTIF($E$2:E2093,E2093)&amp;E2093</f>
        <v>0</v>
      </c>
    </row>
    <row r="2207" spans="1:2" x14ac:dyDescent="0.25">
      <c r="A2207" t="str">
        <f>COUNTIF($D$2:D2094,D2094)&amp;D2094</f>
        <v>0</v>
      </c>
      <c r="B2207" t="str">
        <f>COUNTIF($E$2:E2094,E2094)&amp;E2094</f>
        <v>0</v>
      </c>
    </row>
    <row r="2208" spans="1:2" x14ac:dyDescent="0.25">
      <c r="A2208" t="str">
        <f>COUNTIF($D$2:D2095,D2095)&amp;D2095</f>
        <v>0</v>
      </c>
      <c r="B2208" t="str">
        <f>COUNTIF($E$2:E2095,E2095)&amp;E2095</f>
        <v>0</v>
      </c>
    </row>
    <row r="2209" spans="1:2" x14ac:dyDescent="0.25">
      <c r="A2209" t="str">
        <f>COUNTIF($D$2:D2096,D2096)&amp;D2096</f>
        <v>0</v>
      </c>
      <c r="B2209" t="str">
        <f>COUNTIF($E$2:E2096,E2096)&amp;E2096</f>
        <v>0</v>
      </c>
    </row>
    <row r="2210" spans="1:2" x14ac:dyDescent="0.25">
      <c r="A2210" t="str">
        <f>COUNTIF($D$2:D2097,D2097)&amp;D2097</f>
        <v>0</v>
      </c>
      <c r="B2210" t="str">
        <f>COUNTIF($E$2:E2097,E2097)&amp;E2097</f>
        <v>0</v>
      </c>
    </row>
    <row r="2211" spans="1:2" x14ac:dyDescent="0.25">
      <c r="A2211" t="str">
        <f>COUNTIF($D$2:D2098,D2098)&amp;D2098</f>
        <v>0</v>
      </c>
      <c r="B2211" t="str">
        <f>COUNTIF($E$2:E2098,E2098)&amp;E2098</f>
        <v>0</v>
      </c>
    </row>
    <row r="2212" spans="1:2" x14ac:dyDescent="0.25">
      <c r="A2212" t="str">
        <f>COUNTIF($D$2:D2099,D2099)&amp;D2099</f>
        <v>0</v>
      </c>
      <c r="B2212" t="str">
        <f>COUNTIF($E$2:E2099,E2099)&amp;E2099</f>
        <v>0</v>
      </c>
    </row>
    <row r="2213" spans="1:2" x14ac:dyDescent="0.25">
      <c r="A2213" t="str">
        <f>COUNTIF($D$2:D2100,D2100)&amp;D2100</f>
        <v>0</v>
      </c>
      <c r="B2213" t="str">
        <f>COUNTIF($E$2:E2100,E2100)&amp;E2100</f>
        <v>0</v>
      </c>
    </row>
    <row r="2214" spans="1:2" x14ac:dyDescent="0.25">
      <c r="A2214" t="str">
        <f>COUNTIF($D$2:D2101,D2101)&amp;D2101</f>
        <v>0</v>
      </c>
      <c r="B2214" t="str">
        <f>COUNTIF($E$2:E2101,E2101)&amp;E2101</f>
        <v>0</v>
      </c>
    </row>
    <row r="2215" spans="1:2" x14ac:dyDescent="0.25">
      <c r="A2215" t="str">
        <f>COUNTIF($D$2:D2102,D2102)&amp;D2102</f>
        <v>0</v>
      </c>
      <c r="B2215" t="str">
        <f>COUNTIF($E$2:E2102,E2102)&amp;E2102</f>
        <v>0</v>
      </c>
    </row>
    <row r="2216" spans="1:2" x14ac:dyDescent="0.25">
      <c r="A2216" t="str">
        <f>COUNTIF($D$2:D2103,D2103)&amp;D2103</f>
        <v>0</v>
      </c>
      <c r="B2216" t="str">
        <f>COUNTIF($E$2:E2103,E2103)&amp;E2103</f>
        <v>0</v>
      </c>
    </row>
    <row r="2217" spans="1:2" x14ac:dyDescent="0.25">
      <c r="A2217" t="str">
        <f>COUNTIF($D$2:D2104,D2104)&amp;D2104</f>
        <v>0</v>
      </c>
      <c r="B2217" t="str">
        <f>COUNTIF($E$2:E2104,E2104)&amp;E2104</f>
        <v>0</v>
      </c>
    </row>
    <row r="2218" spans="1:2" x14ac:dyDescent="0.25">
      <c r="A2218" t="str">
        <f>COUNTIF($D$2:D2105,D2105)&amp;D2105</f>
        <v>0</v>
      </c>
      <c r="B2218" t="str">
        <f>COUNTIF($E$2:E2105,E2105)&amp;E2105</f>
        <v>0</v>
      </c>
    </row>
    <row r="2219" spans="1:2" x14ac:dyDescent="0.25">
      <c r="A2219" t="str">
        <f>COUNTIF($D$2:D2106,D2106)&amp;D2106</f>
        <v>0</v>
      </c>
      <c r="B2219" t="str">
        <f>COUNTIF($E$2:E2106,E2106)&amp;E2106</f>
        <v>0</v>
      </c>
    </row>
    <row r="2220" spans="1:2" x14ac:dyDescent="0.25">
      <c r="A2220" t="str">
        <f>COUNTIF($D$2:D2107,D2107)&amp;D2107</f>
        <v>0</v>
      </c>
      <c r="B2220" t="str">
        <f>COUNTIF($E$2:E2107,E2107)&amp;E2107</f>
        <v>0</v>
      </c>
    </row>
    <row r="2221" spans="1:2" x14ac:dyDescent="0.25">
      <c r="A2221" t="str">
        <f>COUNTIF($D$2:D2108,D2108)&amp;D2108</f>
        <v>0</v>
      </c>
      <c r="B2221" t="str">
        <f>COUNTIF($E$2:E2108,E2108)&amp;E2108</f>
        <v>0</v>
      </c>
    </row>
    <row r="2222" spans="1:2" x14ac:dyDescent="0.25">
      <c r="A2222" t="str">
        <f>COUNTIF($D$2:D2109,D2109)&amp;D2109</f>
        <v>0</v>
      </c>
      <c r="B2222" t="str">
        <f>COUNTIF($E$2:E2109,E2109)&amp;E2109</f>
        <v>0</v>
      </c>
    </row>
    <row r="2223" spans="1:2" x14ac:dyDescent="0.25">
      <c r="A2223" t="str">
        <f>COUNTIF($D$2:D2110,D2110)&amp;D2110</f>
        <v>0</v>
      </c>
      <c r="B2223" t="str">
        <f>COUNTIF($E$2:E2110,E2110)&amp;E2110</f>
        <v>0</v>
      </c>
    </row>
    <row r="2224" spans="1:2" x14ac:dyDescent="0.25">
      <c r="A2224" t="str">
        <f>COUNTIF($D$2:D2111,D2111)&amp;D2111</f>
        <v>0</v>
      </c>
      <c r="B2224" t="str">
        <f>COUNTIF($E$2:E2111,E2111)&amp;E2111</f>
        <v>0</v>
      </c>
    </row>
    <row r="2225" spans="1:2" x14ac:dyDescent="0.25">
      <c r="A2225" t="str">
        <f>COUNTIF($D$2:D2112,D2112)&amp;D2112</f>
        <v>0</v>
      </c>
      <c r="B2225" t="str">
        <f>COUNTIF($E$2:E2112,E2112)&amp;E2112</f>
        <v>0</v>
      </c>
    </row>
    <row r="2226" spans="1:2" x14ac:dyDescent="0.25">
      <c r="A2226" t="str">
        <f>COUNTIF($D$2:D2113,D2113)&amp;D2113</f>
        <v>0</v>
      </c>
      <c r="B2226" t="str">
        <f>COUNTIF($E$2:E2113,E2113)&amp;E2113</f>
        <v>0</v>
      </c>
    </row>
    <row r="2227" spans="1:2" x14ac:dyDescent="0.25">
      <c r="A2227" t="str">
        <f>COUNTIF($D$2:D2114,D2114)&amp;D2114</f>
        <v>0</v>
      </c>
      <c r="B2227" t="str">
        <f>COUNTIF($E$2:E2114,E2114)&amp;E2114</f>
        <v>0</v>
      </c>
    </row>
    <row r="2228" spans="1:2" x14ac:dyDescent="0.25">
      <c r="A2228" t="str">
        <f>COUNTIF($D$2:D2115,D2115)&amp;D2115</f>
        <v>0</v>
      </c>
      <c r="B2228" t="str">
        <f>COUNTIF($E$2:E2115,E2115)&amp;E2115</f>
        <v>0</v>
      </c>
    </row>
    <row r="2229" spans="1:2" x14ac:dyDescent="0.25">
      <c r="A2229" t="str">
        <f>COUNTIF($D$2:D2116,D2116)&amp;D2116</f>
        <v>0</v>
      </c>
      <c r="B2229" t="str">
        <f>COUNTIF($E$2:E2116,E2116)&amp;E2116</f>
        <v>0</v>
      </c>
    </row>
    <row r="2230" spans="1:2" x14ac:dyDescent="0.25">
      <c r="A2230" t="str">
        <f>COUNTIF($D$2:D2117,D2117)&amp;D2117</f>
        <v>0</v>
      </c>
      <c r="B2230" t="str">
        <f>COUNTIF($E$2:E2117,E2117)&amp;E2117</f>
        <v>0</v>
      </c>
    </row>
    <row r="2231" spans="1:2" x14ac:dyDescent="0.25">
      <c r="A2231" t="str">
        <f>COUNTIF($D$2:D2118,D2118)&amp;D2118</f>
        <v>0</v>
      </c>
      <c r="B2231" t="str">
        <f>COUNTIF($E$2:E2118,E2118)&amp;E2118</f>
        <v>0</v>
      </c>
    </row>
    <row r="2232" spans="1:2" x14ac:dyDescent="0.25">
      <c r="A2232" t="str">
        <f>COUNTIF($D$2:D2119,D2119)&amp;D2119</f>
        <v>0</v>
      </c>
      <c r="B2232" t="str">
        <f>COUNTIF($E$2:E2119,E2119)&amp;E2119</f>
        <v>0</v>
      </c>
    </row>
    <row r="2233" spans="1:2" x14ac:dyDescent="0.25">
      <c r="A2233" t="str">
        <f>COUNTIF($D$2:D2120,D2120)&amp;D2120</f>
        <v>0</v>
      </c>
      <c r="B2233" t="str">
        <f>COUNTIF($E$2:E2120,E2120)&amp;E2120</f>
        <v>0</v>
      </c>
    </row>
    <row r="2234" spans="1:2" x14ac:dyDescent="0.25">
      <c r="A2234" t="str">
        <f>COUNTIF($D$2:D2121,D2121)&amp;D2121</f>
        <v>0</v>
      </c>
      <c r="B2234" t="str">
        <f>COUNTIF($E$2:E2121,E2121)&amp;E2121</f>
        <v>0</v>
      </c>
    </row>
    <row r="2235" spans="1:2" x14ac:dyDescent="0.25">
      <c r="A2235" t="str">
        <f>COUNTIF($D$2:D2122,D2122)&amp;D2122</f>
        <v>0</v>
      </c>
      <c r="B2235" t="str">
        <f>COUNTIF($E$2:E2122,E2122)&amp;E2122</f>
        <v>0</v>
      </c>
    </row>
    <row r="2236" spans="1:2" x14ac:dyDescent="0.25">
      <c r="A2236" t="str">
        <f>COUNTIF($D$2:D2123,D2123)&amp;D2123</f>
        <v>0</v>
      </c>
      <c r="B2236" t="str">
        <f>COUNTIF($E$2:E2123,E2123)&amp;E2123</f>
        <v>0</v>
      </c>
    </row>
    <row r="2237" spans="1:2" x14ac:dyDescent="0.25">
      <c r="A2237" t="str">
        <f>COUNTIF($D$2:D2124,D2124)&amp;D2124</f>
        <v>0</v>
      </c>
      <c r="B2237" t="str">
        <f>COUNTIF($E$2:E2124,E2124)&amp;E2124</f>
        <v>0</v>
      </c>
    </row>
    <row r="2238" spans="1:2" x14ac:dyDescent="0.25">
      <c r="A2238" t="str">
        <f>COUNTIF($D$2:D2125,D2125)&amp;D2125</f>
        <v>0</v>
      </c>
      <c r="B2238" t="str">
        <f>COUNTIF($E$2:E2125,E2125)&amp;E2125</f>
        <v>0</v>
      </c>
    </row>
    <row r="2239" spans="1:2" x14ac:dyDescent="0.25">
      <c r="A2239" t="str">
        <f>COUNTIF($D$2:D2126,D2126)&amp;D2126</f>
        <v>0</v>
      </c>
      <c r="B2239" t="str">
        <f>COUNTIF($E$2:E2126,E2126)&amp;E2126</f>
        <v>0</v>
      </c>
    </row>
    <row r="2240" spans="1:2" x14ac:dyDescent="0.25">
      <c r="A2240" t="str">
        <f>COUNTIF($D$2:D2127,D2127)&amp;D2127</f>
        <v>0</v>
      </c>
      <c r="B2240" t="str">
        <f>COUNTIF($E$2:E2127,E2127)&amp;E2127</f>
        <v>0</v>
      </c>
    </row>
    <row r="2241" spans="1:2" x14ac:dyDescent="0.25">
      <c r="A2241" t="str">
        <f>COUNTIF($D$2:D2128,D2128)&amp;D2128</f>
        <v>0</v>
      </c>
      <c r="B2241" t="str">
        <f>COUNTIF($E$2:E2128,E2128)&amp;E2128</f>
        <v>0</v>
      </c>
    </row>
    <row r="2242" spans="1:2" x14ac:dyDescent="0.25">
      <c r="A2242" t="str">
        <f>COUNTIF($D$2:D2129,D2129)&amp;D2129</f>
        <v>0</v>
      </c>
      <c r="B2242" t="str">
        <f>COUNTIF($E$2:E2129,E2129)&amp;E2129</f>
        <v>0</v>
      </c>
    </row>
    <row r="2243" spans="1:2" x14ac:dyDescent="0.25">
      <c r="A2243" t="str">
        <f>COUNTIF($D$2:D2130,D2130)&amp;D2130</f>
        <v>0</v>
      </c>
      <c r="B2243" t="str">
        <f>COUNTIF($E$2:E2130,E2130)&amp;E2130</f>
        <v>0</v>
      </c>
    </row>
    <row r="2244" spans="1:2" x14ac:dyDescent="0.25">
      <c r="A2244" t="str">
        <f>COUNTIF($D$2:D2131,D2131)&amp;D2131</f>
        <v>0</v>
      </c>
      <c r="B2244" t="str">
        <f>COUNTIF($E$2:E2131,E2131)&amp;E2131</f>
        <v>0</v>
      </c>
    </row>
    <row r="2245" spans="1:2" x14ac:dyDescent="0.25">
      <c r="A2245" t="str">
        <f>COUNTIF($D$2:D2132,D2132)&amp;D2132</f>
        <v>0</v>
      </c>
      <c r="B2245" t="str">
        <f>COUNTIF($E$2:E2132,E2132)&amp;E2132</f>
        <v>0</v>
      </c>
    </row>
    <row r="2246" spans="1:2" x14ac:dyDescent="0.25">
      <c r="A2246" t="str">
        <f>COUNTIF($D$2:D2133,D2133)&amp;D2133</f>
        <v>0</v>
      </c>
      <c r="B2246" t="str">
        <f>COUNTIF($E$2:E2133,E2133)&amp;E2133</f>
        <v>0</v>
      </c>
    </row>
    <row r="2247" spans="1:2" x14ac:dyDescent="0.25">
      <c r="A2247" t="str">
        <f>COUNTIF($D$2:D2134,D2134)&amp;D2134</f>
        <v>0</v>
      </c>
      <c r="B2247" t="str">
        <f>COUNTIF($E$2:E2134,E2134)&amp;E2134</f>
        <v>0</v>
      </c>
    </row>
    <row r="2248" spans="1:2" x14ac:dyDescent="0.25">
      <c r="A2248" t="str">
        <f>COUNTIF($D$2:D2135,D2135)&amp;D2135</f>
        <v>0</v>
      </c>
      <c r="B2248" t="str">
        <f>COUNTIF($E$2:E2135,E2135)&amp;E2135</f>
        <v>0</v>
      </c>
    </row>
    <row r="2249" spans="1:2" x14ac:dyDescent="0.25">
      <c r="A2249" t="str">
        <f>COUNTIF($D$2:D2136,D2136)&amp;D2136</f>
        <v>0</v>
      </c>
      <c r="B2249" t="str">
        <f>COUNTIF($E$2:E2136,E2136)&amp;E2136</f>
        <v>0</v>
      </c>
    </row>
    <row r="2250" spans="1:2" x14ac:dyDescent="0.25">
      <c r="A2250" t="str">
        <f>COUNTIF($D$2:D2137,D2137)&amp;D2137</f>
        <v>0</v>
      </c>
      <c r="B2250" t="str">
        <f>COUNTIF($E$2:E2137,E2137)&amp;E2137</f>
        <v>0</v>
      </c>
    </row>
    <row r="2251" spans="1:2" x14ac:dyDescent="0.25">
      <c r="A2251" t="str">
        <f>COUNTIF($D$2:D2138,D2138)&amp;D2138</f>
        <v>0</v>
      </c>
      <c r="B2251" t="str">
        <f>COUNTIF($E$2:E2138,E2138)&amp;E2138</f>
        <v>0</v>
      </c>
    </row>
    <row r="2252" spans="1:2" x14ac:dyDescent="0.25">
      <c r="A2252" t="str">
        <f>COUNTIF($D$2:D2139,D2139)&amp;D2139</f>
        <v>0</v>
      </c>
      <c r="B2252" t="str">
        <f>COUNTIF($E$2:E2139,E2139)&amp;E2139</f>
        <v>0</v>
      </c>
    </row>
    <row r="2253" spans="1:2" x14ac:dyDescent="0.25">
      <c r="A2253" t="str">
        <f>COUNTIF($D$2:D2140,D2140)&amp;D2140</f>
        <v>0</v>
      </c>
      <c r="B2253" t="str">
        <f>COUNTIF($E$2:E2140,E2140)&amp;E2140</f>
        <v>0</v>
      </c>
    </row>
    <row r="2254" spans="1:2" x14ac:dyDescent="0.25">
      <c r="A2254" t="str">
        <f>COUNTIF($D$2:D2141,D2141)&amp;D2141</f>
        <v>0</v>
      </c>
      <c r="B2254" t="str">
        <f>COUNTIF($E$2:E2141,E2141)&amp;E2141</f>
        <v>0</v>
      </c>
    </row>
    <row r="2255" spans="1:2" x14ac:dyDescent="0.25">
      <c r="A2255" t="str">
        <f>COUNTIF($D$2:D2142,D2142)&amp;D2142</f>
        <v>0</v>
      </c>
      <c r="B2255" t="str">
        <f>COUNTIF($E$2:E2142,E2142)&amp;E2142</f>
        <v>0</v>
      </c>
    </row>
    <row r="2256" spans="1:2" x14ac:dyDescent="0.25">
      <c r="A2256" t="str">
        <f>COUNTIF($D$2:D2143,D2143)&amp;D2143</f>
        <v>0</v>
      </c>
      <c r="B2256" t="str">
        <f>COUNTIF($E$2:E2143,E2143)&amp;E2143</f>
        <v>0</v>
      </c>
    </row>
    <row r="2257" spans="1:2" x14ac:dyDescent="0.25">
      <c r="A2257" t="str">
        <f>COUNTIF($D$2:D2144,D2144)&amp;D2144</f>
        <v>0</v>
      </c>
      <c r="B2257" t="str">
        <f>COUNTIF($E$2:E2144,E2144)&amp;E2144</f>
        <v>0</v>
      </c>
    </row>
    <row r="2258" spans="1:2" x14ac:dyDescent="0.25">
      <c r="A2258" t="str">
        <f>COUNTIF($D$2:D2145,D2145)&amp;D2145</f>
        <v>0</v>
      </c>
      <c r="B2258" t="str">
        <f>COUNTIF($E$2:E2145,E2145)&amp;E2145</f>
        <v>0</v>
      </c>
    </row>
    <row r="2259" spans="1:2" x14ac:dyDescent="0.25">
      <c r="A2259" t="str">
        <f>COUNTIF($D$2:D2146,D2146)&amp;D2146</f>
        <v>0</v>
      </c>
      <c r="B2259" t="str">
        <f>COUNTIF($E$2:E2146,E2146)&amp;E2146</f>
        <v>0</v>
      </c>
    </row>
    <row r="2260" spans="1:2" x14ac:dyDescent="0.25">
      <c r="A2260" t="str">
        <f>COUNTIF($D$2:D2147,D2147)&amp;D2147</f>
        <v>0</v>
      </c>
      <c r="B2260" t="str">
        <f>COUNTIF($E$2:E2147,E2147)&amp;E2147</f>
        <v>0</v>
      </c>
    </row>
    <row r="2261" spans="1:2" x14ac:dyDescent="0.25">
      <c r="A2261" t="str">
        <f>COUNTIF($D$2:D2148,D2148)&amp;D2148</f>
        <v>0</v>
      </c>
      <c r="B2261" t="str">
        <f>COUNTIF($E$2:E2148,E2148)&amp;E2148</f>
        <v>0</v>
      </c>
    </row>
    <row r="2262" spans="1:2" x14ac:dyDescent="0.25">
      <c r="A2262" t="str">
        <f>COUNTIF($D$2:D2149,D2149)&amp;D2149</f>
        <v>0</v>
      </c>
      <c r="B2262" t="str">
        <f>COUNTIF($E$2:E2149,E2149)&amp;E2149</f>
        <v>0</v>
      </c>
    </row>
    <row r="2263" spans="1:2" x14ac:dyDescent="0.25">
      <c r="A2263" t="str">
        <f>COUNTIF($D$2:D2150,D2150)&amp;D2150</f>
        <v>0</v>
      </c>
      <c r="B2263" t="str">
        <f>COUNTIF($E$2:E2150,E2150)&amp;E2150</f>
        <v>0</v>
      </c>
    </row>
    <row r="2264" spans="1:2" x14ac:dyDescent="0.25">
      <c r="A2264" t="str">
        <f>COUNTIF($D$2:D2151,D2151)&amp;D2151</f>
        <v>0</v>
      </c>
      <c r="B2264" t="str">
        <f>COUNTIF($E$2:E2151,E2151)&amp;E2151</f>
        <v>0</v>
      </c>
    </row>
    <row r="2265" spans="1:2" x14ac:dyDescent="0.25">
      <c r="A2265" t="str">
        <f>COUNTIF($D$2:D2152,D2152)&amp;D2152</f>
        <v>0</v>
      </c>
      <c r="B2265" t="str">
        <f>COUNTIF($E$2:E2152,E2152)&amp;E2152</f>
        <v>0</v>
      </c>
    </row>
    <row r="2266" spans="1:2" x14ac:dyDescent="0.25">
      <c r="A2266" t="str">
        <f>COUNTIF($D$2:D2153,D2153)&amp;D2153</f>
        <v>0</v>
      </c>
      <c r="B2266" t="str">
        <f>COUNTIF($E$2:E2153,E2153)&amp;E2153</f>
        <v>0</v>
      </c>
    </row>
    <row r="2267" spans="1:2" x14ac:dyDescent="0.25">
      <c r="A2267" t="str">
        <f>COUNTIF($D$2:D2154,D2154)&amp;D2154</f>
        <v>0</v>
      </c>
      <c r="B2267" t="str">
        <f>COUNTIF($E$2:E2154,E2154)&amp;E2154</f>
        <v>0</v>
      </c>
    </row>
    <row r="2268" spans="1:2" x14ac:dyDescent="0.25">
      <c r="A2268" t="str">
        <f>COUNTIF($D$2:D2155,D2155)&amp;D2155</f>
        <v>0</v>
      </c>
      <c r="B2268" t="str">
        <f>COUNTIF($E$2:E2155,E2155)&amp;E2155</f>
        <v>0</v>
      </c>
    </row>
    <row r="2269" spans="1:2" x14ac:dyDescent="0.25">
      <c r="A2269" t="str">
        <f>COUNTIF($D$2:D2156,D2156)&amp;D2156</f>
        <v>0</v>
      </c>
      <c r="B2269" t="str">
        <f>COUNTIF($E$2:E2156,E2156)&amp;E2156</f>
        <v>0</v>
      </c>
    </row>
    <row r="2270" spans="1:2" x14ac:dyDescent="0.25">
      <c r="A2270" t="str">
        <f>COUNTIF($D$2:D2157,D2157)&amp;D2157</f>
        <v>0</v>
      </c>
      <c r="B2270" t="str">
        <f>COUNTIF($E$2:E2157,E2157)&amp;E2157</f>
        <v>0</v>
      </c>
    </row>
    <row r="2271" spans="1:2" x14ac:dyDescent="0.25">
      <c r="A2271" t="str">
        <f>COUNTIF($D$2:D2158,D2158)&amp;D2158</f>
        <v>0</v>
      </c>
      <c r="B2271" t="str">
        <f>COUNTIF($E$2:E2158,E2158)&amp;E2158</f>
        <v>0</v>
      </c>
    </row>
    <row r="2272" spans="1:2" x14ac:dyDescent="0.25">
      <c r="A2272" t="str">
        <f>COUNTIF($D$2:D2159,D2159)&amp;D2159</f>
        <v>0</v>
      </c>
      <c r="B2272" t="str">
        <f>COUNTIF($E$2:E2159,E2159)&amp;E2159</f>
        <v>0</v>
      </c>
    </row>
    <row r="2273" spans="1:2" x14ac:dyDescent="0.25">
      <c r="A2273" t="str">
        <f>COUNTIF($D$2:D2160,D2160)&amp;D2160</f>
        <v>0</v>
      </c>
      <c r="B2273" t="str">
        <f>COUNTIF($E$2:E2160,E2160)&amp;E2160</f>
        <v>0</v>
      </c>
    </row>
    <row r="2274" spans="1:2" x14ac:dyDescent="0.25">
      <c r="A2274" t="str">
        <f>COUNTIF($D$2:D2161,D2161)&amp;D2161</f>
        <v>0</v>
      </c>
      <c r="B2274" t="str">
        <f>COUNTIF($E$2:E2161,E2161)&amp;E2161</f>
        <v>0</v>
      </c>
    </row>
    <row r="2275" spans="1:2" x14ac:dyDescent="0.25">
      <c r="A2275" t="str">
        <f>COUNTIF($D$2:D2162,D2162)&amp;D2162</f>
        <v>0</v>
      </c>
      <c r="B2275" t="str">
        <f>COUNTIF($E$2:E2162,E2162)&amp;E2162</f>
        <v>0</v>
      </c>
    </row>
    <row r="2276" spans="1:2" x14ac:dyDescent="0.25">
      <c r="A2276" t="str">
        <f>COUNTIF($D$2:D2163,D2163)&amp;D2163</f>
        <v>0</v>
      </c>
      <c r="B2276" t="str">
        <f>COUNTIF($E$2:E2163,E2163)&amp;E2163</f>
        <v>0</v>
      </c>
    </row>
    <row r="2277" spans="1:2" x14ac:dyDescent="0.25">
      <c r="A2277" t="str">
        <f>COUNTIF($D$2:D2164,D2164)&amp;D2164</f>
        <v>0</v>
      </c>
      <c r="B2277" t="str">
        <f>COUNTIF($E$2:E2164,E2164)&amp;E2164</f>
        <v>0</v>
      </c>
    </row>
    <row r="2278" spans="1:2" x14ac:dyDescent="0.25">
      <c r="A2278" t="str">
        <f>COUNTIF($D$2:D2165,D2165)&amp;D2165</f>
        <v>0</v>
      </c>
      <c r="B2278" t="str">
        <f>COUNTIF($E$2:E2165,E2165)&amp;E2165</f>
        <v>0</v>
      </c>
    </row>
    <row r="2279" spans="1:2" x14ac:dyDescent="0.25">
      <c r="A2279" t="str">
        <f>COUNTIF($D$2:D2166,D2166)&amp;D2166</f>
        <v>0</v>
      </c>
      <c r="B2279" t="str">
        <f>COUNTIF($E$2:E2166,E2166)&amp;E2166</f>
        <v>0</v>
      </c>
    </row>
    <row r="2280" spans="1:2" x14ac:dyDescent="0.25">
      <c r="A2280" t="str">
        <f>COUNTIF($D$2:D2167,D2167)&amp;D2167</f>
        <v>0</v>
      </c>
      <c r="B2280" t="str">
        <f>COUNTIF($E$2:E2167,E2167)&amp;E2167</f>
        <v>0</v>
      </c>
    </row>
    <row r="2281" spans="1:2" x14ac:dyDescent="0.25">
      <c r="A2281" t="str">
        <f>COUNTIF($D$2:D2168,D2168)&amp;D2168</f>
        <v>0</v>
      </c>
      <c r="B2281" t="str">
        <f>COUNTIF($E$2:E2168,E2168)&amp;E2168</f>
        <v>0</v>
      </c>
    </row>
    <row r="2282" spans="1:2" x14ac:dyDescent="0.25">
      <c r="A2282" t="str">
        <f>COUNTIF($D$2:D2169,D2169)&amp;D2169</f>
        <v>0</v>
      </c>
      <c r="B2282" t="str">
        <f>COUNTIF($E$2:E2169,E2169)&amp;E2169</f>
        <v>0</v>
      </c>
    </row>
    <row r="2283" spans="1:2" x14ac:dyDescent="0.25">
      <c r="A2283" t="str">
        <f>COUNTIF($D$2:D2170,D2170)&amp;D2170</f>
        <v>0</v>
      </c>
      <c r="B2283" t="str">
        <f>COUNTIF($E$2:E2170,E2170)&amp;E2170</f>
        <v>0</v>
      </c>
    </row>
    <row r="2284" spans="1:2" x14ac:dyDescent="0.25">
      <c r="A2284" t="str">
        <f>COUNTIF($D$2:D2171,D2171)&amp;D2171</f>
        <v>0</v>
      </c>
      <c r="B2284" t="str">
        <f>COUNTIF($E$2:E2171,E2171)&amp;E2171</f>
        <v>0</v>
      </c>
    </row>
    <row r="2285" spans="1:2" x14ac:dyDescent="0.25">
      <c r="A2285" t="str">
        <f>COUNTIF($D$2:D2172,D2172)&amp;D2172</f>
        <v>0</v>
      </c>
      <c r="B2285" t="str">
        <f>COUNTIF($E$2:E2172,E2172)&amp;E2172</f>
        <v>0</v>
      </c>
    </row>
    <row r="2286" spans="1:2" x14ac:dyDescent="0.25">
      <c r="A2286" t="str">
        <f>COUNTIF($D$2:D2173,D2173)&amp;D2173</f>
        <v>0</v>
      </c>
      <c r="B2286" t="str">
        <f>COUNTIF($E$2:E2173,E2173)&amp;E2173</f>
        <v>0</v>
      </c>
    </row>
    <row r="2287" spans="1:2" x14ac:dyDescent="0.25">
      <c r="A2287" t="str">
        <f>COUNTIF($D$2:D2174,D2174)&amp;D2174</f>
        <v>0</v>
      </c>
      <c r="B2287" t="str">
        <f>COUNTIF($E$2:E2174,E2174)&amp;E2174</f>
        <v>0</v>
      </c>
    </row>
    <row r="2288" spans="1:2" x14ac:dyDescent="0.25">
      <c r="A2288" t="str">
        <f>COUNTIF($D$2:D2175,D2175)&amp;D2175</f>
        <v>0</v>
      </c>
      <c r="B2288" t="str">
        <f>COUNTIF($E$2:E2175,E2175)&amp;E2175</f>
        <v>0</v>
      </c>
    </row>
    <row r="2289" spans="1:2" x14ac:dyDescent="0.25">
      <c r="A2289" t="str">
        <f>COUNTIF($D$2:D2176,D2176)&amp;D2176</f>
        <v>0</v>
      </c>
      <c r="B2289" t="str">
        <f>COUNTIF($E$2:E2176,E2176)&amp;E2176</f>
        <v>0</v>
      </c>
    </row>
    <row r="2290" spans="1:2" x14ac:dyDescent="0.25">
      <c r="A2290" t="str">
        <f>COUNTIF($D$2:D2177,D2177)&amp;D2177</f>
        <v>0</v>
      </c>
      <c r="B2290" t="str">
        <f>COUNTIF($E$2:E2177,E2177)&amp;E2177</f>
        <v>0</v>
      </c>
    </row>
    <row r="2291" spans="1:2" x14ac:dyDescent="0.25">
      <c r="A2291" t="str">
        <f>COUNTIF($D$2:D2178,D2178)&amp;D2178</f>
        <v>0</v>
      </c>
      <c r="B2291" t="str">
        <f>COUNTIF($E$2:E2178,E2178)&amp;E2178</f>
        <v>0</v>
      </c>
    </row>
    <row r="2292" spans="1:2" x14ac:dyDescent="0.25">
      <c r="A2292" t="str">
        <f>COUNTIF($D$2:D2179,D2179)&amp;D2179</f>
        <v>0</v>
      </c>
      <c r="B2292" t="str">
        <f>COUNTIF($E$2:E2179,E2179)&amp;E2179</f>
        <v>0</v>
      </c>
    </row>
    <row r="2293" spans="1:2" x14ac:dyDescent="0.25">
      <c r="A2293" t="str">
        <f>COUNTIF($D$2:D2180,D2180)&amp;D2180</f>
        <v>0</v>
      </c>
      <c r="B2293" t="str">
        <f>COUNTIF($E$2:E2180,E2180)&amp;E2180</f>
        <v>0</v>
      </c>
    </row>
    <row r="2294" spans="1:2" x14ac:dyDescent="0.25">
      <c r="A2294" t="str">
        <f>COUNTIF($D$2:D2181,D2181)&amp;D2181</f>
        <v>0</v>
      </c>
      <c r="B2294" t="str">
        <f>COUNTIF($E$2:E2181,E2181)&amp;E2181</f>
        <v>0</v>
      </c>
    </row>
    <row r="2295" spans="1:2" x14ac:dyDescent="0.25">
      <c r="A2295" t="str">
        <f>COUNTIF($D$2:D2182,D2182)&amp;D2182</f>
        <v>0</v>
      </c>
      <c r="B2295" t="str">
        <f>COUNTIF($E$2:E2182,E2182)&amp;E2182</f>
        <v>0</v>
      </c>
    </row>
    <row r="2296" spans="1:2" x14ac:dyDescent="0.25">
      <c r="A2296" t="str">
        <f>COUNTIF($D$2:D2183,D2183)&amp;D2183</f>
        <v>0</v>
      </c>
      <c r="B2296" t="str">
        <f>COUNTIF($E$2:E2183,E2183)&amp;E2183</f>
        <v>0</v>
      </c>
    </row>
    <row r="2297" spans="1:2" x14ac:dyDescent="0.25">
      <c r="A2297" t="str">
        <f>COUNTIF($D$2:D2184,D2184)&amp;D2184</f>
        <v>0</v>
      </c>
      <c r="B2297" t="str">
        <f>COUNTIF($E$2:E2184,E2184)&amp;E2184</f>
        <v>0</v>
      </c>
    </row>
    <row r="2298" spans="1:2" x14ac:dyDescent="0.25">
      <c r="A2298" t="str">
        <f>COUNTIF($D$2:D2185,D2185)&amp;D2185</f>
        <v>0</v>
      </c>
      <c r="B2298" t="str">
        <f>COUNTIF($E$2:E2185,E2185)&amp;E2185</f>
        <v>0</v>
      </c>
    </row>
    <row r="2299" spans="1:2" x14ac:dyDescent="0.25">
      <c r="A2299" t="str">
        <f>COUNTIF($D$2:D2186,D2186)&amp;D2186</f>
        <v>0</v>
      </c>
      <c r="B2299" t="str">
        <f>COUNTIF($E$2:E2186,E2186)&amp;E2186</f>
        <v>0</v>
      </c>
    </row>
    <row r="2300" spans="1:2" x14ac:dyDescent="0.25">
      <c r="A2300" t="str">
        <f>COUNTIF($D$2:D2187,D2187)&amp;D2187</f>
        <v>0</v>
      </c>
      <c r="B2300" t="str">
        <f>COUNTIF($E$2:E2187,E2187)&amp;E2187</f>
        <v>0</v>
      </c>
    </row>
    <row r="2301" spans="1:2" x14ac:dyDescent="0.25">
      <c r="A2301" t="str">
        <f>COUNTIF($D$2:D2188,D2188)&amp;D2188</f>
        <v>0</v>
      </c>
      <c r="B2301" t="str">
        <f>COUNTIF($E$2:E2188,E2188)&amp;E2188</f>
        <v>0</v>
      </c>
    </row>
    <row r="2302" spans="1:2" x14ac:dyDescent="0.25">
      <c r="A2302" t="str">
        <f>COUNTIF($D$2:D2189,D2189)&amp;D2189</f>
        <v>0</v>
      </c>
      <c r="B2302" t="str">
        <f>COUNTIF($E$2:E2189,E2189)&amp;E2189</f>
        <v>0</v>
      </c>
    </row>
    <row r="2303" spans="1:2" x14ac:dyDescent="0.25">
      <c r="A2303" t="str">
        <f>COUNTIF($D$2:D2190,D2190)&amp;D2190</f>
        <v>0</v>
      </c>
      <c r="B2303" t="str">
        <f>COUNTIF($E$2:E2190,E2190)&amp;E2190</f>
        <v>0</v>
      </c>
    </row>
    <row r="2304" spans="1:2" x14ac:dyDescent="0.25">
      <c r="A2304" t="str">
        <f>COUNTIF($D$2:D2191,D2191)&amp;D2191</f>
        <v>0</v>
      </c>
      <c r="B2304" t="str">
        <f>COUNTIF($E$2:E2191,E2191)&amp;E2191</f>
        <v>0</v>
      </c>
    </row>
    <row r="2305" spans="1:2" x14ac:dyDescent="0.25">
      <c r="A2305" t="str">
        <f>COUNTIF($D$2:D2192,D2192)&amp;D2192</f>
        <v>0</v>
      </c>
      <c r="B2305" t="str">
        <f>COUNTIF($E$2:E2192,E2192)&amp;E2192</f>
        <v>0</v>
      </c>
    </row>
    <row r="2306" spans="1:2" x14ac:dyDescent="0.25">
      <c r="A2306" t="str">
        <f>COUNTIF($D$2:D2193,D2193)&amp;D2193</f>
        <v>0</v>
      </c>
      <c r="B2306" t="str">
        <f>COUNTIF($E$2:E2193,E2193)&amp;E2193</f>
        <v>0</v>
      </c>
    </row>
    <row r="2307" spans="1:2" x14ac:dyDescent="0.25">
      <c r="A2307" t="str">
        <f>COUNTIF($D$2:D2194,D2194)&amp;D2194</f>
        <v>0</v>
      </c>
      <c r="B2307" t="str">
        <f>COUNTIF($E$2:E2194,E2194)&amp;E2194</f>
        <v>0</v>
      </c>
    </row>
    <row r="2308" spans="1:2" x14ac:dyDescent="0.25">
      <c r="A2308" t="str">
        <f>COUNTIF($D$2:D2195,D2195)&amp;D2195</f>
        <v>0</v>
      </c>
      <c r="B2308" t="str">
        <f>COUNTIF($E$2:E2195,E2195)&amp;E2195</f>
        <v>0</v>
      </c>
    </row>
    <row r="2309" spans="1:2" x14ac:dyDescent="0.25">
      <c r="A2309" t="str">
        <f>COUNTIF($D$2:D2196,D2196)&amp;D2196</f>
        <v>0</v>
      </c>
      <c r="B2309" t="str">
        <f>COUNTIF($E$2:E2196,E2196)&amp;E2196</f>
        <v>0</v>
      </c>
    </row>
    <row r="2310" spans="1:2" x14ac:dyDescent="0.25">
      <c r="A2310" t="str">
        <f>COUNTIF($D$2:D2197,D2197)&amp;D2197</f>
        <v>0</v>
      </c>
      <c r="B2310" t="str">
        <f>COUNTIF($E$2:E2197,E2197)&amp;E2197</f>
        <v>0</v>
      </c>
    </row>
    <row r="2311" spans="1:2" x14ac:dyDescent="0.25">
      <c r="A2311" t="str">
        <f>COUNTIF($D$2:D2198,D2198)&amp;D2198</f>
        <v>0</v>
      </c>
      <c r="B2311" t="str">
        <f>COUNTIF($E$2:E2198,E2198)&amp;E2198</f>
        <v>0</v>
      </c>
    </row>
    <row r="2312" spans="1:2" x14ac:dyDescent="0.25">
      <c r="A2312" t="str">
        <f>COUNTIF($D$2:D2199,D2199)&amp;D2199</f>
        <v>0</v>
      </c>
      <c r="B2312" t="str">
        <f>COUNTIF($E$2:E2199,E2199)&amp;E2199</f>
        <v>0</v>
      </c>
    </row>
    <row r="2313" spans="1:2" x14ac:dyDescent="0.25">
      <c r="A2313" t="str">
        <f>COUNTIF($D$2:D2200,D2200)&amp;D2200</f>
        <v>0</v>
      </c>
      <c r="B2313" t="str">
        <f>COUNTIF($E$2:E2200,E2200)&amp;E2200</f>
        <v>0</v>
      </c>
    </row>
    <row r="2314" spans="1:2" x14ac:dyDescent="0.25">
      <c r="A2314" t="str">
        <f>COUNTIF($D$2:D2201,D2201)&amp;D2201</f>
        <v>0</v>
      </c>
      <c r="B2314" t="str">
        <f>COUNTIF($E$2:E2201,E2201)&amp;E2201</f>
        <v>0</v>
      </c>
    </row>
    <row r="2315" spans="1:2" x14ac:dyDescent="0.25">
      <c r="A2315" t="str">
        <f>COUNTIF($D$2:D2202,D2202)&amp;D2202</f>
        <v>0</v>
      </c>
      <c r="B2315" t="str">
        <f>COUNTIF($E$2:E2202,E2202)&amp;E2202</f>
        <v>0</v>
      </c>
    </row>
    <row r="2316" spans="1:2" x14ac:dyDescent="0.25">
      <c r="A2316" t="str">
        <f>COUNTIF($D$2:D2203,D2203)&amp;D2203</f>
        <v>0</v>
      </c>
      <c r="B2316" t="str">
        <f>COUNTIF($E$2:E2203,E2203)&amp;E2203</f>
        <v>0</v>
      </c>
    </row>
    <row r="2317" spans="1:2" x14ac:dyDescent="0.25">
      <c r="A2317" t="str">
        <f>COUNTIF($D$2:D2204,D2204)&amp;D2204</f>
        <v>0</v>
      </c>
      <c r="B2317" t="str">
        <f>COUNTIF($E$2:E2204,E2204)&amp;E2204</f>
        <v>0</v>
      </c>
    </row>
    <row r="2318" spans="1:2" x14ac:dyDescent="0.25">
      <c r="A2318" t="str">
        <f>COUNTIF($D$2:D2205,D2205)&amp;D2205</f>
        <v>0</v>
      </c>
      <c r="B2318" t="str">
        <f>COUNTIF($E$2:E2205,E2205)&amp;E2205</f>
        <v>0</v>
      </c>
    </row>
    <row r="2319" spans="1:2" x14ac:dyDescent="0.25">
      <c r="A2319" t="str">
        <f>COUNTIF($D$2:D2206,D2206)&amp;D2206</f>
        <v>0</v>
      </c>
      <c r="B2319" t="str">
        <f>COUNTIF($E$2:E2206,E2206)&amp;E2206</f>
        <v>0</v>
      </c>
    </row>
    <row r="2320" spans="1:2" x14ac:dyDescent="0.25">
      <c r="A2320" t="str">
        <f>COUNTIF($D$2:D2207,D2207)&amp;D2207</f>
        <v>0</v>
      </c>
      <c r="B2320" t="str">
        <f>COUNTIF($E$2:E2207,E2207)&amp;E2207</f>
        <v>0</v>
      </c>
    </row>
    <row r="2321" spans="1:2" x14ac:dyDescent="0.25">
      <c r="A2321" t="str">
        <f>COUNTIF($D$2:D2208,D2208)&amp;D2208</f>
        <v>0</v>
      </c>
      <c r="B2321" t="str">
        <f>COUNTIF($E$2:E2208,E2208)&amp;E2208</f>
        <v>0</v>
      </c>
    </row>
    <row r="2322" spans="1:2" x14ac:dyDescent="0.25">
      <c r="A2322" t="str">
        <f>COUNTIF($D$2:D2209,D2209)&amp;D2209</f>
        <v>0</v>
      </c>
      <c r="B2322" t="str">
        <f>COUNTIF($E$2:E2209,E2209)&amp;E2209</f>
        <v>0</v>
      </c>
    </row>
    <row r="2323" spans="1:2" x14ac:dyDescent="0.25">
      <c r="A2323" t="str">
        <f>COUNTIF($D$2:D2210,D2210)&amp;D2210</f>
        <v>0</v>
      </c>
      <c r="B2323" t="str">
        <f>COUNTIF($E$2:E2210,E2210)&amp;E2210</f>
        <v>0</v>
      </c>
    </row>
    <row r="2324" spans="1:2" x14ac:dyDescent="0.25">
      <c r="A2324" t="str">
        <f>COUNTIF($D$2:D2211,D2211)&amp;D2211</f>
        <v>0</v>
      </c>
      <c r="B2324" t="str">
        <f>COUNTIF($E$2:E2211,E2211)&amp;E2211</f>
        <v>0</v>
      </c>
    </row>
    <row r="2325" spans="1:2" x14ac:dyDescent="0.25">
      <c r="A2325" t="str">
        <f>COUNTIF($D$2:D2212,D2212)&amp;D2212</f>
        <v>0</v>
      </c>
      <c r="B2325" t="str">
        <f>COUNTIF($E$2:E2212,E2212)&amp;E2212</f>
        <v>0</v>
      </c>
    </row>
    <row r="2326" spans="1:2" x14ac:dyDescent="0.25">
      <c r="A2326" t="str">
        <f>COUNTIF($D$2:D2213,D2213)&amp;D2213</f>
        <v>0</v>
      </c>
      <c r="B2326" t="str">
        <f>COUNTIF($E$2:E2213,E2213)&amp;E2213</f>
        <v>0</v>
      </c>
    </row>
    <row r="2327" spans="1:2" x14ac:dyDescent="0.25">
      <c r="A2327" t="str">
        <f>COUNTIF($D$2:D2214,D2214)&amp;D2214</f>
        <v>0</v>
      </c>
      <c r="B2327" t="str">
        <f>COUNTIF($E$2:E2214,E2214)&amp;E2214</f>
        <v>0</v>
      </c>
    </row>
    <row r="2328" spans="1:2" x14ac:dyDescent="0.25">
      <c r="A2328" t="str">
        <f>COUNTIF($D$2:D2215,D2215)&amp;D2215</f>
        <v>0</v>
      </c>
      <c r="B2328" t="str">
        <f>COUNTIF($E$2:E2215,E2215)&amp;E2215</f>
        <v>0</v>
      </c>
    </row>
    <row r="2329" spans="1:2" x14ac:dyDescent="0.25">
      <c r="A2329" t="str">
        <f>COUNTIF($D$2:D2216,D2216)&amp;D2216</f>
        <v>0</v>
      </c>
      <c r="B2329" t="str">
        <f>COUNTIF($E$2:E2216,E2216)&amp;E2216</f>
        <v>0</v>
      </c>
    </row>
    <row r="2330" spans="1:2" x14ac:dyDescent="0.25">
      <c r="A2330" t="str">
        <f>COUNTIF($D$2:D2217,D2217)&amp;D2217</f>
        <v>0</v>
      </c>
      <c r="B2330" t="str">
        <f>COUNTIF($E$2:E2217,E2217)&amp;E2217</f>
        <v>0</v>
      </c>
    </row>
    <row r="2331" spans="1:2" x14ac:dyDescent="0.25">
      <c r="A2331" t="str">
        <f>COUNTIF($D$2:D2218,D2218)&amp;D2218</f>
        <v>0</v>
      </c>
      <c r="B2331" t="str">
        <f>COUNTIF($E$2:E2218,E2218)&amp;E2218</f>
        <v>0</v>
      </c>
    </row>
    <row r="2332" spans="1:2" x14ac:dyDescent="0.25">
      <c r="A2332" t="str">
        <f>COUNTIF($D$2:D2219,D2219)&amp;D2219</f>
        <v>0</v>
      </c>
      <c r="B2332" t="str">
        <f>COUNTIF($E$2:E2219,E2219)&amp;E2219</f>
        <v>0</v>
      </c>
    </row>
    <row r="2333" spans="1:2" x14ac:dyDescent="0.25">
      <c r="A2333" t="str">
        <f>COUNTIF($D$2:D2220,D2220)&amp;D2220</f>
        <v>0</v>
      </c>
      <c r="B2333" t="str">
        <f>COUNTIF($E$2:E2220,E2220)&amp;E2220</f>
        <v>0</v>
      </c>
    </row>
    <row r="2334" spans="1:2" x14ac:dyDescent="0.25">
      <c r="A2334" t="str">
        <f>COUNTIF($D$2:D2221,D2221)&amp;D2221</f>
        <v>0</v>
      </c>
      <c r="B2334" t="str">
        <f>COUNTIF($E$2:E2221,E2221)&amp;E2221</f>
        <v>0</v>
      </c>
    </row>
    <row r="2335" spans="1:2" x14ac:dyDescent="0.25">
      <c r="A2335" t="str">
        <f>COUNTIF($D$2:D2222,D2222)&amp;D2222</f>
        <v>0</v>
      </c>
      <c r="B2335" t="str">
        <f>COUNTIF($E$2:E2222,E2222)&amp;E2222</f>
        <v>0</v>
      </c>
    </row>
    <row r="2336" spans="1:2" x14ac:dyDescent="0.25">
      <c r="A2336" t="str">
        <f>COUNTIF($D$2:D2223,D2223)&amp;D2223</f>
        <v>0</v>
      </c>
      <c r="B2336" t="str">
        <f>COUNTIF($E$2:E2223,E2223)&amp;E2223</f>
        <v>0</v>
      </c>
    </row>
    <row r="2337" spans="1:2" x14ac:dyDescent="0.25">
      <c r="A2337" t="str">
        <f>COUNTIF($D$2:D2224,D2224)&amp;D2224</f>
        <v>0</v>
      </c>
      <c r="B2337" t="str">
        <f>COUNTIF($E$2:E2224,E2224)&amp;E2224</f>
        <v>0</v>
      </c>
    </row>
    <row r="2338" spans="1:2" x14ac:dyDescent="0.25">
      <c r="A2338" t="str">
        <f>COUNTIF($D$2:D2225,D2225)&amp;D2225</f>
        <v>0</v>
      </c>
      <c r="B2338" t="str">
        <f>COUNTIF($E$2:E2225,E2225)&amp;E2225</f>
        <v>0</v>
      </c>
    </row>
    <row r="2339" spans="1:2" x14ac:dyDescent="0.25">
      <c r="A2339" t="str">
        <f>COUNTIF($D$2:D2226,D2226)&amp;D2226</f>
        <v>0</v>
      </c>
      <c r="B2339" t="str">
        <f>COUNTIF($E$2:E2226,E2226)&amp;E2226</f>
        <v>0</v>
      </c>
    </row>
    <row r="2340" spans="1:2" x14ac:dyDescent="0.25">
      <c r="A2340" t="str">
        <f>COUNTIF($D$2:D2227,D2227)&amp;D2227</f>
        <v>0</v>
      </c>
      <c r="B2340" t="str">
        <f>COUNTIF($E$2:E2227,E2227)&amp;E2227</f>
        <v>0</v>
      </c>
    </row>
    <row r="2341" spans="1:2" x14ac:dyDescent="0.25">
      <c r="A2341" t="str">
        <f>COUNTIF($D$2:D2228,D2228)&amp;D2228</f>
        <v>0</v>
      </c>
      <c r="B2341" t="str">
        <f>COUNTIF($E$2:E2228,E2228)&amp;E2228</f>
        <v>0</v>
      </c>
    </row>
    <row r="2342" spans="1:2" x14ac:dyDescent="0.25">
      <c r="A2342" t="str">
        <f>COUNTIF($D$2:D2229,D2229)&amp;D2229</f>
        <v>0</v>
      </c>
      <c r="B2342" t="str">
        <f>COUNTIF($E$2:E2229,E2229)&amp;E2229</f>
        <v>0</v>
      </c>
    </row>
    <row r="2343" spans="1:2" x14ac:dyDescent="0.25">
      <c r="A2343" t="str">
        <f>COUNTIF($D$2:D2230,D2230)&amp;D2230</f>
        <v>0</v>
      </c>
      <c r="B2343" t="str">
        <f>COUNTIF($E$2:E2230,E2230)&amp;E2230</f>
        <v>0</v>
      </c>
    </row>
    <row r="2344" spans="1:2" x14ac:dyDescent="0.25">
      <c r="A2344" t="str">
        <f>COUNTIF($D$2:D2231,D2231)&amp;D2231</f>
        <v>0</v>
      </c>
      <c r="B2344" t="str">
        <f>COUNTIF($E$2:E2231,E2231)&amp;E2231</f>
        <v>0</v>
      </c>
    </row>
    <row r="2345" spans="1:2" x14ac:dyDescent="0.25">
      <c r="A2345" t="str">
        <f>COUNTIF($D$2:D2232,D2232)&amp;D2232</f>
        <v>0</v>
      </c>
      <c r="B2345" t="str">
        <f>COUNTIF($E$2:E2232,E2232)&amp;E2232</f>
        <v>0</v>
      </c>
    </row>
    <row r="2346" spans="1:2" x14ac:dyDescent="0.25">
      <c r="A2346" t="str">
        <f>COUNTIF($D$2:D2233,D2233)&amp;D2233</f>
        <v>0</v>
      </c>
      <c r="B2346" t="str">
        <f>COUNTIF($E$2:E2233,E2233)&amp;E2233</f>
        <v>0</v>
      </c>
    </row>
    <row r="2347" spans="1:2" x14ac:dyDescent="0.25">
      <c r="A2347" t="str">
        <f>COUNTIF($D$2:D2234,D2234)&amp;D2234</f>
        <v>0</v>
      </c>
      <c r="B2347" t="str">
        <f>COUNTIF($E$2:E2234,E2234)&amp;E2234</f>
        <v>0</v>
      </c>
    </row>
    <row r="2348" spans="1:2" x14ac:dyDescent="0.25">
      <c r="A2348" t="str">
        <f>COUNTIF($D$2:D2235,D2235)&amp;D2235</f>
        <v>0</v>
      </c>
      <c r="B2348" t="str">
        <f>COUNTIF($E$2:E2235,E2235)&amp;E2235</f>
        <v>0</v>
      </c>
    </row>
    <row r="2349" spans="1:2" x14ac:dyDescent="0.25">
      <c r="A2349" t="str">
        <f>COUNTIF($D$2:D2236,D2236)&amp;D2236</f>
        <v>0</v>
      </c>
      <c r="B2349" t="str">
        <f>COUNTIF($E$2:E2236,E2236)&amp;E2236</f>
        <v>0</v>
      </c>
    </row>
    <row r="2350" spans="1:2" x14ac:dyDescent="0.25">
      <c r="A2350" t="str">
        <f>COUNTIF($D$2:D2237,D2237)&amp;D2237</f>
        <v>0</v>
      </c>
      <c r="B2350" t="str">
        <f>COUNTIF($E$2:E2237,E2237)&amp;E2237</f>
        <v>0</v>
      </c>
    </row>
    <row r="2351" spans="1:2" x14ac:dyDescent="0.25">
      <c r="A2351" t="str">
        <f>COUNTIF($D$2:D2238,D2238)&amp;D2238</f>
        <v>0</v>
      </c>
      <c r="B2351" t="str">
        <f>COUNTIF($E$2:E2238,E2238)&amp;E2238</f>
        <v>0</v>
      </c>
    </row>
    <row r="2352" spans="1:2" x14ac:dyDescent="0.25">
      <c r="A2352" t="str">
        <f>COUNTIF($D$2:D2239,D2239)&amp;D2239</f>
        <v>0</v>
      </c>
      <c r="B2352" t="str">
        <f>COUNTIF($E$2:E2239,E2239)&amp;E2239</f>
        <v>0</v>
      </c>
    </row>
    <row r="2353" spans="1:2" x14ac:dyDescent="0.25">
      <c r="A2353" t="str">
        <f>COUNTIF($D$2:D2240,D2240)&amp;D2240</f>
        <v>0</v>
      </c>
      <c r="B2353" t="str">
        <f>COUNTIF($E$2:E2240,E2240)&amp;E2240</f>
        <v>0</v>
      </c>
    </row>
    <row r="2354" spans="1:2" x14ac:dyDescent="0.25">
      <c r="A2354" t="str">
        <f>COUNTIF($D$2:D2241,D2241)&amp;D2241</f>
        <v>0</v>
      </c>
      <c r="B2354" t="str">
        <f>COUNTIF($E$2:E2241,E2241)&amp;E2241</f>
        <v>0</v>
      </c>
    </row>
    <row r="2355" spans="1:2" x14ac:dyDescent="0.25">
      <c r="A2355" t="str">
        <f>COUNTIF($D$2:D2242,D2242)&amp;D2242</f>
        <v>0</v>
      </c>
      <c r="B2355" t="str">
        <f>COUNTIF($E$2:E2242,E2242)&amp;E2242</f>
        <v>0</v>
      </c>
    </row>
    <row r="2356" spans="1:2" x14ac:dyDescent="0.25">
      <c r="A2356" t="str">
        <f>COUNTIF($D$2:D2243,D2243)&amp;D2243</f>
        <v>0</v>
      </c>
      <c r="B2356" t="str">
        <f>COUNTIF($E$2:E2243,E2243)&amp;E2243</f>
        <v>0</v>
      </c>
    </row>
    <row r="2357" spans="1:2" x14ac:dyDescent="0.25">
      <c r="A2357" t="str">
        <f>COUNTIF($D$2:D2244,D2244)&amp;D2244</f>
        <v>0</v>
      </c>
      <c r="B2357" t="str">
        <f>COUNTIF($E$2:E2244,E2244)&amp;E2244</f>
        <v>0</v>
      </c>
    </row>
    <row r="2358" spans="1:2" x14ac:dyDescent="0.25">
      <c r="A2358" t="str">
        <f>COUNTIF($D$2:D2245,D2245)&amp;D2245</f>
        <v>0</v>
      </c>
      <c r="B2358" t="str">
        <f>COUNTIF($E$2:E2245,E2245)&amp;E2245</f>
        <v>0</v>
      </c>
    </row>
    <row r="2359" spans="1:2" x14ac:dyDescent="0.25">
      <c r="A2359" t="str">
        <f>COUNTIF($D$2:D2246,D2246)&amp;D2246</f>
        <v>0</v>
      </c>
      <c r="B2359" t="str">
        <f>COUNTIF($E$2:E2246,E2246)&amp;E2246</f>
        <v>0</v>
      </c>
    </row>
    <row r="2360" spans="1:2" x14ac:dyDescent="0.25">
      <c r="A2360" t="str">
        <f>COUNTIF($D$2:D2247,D2247)&amp;D2247</f>
        <v>0</v>
      </c>
      <c r="B2360" t="str">
        <f>COUNTIF($E$2:E2247,E2247)&amp;E2247</f>
        <v>0</v>
      </c>
    </row>
    <row r="2361" spans="1:2" x14ac:dyDescent="0.25">
      <c r="A2361" t="str">
        <f>COUNTIF($D$2:D2248,D2248)&amp;D2248</f>
        <v>0</v>
      </c>
      <c r="B2361" t="str">
        <f>COUNTIF($E$2:E2248,E2248)&amp;E2248</f>
        <v>0</v>
      </c>
    </row>
    <row r="2362" spans="1:2" x14ac:dyDescent="0.25">
      <c r="A2362" t="str">
        <f>COUNTIF($D$2:D2249,D2249)&amp;D2249</f>
        <v>0</v>
      </c>
      <c r="B2362" t="str">
        <f>COUNTIF($E$2:E2249,E2249)&amp;E2249</f>
        <v>0</v>
      </c>
    </row>
    <row r="2363" spans="1:2" x14ac:dyDescent="0.25">
      <c r="A2363" t="str">
        <f>COUNTIF($D$2:D2250,D2250)&amp;D2250</f>
        <v>0</v>
      </c>
      <c r="B2363" t="str">
        <f>COUNTIF($E$2:E2250,E2250)&amp;E2250</f>
        <v>0</v>
      </c>
    </row>
    <row r="2364" spans="1:2" x14ac:dyDescent="0.25">
      <c r="A2364" t="str">
        <f>COUNTIF($D$2:D2251,D2251)&amp;D2251</f>
        <v>0</v>
      </c>
      <c r="B2364" t="str">
        <f>COUNTIF($E$2:E2251,E2251)&amp;E2251</f>
        <v>0</v>
      </c>
    </row>
    <row r="2365" spans="1:2" x14ac:dyDescent="0.25">
      <c r="A2365" t="str">
        <f>COUNTIF($D$2:D2252,D2252)&amp;D2252</f>
        <v>0</v>
      </c>
      <c r="B2365" t="str">
        <f>COUNTIF($E$2:E2252,E2252)&amp;E2252</f>
        <v>0</v>
      </c>
    </row>
    <row r="2366" spans="1:2" x14ac:dyDescent="0.25">
      <c r="A2366" t="str">
        <f>COUNTIF($D$2:D2253,D2253)&amp;D2253</f>
        <v>0</v>
      </c>
      <c r="B2366" t="str">
        <f>COUNTIF($E$2:E2253,E2253)&amp;E2253</f>
        <v>0</v>
      </c>
    </row>
    <row r="2367" spans="1:2" x14ac:dyDescent="0.25">
      <c r="A2367" t="str">
        <f>COUNTIF($D$2:D2254,D2254)&amp;D2254</f>
        <v>0</v>
      </c>
      <c r="B2367" t="str">
        <f>COUNTIF($E$2:E2254,E2254)&amp;E2254</f>
        <v>0</v>
      </c>
    </row>
    <row r="2368" spans="1:2" x14ac:dyDescent="0.25">
      <c r="A2368" t="str">
        <f>COUNTIF($D$2:D2255,D2255)&amp;D2255</f>
        <v>0</v>
      </c>
      <c r="B2368" t="str">
        <f>COUNTIF($E$2:E2255,E2255)&amp;E2255</f>
        <v>0</v>
      </c>
    </row>
    <row r="2369" spans="1:2" x14ac:dyDescent="0.25">
      <c r="A2369" t="str">
        <f>COUNTIF($D$2:D2256,D2256)&amp;D2256</f>
        <v>0</v>
      </c>
      <c r="B2369" t="str">
        <f>COUNTIF($E$2:E2256,E2256)&amp;E2256</f>
        <v>0</v>
      </c>
    </row>
    <row r="2370" spans="1:2" x14ac:dyDescent="0.25">
      <c r="A2370" t="str">
        <f>COUNTIF($D$2:D2257,D2257)&amp;D2257</f>
        <v>0</v>
      </c>
      <c r="B2370" t="str">
        <f>COUNTIF($E$2:E2257,E2257)&amp;E2257</f>
        <v>0</v>
      </c>
    </row>
    <row r="2371" spans="1:2" x14ac:dyDescent="0.25">
      <c r="A2371" t="str">
        <f>COUNTIF($D$2:D2258,D2258)&amp;D2258</f>
        <v>0</v>
      </c>
      <c r="B2371" t="str">
        <f>COUNTIF($E$2:E2258,E2258)&amp;E2258</f>
        <v>0</v>
      </c>
    </row>
    <row r="2372" spans="1:2" x14ac:dyDescent="0.25">
      <c r="A2372" t="str">
        <f>COUNTIF($D$2:D2259,D2259)&amp;D2259</f>
        <v>0</v>
      </c>
      <c r="B2372" t="str">
        <f>COUNTIF($E$2:E2259,E2259)&amp;E2259</f>
        <v>0</v>
      </c>
    </row>
    <row r="2373" spans="1:2" x14ac:dyDescent="0.25">
      <c r="A2373" t="str">
        <f>COUNTIF($D$2:D2260,D2260)&amp;D2260</f>
        <v>0</v>
      </c>
      <c r="B2373" t="str">
        <f>COUNTIF($E$2:E2260,E2260)&amp;E2260</f>
        <v>0</v>
      </c>
    </row>
    <row r="2374" spans="1:2" x14ac:dyDescent="0.25">
      <c r="A2374" t="str">
        <f>COUNTIF($D$2:D2261,D2261)&amp;D2261</f>
        <v>0</v>
      </c>
      <c r="B2374" t="str">
        <f>COUNTIF($E$2:E2261,E2261)&amp;E2261</f>
        <v>0</v>
      </c>
    </row>
    <row r="2375" spans="1:2" x14ac:dyDescent="0.25">
      <c r="A2375" t="str">
        <f>COUNTIF($D$2:D2262,D2262)&amp;D2262</f>
        <v>0</v>
      </c>
      <c r="B2375" t="str">
        <f>COUNTIF($E$2:E2262,E2262)&amp;E2262</f>
        <v>0</v>
      </c>
    </row>
    <row r="2376" spans="1:2" x14ac:dyDescent="0.25">
      <c r="A2376" t="str">
        <f>COUNTIF($D$2:D2263,D2263)&amp;D2263</f>
        <v>0</v>
      </c>
      <c r="B2376" t="str">
        <f>COUNTIF($E$2:E2263,E2263)&amp;E2263</f>
        <v>0</v>
      </c>
    </row>
    <row r="2377" spans="1:2" x14ac:dyDescent="0.25">
      <c r="A2377" t="str">
        <f>COUNTIF($D$2:D2264,D2264)&amp;D2264</f>
        <v>0</v>
      </c>
      <c r="B2377" t="str">
        <f>COUNTIF($E$2:E2264,E2264)&amp;E2264</f>
        <v>0</v>
      </c>
    </row>
    <row r="2378" spans="1:2" x14ac:dyDescent="0.25">
      <c r="A2378" t="str">
        <f>COUNTIF($D$2:D2265,D2265)&amp;D2265</f>
        <v>0</v>
      </c>
      <c r="B2378" t="str">
        <f>COUNTIF($E$2:E2265,E2265)&amp;E2265</f>
        <v>0</v>
      </c>
    </row>
    <row r="2379" spans="1:2" x14ac:dyDescent="0.25">
      <c r="A2379" t="str">
        <f>COUNTIF($D$2:D2266,D2266)&amp;D2266</f>
        <v>0</v>
      </c>
      <c r="B2379" t="str">
        <f>COUNTIF($E$2:E2266,E2266)&amp;E2266</f>
        <v>0</v>
      </c>
    </row>
    <row r="2380" spans="1:2" x14ac:dyDescent="0.25">
      <c r="A2380" t="str">
        <f>COUNTIF($D$2:D2267,D2267)&amp;D2267</f>
        <v>0</v>
      </c>
      <c r="B2380" t="str">
        <f>COUNTIF($E$2:E2267,E2267)&amp;E2267</f>
        <v>0</v>
      </c>
    </row>
    <row r="2381" spans="1:2" x14ac:dyDescent="0.25">
      <c r="A2381" t="str">
        <f>COUNTIF($D$2:D2268,D2268)&amp;D2268</f>
        <v>0</v>
      </c>
      <c r="B2381" t="str">
        <f>COUNTIF($E$2:E2268,E2268)&amp;E2268</f>
        <v>0</v>
      </c>
    </row>
    <row r="2382" spans="1:2" x14ac:dyDescent="0.25">
      <c r="A2382" t="str">
        <f>COUNTIF($D$2:D2269,D2269)&amp;D2269</f>
        <v>0</v>
      </c>
      <c r="B2382" t="str">
        <f>COUNTIF($E$2:E2269,E2269)&amp;E2269</f>
        <v>0</v>
      </c>
    </row>
    <row r="2383" spans="1:2" x14ac:dyDescent="0.25">
      <c r="A2383" t="str">
        <f>COUNTIF($D$2:D2270,D2270)&amp;D2270</f>
        <v>0</v>
      </c>
      <c r="B2383" t="str">
        <f>COUNTIF($E$2:E2270,E2270)&amp;E2270</f>
        <v>0</v>
      </c>
    </row>
    <row r="2384" spans="1:2" x14ac:dyDescent="0.25">
      <c r="A2384" t="str">
        <f>COUNTIF($D$2:D2271,D2271)&amp;D2271</f>
        <v>0</v>
      </c>
      <c r="B2384" t="str">
        <f>COUNTIF($E$2:E2271,E2271)&amp;E2271</f>
        <v>0</v>
      </c>
    </row>
    <row r="2385" spans="1:2" x14ac:dyDescent="0.25">
      <c r="A2385" t="str">
        <f>COUNTIF($D$2:D2272,D2272)&amp;D2272</f>
        <v>0</v>
      </c>
      <c r="B2385" t="str">
        <f>COUNTIF($E$2:E2272,E2272)&amp;E2272</f>
        <v>0</v>
      </c>
    </row>
    <row r="2386" spans="1:2" x14ac:dyDescent="0.25">
      <c r="A2386" t="str">
        <f>COUNTIF($D$2:D2273,D2273)&amp;D2273</f>
        <v>0</v>
      </c>
      <c r="B2386" t="str">
        <f>COUNTIF($E$2:E2273,E2273)&amp;E2273</f>
        <v>0</v>
      </c>
    </row>
    <row r="2387" spans="1:2" x14ac:dyDescent="0.25">
      <c r="A2387" t="str">
        <f>COUNTIF($D$2:D2274,D2274)&amp;D2274</f>
        <v>0</v>
      </c>
      <c r="B2387" t="str">
        <f>COUNTIF($E$2:E2274,E2274)&amp;E2274</f>
        <v>0</v>
      </c>
    </row>
    <row r="2388" spans="1:2" x14ac:dyDescent="0.25">
      <c r="A2388" t="str">
        <f>COUNTIF($D$2:D2275,D2275)&amp;D2275</f>
        <v>0</v>
      </c>
      <c r="B2388" t="str">
        <f>COUNTIF($E$2:E2275,E2275)&amp;E2275</f>
        <v>0</v>
      </c>
    </row>
    <row r="2389" spans="1:2" x14ac:dyDescent="0.25">
      <c r="A2389" t="str">
        <f>COUNTIF($D$2:D2276,D2276)&amp;D2276</f>
        <v>0</v>
      </c>
      <c r="B2389" t="str">
        <f>COUNTIF($E$2:E2276,E2276)&amp;E2276</f>
        <v>0</v>
      </c>
    </row>
    <row r="2390" spans="1:2" x14ac:dyDescent="0.25">
      <c r="A2390" t="str">
        <f>COUNTIF($D$2:D2277,D2277)&amp;D2277</f>
        <v>0</v>
      </c>
      <c r="B2390" t="str">
        <f>COUNTIF($E$2:E2277,E2277)&amp;E2277</f>
        <v>0</v>
      </c>
    </row>
    <row r="2391" spans="1:2" x14ac:dyDescent="0.25">
      <c r="A2391" t="str">
        <f>COUNTIF($D$2:D2278,D2278)&amp;D2278</f>
        <v>0</v>
      </c>
      <c r="B2391" t="str">
        <f>COUNTIF($E$2:E2278,E2278)&amp;E2278</f>
        <v>0</v>
      </c>
    </row>
    <row r="2392" spans="1:2" x14ac:dyDescent="0.25">
      <c r="A2392" t="str">
        <f>COUNTIF($D$2:D2279,D2279)&amp;D2279</f>
        <v>0</v>
      </c>
      <c r="B2392" t="str">
        <f>COUNTIF($E$2:E2279,E2279)&amp;E2279</f>
        <v>0</v>
      </c>
    </row>
    <row r="2393" spans="1:2" x14ac:dyDescent="0.25">
      <c r="A2393" t="str">
        <f>COUNTIF($D$2:D2280,D2280)&amp;D2280</f>
        <v>0</v>
      </c>
      <c r="B2393" t="str">
        <f>COUNTIF($E$2:E2280,E2280)&amp;E2280</f>
        <v>0</v>
      </c>
    </row>
    <row r="2394" spans="1:2" x14ac:dyDescent="0.25">
      <c r="A2394" t="str">
        <f>COUNTIF($D$2:D2281,D2281)&amp;D2281</f>
        <v>0</v>
      </c>
      <c r="B2394" t="str">
        <f>COUNTIF($E$2:E2281,E2281)&amp;E2281</f>
        <v>0</v>
      </c>
    </row>
    <row r="2395" spans="1:2" x14ac:dyDescent="0.25">
      <c r="A2395" t="str">
        <f>COUNTIF($D$2:D2282,D2282)&amp;D2282</f>
        <v>0</v>
      </c>
      <c r="B2395" t="str">
        <f>COUNTIF($E$2:E2282,E2282)&amp;E2282</f>
        <v>0</v>
      </c>
    </row>
    <row r="2396" spans="1:2" x14ac:dyDescent="0.25">
      <c r="A2396" t="str">
        <f>COUNTIF($D$2:D2283,D2283)&amp;D2283</f>
        <v>0</v>
      </c>
      <c r="B2396" t="str">
        <f>COUNTIF($E$2:E2283,E2283)&amp;E2283</f>
        <v>0</v>
      </c>
    </row>
    <row r="2397" spans="1:2" x14ac:dyDescent="0.25">
      <c r="A2397" t="str">
        <f>COUNTIF($D$2:D2284,D2284)&amp;D2284</f>
        <v>0</v>
      </c>
      <c r="B2397" t="str">
        <f>COUNTIF($E$2:E2284,E2284)&amp;E2284</f>
        <v>0</v>
      </c>
    </row>
    <row r="2398" spans="1:2" x14ac:dyDescent="0.25">
      <c r="A2398" t="str">
        <f>COUNTIF($D$2:D2285,D2285)&amp;D2285</f>
        <v>0</v>
      </c>
      <c r="B2398" t="str">
        <f>COUNTIF($E$2:E2285,E2285)&amp;E2285</f>
        <v>0</v>
      </c>
    </row>
    <row r="2399" spans="1:2" x14ac:dyDescent="0.25">
      <c r="A2399" t="str">
        <f>COUNTIF($D$2:D2286,D2286)&amp;D2286</f>
        <v>0</v>
      </c>
      <c r="B2399" t="str">
        <f>COUNTIF($E$2:E2286,E2286)&amp;E2286</f>
        <v>0</v>
      </c>
    </row>
    <row r="2400" spans="1:2" x14ac:dyDescent="0.25">
      <c r="A2400" t="str">
        <f>COUNTIF($D$2:D2287,D2287)&amp;D2287</f>
        <v>0</v>
      </c>
      <c r="B2400" t="str">
        <f>COUNTIF($E$2:E2287,E2287)&amp;E2287</f>
        <v>0</v>
      </c>
    </row>
    <row r="2401" spans="1:2" x14ac:dyDescent="0.25">
      <c r="A2401" t="str">
        <f>COUNTIF($D$2:D2288,D2288)&amp;D2288</f>
        <v>0</v>
      </c>
      <c r="B2401" t="str">
        <f>COUNTIF($E$2:E2288,E2288)&amp;E2288</f>
        <v>0</v>
      </c>
    </row>
    <row r="2402" spans="1:2" x14ac:dyDescent="0.25">
      <c r="A2402" t="str">
        <f>COUNTIF($D$2:D2289,D2289)&amp;D2289</f>
        <v>0</v>
      </c>
      <c r="B2402" t="str">
        <f>COUNTIF($E$2:E2289,E2289)&amp;E2289</f>
        <v>0</v>
      </c>
    </row>
    <row r="2403" spans="1:2" x14ac:dyDescent="0.25">
      <c r="A2403" t="str">
        <f>COUNTIF($D$2:D2290,D2290)&amp;D2290</f>
        <v>0</v>
      </c>
      <c r="B2403" t="str">
        <f>COUNTIF($E$2:E2290,E2290)&amp;E2290</f>
        <v>0</v>
      </c>
    </row>
    <row r="2404" spans="1:2" x14ac:dyDescent="0.25">
      <c r="A2404" t="str">
        <f>COUNTIF($D$2:D2291,D2291)&amp;D2291</f>
        <v>0</v>
      </c>
      <c r="B2404" t="str">
        <f>COUNTIF($E$2:E2291,E2291)&amp;E2291</f>
        <v>0</v>
      </c>
    </row>
    <row r="2405" spans="1:2" x14ac:dyDescent="0.25">
      <c r="A2405" t="str">
        <f>COUNTIF($D$2:D2292,D2292)&amp;D2292</f>
        <v>0</v>
      </c>
      <c r="B2405" t="str">
        <f>COUNTIF($E$2:E2292,E2292)&amp;E2292</f>
        <v>0</v>
      </c>
    </row>
    <row r="2406" spans="1:2" x14ac:dyDescent="0.25">
      <c r="A2406" t="str">
        <f>COUNTIF($D$2:D2293,D2293)&amp;D2293</f>
        <v>0</v>
      </c>
      <c r="B2406" t="str">
        <f>COUNTIF($E$2:E2293,E2293)&amp;E2293</f>
        <v>0</v>
      </c>
    </row>
    <row r="2407" spans="1:2" x14ac:dyDescent="0.25">
      <c r="A2407" t="str">
        <f>COUNTIF($D$2:D2294,D2294)&amp;D2294</f>
        <v>0</v>
      </c>
      <c r="B2407" t="str">
        <f>COUNTIF($E$2:E2294,E2294)&amp;E2294</f>
        <v>0</v>
      </c>
    </row>
    <row r="2408" spans="1:2" x14ac:dyDescent="0.25">
      <c r="A2408" t="str">
        <f>COUNTIF($D$2:D2295,D2295)&amp;D2295</f>
        <v>0</v>
      </c>
      <c r="B2408" t="str">
        <f>COUNTIF($E$2:E2295,E2295)&amp;E2295</f>
        <v>0</v>
      </c>
    </row>
    <row r="2409" spans="1:2" x14ac:dyDescent="0.25">
      <c r="A2409" t="str">
        <f>COUNTIF($D$2:D2296,D2296)&amp;D2296</f>
        <v>0</v>
      </c>
      <c r="B2409" t="str">
        <f>COUNTIF($E$2:E2296,E2296)&amp;E2296</f>
        <v>0</v>
      </c>
    </row>
    <row r="2410" spans="1:2" x14ac:dyDescent="0.25">
      <c r="A2410" t="str">
        <f>COUNTIF($D$2:D2297,D2297)&amp;D2297</f>
        <v>0</v>
      </c>
      <c r="B2410" t="str">
        <f>COUNTIF($E$2:E2297,E2297)&amp;E2297</f>
        <v>0</v>
      </c>
    </row>
    <row r="2411" spans="1:2" x14ac:dyDescent="0.25">
      <c r="A2411" t="str">
        <f>COUNTIF($D$2:D2298,D2298)&amp;D2298</f>
        <v>0</v>
      </c>
      <c r="B2411" t="str">
        <f>COUNTIF($E$2:E2298,E2298)&amp;E2298</f>
        <v>0</v>
      </c>
    </row>
    <row r="2412" spans="1:2" x14ac:dyDescent="0.25">
      <c r="A2412" t="str">
        <f>COUNTIF($D$2:D2299,D2299)&amp;D2299</f>
        <v>0</v>
      </c>
      <c r="B2412" t="str">
        <f>COUNTIF($E$2:E2299,E2299)&amp;E2299</f>
        <v>0</v>
      </c>
    </row>
    <row r="2413" spans="1:2" x14ac:dyDescent="0.25">
      <c r="A2413" t="str">
        <f>COUNTIF($D$2:D2300,D2300)&amp;D2300</f>
        <v>0</v>
      </c>
      <c r="B2413" t="str">
        <f>COUNTIF($E$2:E2300,E2300)&amp;E2300</f>
        <v>0</v>
      </c>
    </row>
    <row r="2414" spans="1:2" x14ac:dyDescent="0.25">
      <c r="A2414" t="str">
        <f>COUNTIF($D$2:D2301,D2301)&amp;D2301</f>
        <v>0</v>
      </c>
      <c r="B2414" t="str">
        <f>COUNTIF($E$2:E2301,E2301)&amp;E2301</f>
        <v>0</v>
      </c>
    </row>
    <row r="2415" spans="1:2" x14ac:dyDescent="0.25">
      <c r="A2415" t="str">
        <f>COUNTIF($D$2:D2302,D2302)&amp;D2302</f>
        <v>0</v>
      </c>
      <c r="B2415" t="str">
        <f>COUNTIF($E$2:E2302,E2302)&amp;E2302</f>
        <v>0</v>
      </c>
    </row>
    <row r="2416" spans="1:2" x14ac:dyDescent="0.25">
      <c r="A2416" t="str">
        <f>COUNTIF($D$2:D2303,D2303)&amp;D2303</f>
        <v>0</v>
      </c>
      <c r="B2416" t="str">
        <f>COUNTIF($E$2:E2303,E2303)&amp;E2303</f>
        <v>0</v>
      </c>
    </row>
    <row r="2417" spans="1:2" x14ac:dyDescent="0.25">
      <c r="A2417" t="str">
        <f>COUNTIF($D$2:D2304,D2304)&amp;D2304</f>
        <v>0</v>
      </c>
      <c r="B2417" t="str">
        <f>COUNTIF($E$2:E2304,E2304)&amp;E2304</f>
        <v>0</v>
      </c>
    </row>
    <row r="2418" spans="1:2" x14ac:dyDescent="0.25">
      <c r="A2418" t="str">
        <f>COUNTIF($D$2:D2305,D2305)&amp;D2305</f>
        <v>0</v>
      </c>
      <c r="B2418" t="str">
        <f>COUNTIF($E$2:E2305,E2305)&amp;E2305</f>
        <v>0</v>
      </c>
    </row>
    <row r="2419" spans="1:2" x14ac:dyDescent="0.25">
      <c r="A2419" t="str">
        <f>COUNTIF($D$2:D2306,D2306)&amp;D2306</f>
        <v>0</v>
      </c>
      <c r="B2419" t="str">
        <f>COUNTIF($E$2:E2306,E2306)&amp;E2306</f>
        <v>0</v>
      </c>
    </row>
    <row r="2420" spans="1:2" x14ac:dyDescent="0.25">
      <c r="A2420" t="str">
        <f>COUNTIF($D$2:D2307,D2307)&amp;D2307</f>
        <v>0</v>
      </c>
      <c r="B2420" t="str">
        <f>COUNTIF($E$2:E2307,E2307)&amp;E2307</f>
        <v>0</v>
      </c>
    </row>
    <row r="2421" spans="1:2" x14ac:dyDescent="0.25">
      <c r="A2421" t="str">
        <f>COUNTIF($D$2:D2308,D2308)&amp;D2308</f>
        <v>0</v>
      </c>
      <c r="B2421" t="str">
        <f>COUNTIF($E$2:E2308,E2308)&amp;E2308</f>
        <v>0</v>
      </c>
    </row>
    <row r="2422" spans="1:2" x14ac:dyDescent="0.25">
      <c r="A2422" t="str">
        <f>COUNTIF($D$2:D2309,D2309)&amp;D2309</f>
        <v>0</v>
      </c>
      <c r="B2422" t="str">
        <f>COUNTIF($E$2:E2309,E2309)&amp;E2309</f>
        <v>0</v>
      </c>
    </row>
    <row r="2423" spans="1:2" x14ac:dyDescent="0.25">
      <c r="A2423" t="str">
        <f>COUNTIF($D$2:D2310,D2310)&amp;D2310</f>
        <v>0</v>
      </c>
      <c r="B2423" t="str">
        <f>COUNTIF($E$2:E2310,E2310)&amp;E2310</f>
        <v>0</v>
      </c>
    </row>
    <row r="2424" spans="1:2" x14ac:dyDescent="0.25">
      <c r="A2424" t="str">
        <f>COUNTIF($D$2:D2311,D2311)&amp;D2311</f>
        <v>0</v>
      </c>
      <c r="B2424" t="str">
        <f>COUNTIF($E$2:E2311,E2311)&amp;E2311</f>
        <v>0</v>
      </c>
    </row>
    <row r="2425" spans="1:2" x14ac:dyDescent="0.25">
      <c r="A2425" t="str">
        <f>COUNTIF($D$2:D2312,D2312)&amp;D2312</f>
        <v>0</v>
      </c>
      <c r="B2425" t="str">
        <f>COUNTIF($E$2:E2312,E2312)&amp;E2312</f>
        <v>0</v>
      </c>
    </row>
    <row r="2426" spans="1:2" x14ac:dyDescent="0.25">
      <c r="A2426" t="str">
        <f>COUNTIF($D$2:D2313,D2313)&amp;D2313</f>
        <v>0</v>
      </c>
      <c r="B2426" t="str">
        <f>COUNTIF($E$2:E2313,E2313)&amp;E2313</f>
        <v>0</v>
      </c>
    </row>
    <row r="2427" spans="1:2" x14ac:dyDescent="0.25">
      <c r="A2427" t="str">
        <f>COUNTIF($D$2:D2314,D2314)&amp;D2314</f>
        <v>0</v>
      </c>
      <c r="B2427" t="str">
        <f>COUNTIF($E$2:E2314,E2314)&amp;E2314</f>
        <v>0</v>
      </c>
    </row>
    <row r="2428" spans="1:2" x14ac:dyDescent="0.25">
      <c r="A2428" t="str">
        <f>COUNTIF($D$2:D2315,D2315)&amp;D2315</f>
        <v>0</v>
      </c>
      <c r="B2428" t="str">
        <f>COUNTIF($E$2:E2315,E2315)&amp;E2315</f>
        <v>0</v>
      </c>
    </row>
    <row r="2429" spans="1:2" x14ac:dyDescent="0.25">
      <c r="A2429" t="str">
        <f>COUNTIF($D$2:D2316,D2316)&amp;D2316</f>
        <v>0</v>
      </c>
      <c r="B2429" t="str">
        <f>COUNTIF($E$2:E2316,E2316)&amp;E2316</f>
        <v>0</v>
      </c>
    </row>
    <row r="2430" spans="1:2" x14ac:dyDescent="0.25">
      <c r="A2430" t="str">
        <f>COUNTIF($D$2:D2317,D2317)&amp;D2317</f>
        <v>0</v>
      </c>
      <c r="B2430" t="str">
        <f>COUNTIF($E$2:E2317,E2317)&amp;E2317</f>
        <v>0</v>
      </c>
    </row>
    <row r="2431" spans="1:2" x14ac:dyDescent="0.25">
      <c r="A2431" t="str">
        <f>COUNTIF($D$2:D2318,D2318)&amp;D2318</f>
        <v>0</v>
      </c>
      <c r="B2431" t="str">
        <f>COUNTIF($E$2:E2318,E2318)&amp;E2318</f>
        <v>0</v>
      </c>
    </row>
    <row r="2432" spans="1:2" x14ac:dyDescent="0.25">
      <c r="A2432" t="str">
        <f>COUNTIF($D$2:D2319,D2319)&amp;D2319</f>
        <v>0</v>
      </c>
      <c r="B2432" t="str">
        <f>COUNTIF($E$2:E2319,E2319)&amp;E2319</f>
        <v>0</v>
      </c>
    </row>
    <row r="2433" spans="1:2" x14ac:dyDescent="0.25">
      <c r="A2433" t="str">
        <f>COUNTIF($D$2:D2320,D2320)&amp;D2320</f>
        <v>0</v>
      </c>
      <c r="B2433" t="str">
        <f>COUNTIF($E$2:E2320,E2320)&amp;E2320</f>
        <v>0</v>
      </c>
    </row>
    <row r="2434" spans="1:2" x14ac:dyDescent="0.25">
      <c r="A2434" t="str">
        <f>COUNTIF($D$2:D2321,D2321)&amp;D2321</f>
        <v>0</v>
      </c>
      <c r="B2434" t="str">
        <f>COUNTIF($E$2:E2321,E2321)&amp;E2321</f>
        <v>0</v>
      </c>
    </row>
    <row r="2435" spans="1:2" x14ac:dyDescent="0.25">
      <c r="A2435" t="str">
        <f>COUNTIF($D$2:D2322,D2322)&amp;D2322</f>
        <v>0</v>
      </c>
      <c r="B2435" t="str">
        <f>COUNTIF($E$2:E2322,E2322)&amp;E2322</f>
        <v>0</v>
      </c>
    </row>
    <row r="2436" spans="1:2" x14ac:dyDescent="0.25">
      <c r="A2436" t="str">
        <f>COUNTIF($D$2:D2323,D2323)&amp;D2323</f>
        <v>0</v>
      </c>
      <c r="B2436" t="str">
        <f>COUNTIF($E$2:E2323,E2323)&amp;E2323</f>
        <v>0</v>
      </c>
    </row>
    <row r="2437" spans="1:2" x14ac:dyDescent="0.25">
      <c r="A2437" t="str">
        <f>COUNTIF($D$2:D2324,D2324)&amp;D2324</f>
        <v>0</v>
      </c>
      <c r="B2437" t="str">
        <f>COUNTIF($E$2:E2324,E2324)&amp;E2324</f>
        <v>0</v>
      </c>
    </row>
    <row r="2438" spans="1:2" x14ac:dyDescent="0.25">
      <c r="A2438" t="str">
        <f>COUNTIF($D$2:D2325,D2325)&amp;D2325</f>
        <v>0</v>
      </c>
      <c r="B2438" t="str">
        <f>COUNTIF($E$2:E2325,E2325)&amp;E2325</f>
        <v>0</v>
      </c>
    </row>
    <row r="2439" spans="1:2" x14ac:dyDescent="0.25">
      <c r="A2439" t="str">
        <f>COUNTIF($D$2:D2326,D2326)&amp;D2326</f>
        <v>0</v>
      </c>
      <c r="B2439" t="str">
        <f>COUNTIF($E$2:E2326,E2326)&amp;E2326</f>
        <v>0</v>
      </c>
    </row>
    <row r="2440" spans="1:2" x14ac:dyDescent="0.25">
      <c r="A2440" t="str">
        <f>COUNTIF($D$2:D2327,D2327)&amp;D2327</f>
        <v>0</v>
      </c>
      <c r="B2440" t="str">
        <f>COUNTIF($E$2:E2327,E2327)&amp;E2327</f>
        <v>0</v>
      </c>
    </row>
    <row r="2441" spans="1:2" x14ac:dyDescent="0.25">
      <c r="A2441" t="str">
        <f>COUNTIF($D$2:D2328,D2328)&amp;D2328</f>
        <v>0</v>
      </c>
      <c r="B2441" t="str">
        <f>COUNTIF($E$2:E2328,E2328)&amp;E2328</f>
        <v>0</v>
      </c>
    </row>
    <row r="2442" spans="1:2" x14ac:dyDescent="0.25">
      <c r="A2442" t="str">
        <f>COUNTIF($D$2:D2329,D2329)&amp;D2329</f>
        <v>0</v>
      </c>
      <c r="B2442" t="str">
        <f>COUNTIF($E$2:E2329,E2329)&amp;E2329</f>
        <v>0</v>
      </c>
    </row>
    <row r="2443" spans="1:2" x14ac:dyDescent="0.25">
      <c r="A2443" t="str">
        <f>COUNTIF($D$2:D2330,D2330)&amp;D2330</f>
        <v>0</v>
      </c>
      <c r="B2443" t="str">
        <f>COUNTIF($E$2:E2330,E2330)&amp;E2330</f>
        <v>0</v>
      </c>
    </row>
    <row r="2444" spans="1:2" x14ac:dyDescent="0.25">
      <c r="A2444" t="str">
        <f>COUNTIF($D$2:D2331,D2331)&amp;D2331</f>
        <v>0</v>
      </c>
      <c r="B2444" t="str">
        <f>COUNTIF($E$2:E2331,E2331)&amp;E2331</f>
        <v>0</v>
      </c>
    </row>
    <row r="2445" spans="1:2" x14ac:dyDescent="0.25">
      <c r="A2445" t="str">
        <f>COUNTIF($D$2:D2332,D2332)&amp;D2332</f>
        <v>0</v>
      </c>
      <c r="B2445" t="str">
        <f>COUNTIF($E$2:E2332,E2332)&amp;E2332</f>
        <v>0</v>
      </c>
    </row>
    <row r="2446" spans="1:2" x14ac:dyDescent="0.25">
      <c r="A2446" t="str">
        <f>COUNTIF($D$2:D2333,D2333)&amp;D2333</f>
        <v>0</v>
      </c>
      <c r="B2446" t="str">
        <f>COUNTIF($E$2:E2333,E2333)&amp;E2333</f>
        <v>0</v>
      </c>
    </row>
    <row r="2447" spans="1:2" x14ac:dyDescent="0.25">
      <c r="A2447" t="str">
        <f>COUNTIF($D$2:D2334,D2334)&amp;D2334</f>
        <v>0</v>
      </c>
      <c r="B2447" t="str">
        <f>COUNTIF($E$2:E2334,E2334)&amp;E2334</f>
        <v>0</v>
      </c>
    </row>
    <row r="2448" spans="1:2" x14ac:dyDescent="0.25">
      <c r="A2448" t="str">
        <f>COUNTIF($D$2:D2335,D2335)&amp;D2335</f>
        <v>0</v>
      </c>
      <c r="B2448" t="str">
        <f>COUNTIF($E$2:E2335,E2335)&amp;E2335</f>
        <v>0</v>
      </c>
    </row>
    <row r="2449" spans="1:2" x14ac:dyDescent="0.25">
      <c r="A2449" t="str">
        <f>COUNTIF($D$2:D2336,D2336)&amp;D2336</f>
        <v>0</v>
      </c>
      <c r="B2449" t="str">
        <f>COUNTIF($E$2:E2336,E2336)&amp;E2336</f>
        <v>0</v>
      </c>
    </row>
    <row r="2450" spans="1:2" x14ac:dyDescent="0.25">
      <c r="A2450" t="str">
        <f>COUNTIF($D$2:D2337,D2337)&amp;D2337</f>
        <v>0</v>
      </c>
      <c r="B2450" t="str">
        <f>COUNTIF($E$2:E2337,E2337)&amp;E2337</f>
        <v>0</v>
      </c>
    </row>
    <row r="2451" spans="1:2" x14ac:dyDescent="0.25">
      <c r="A2451" t="str">
        <f>COUNTIF($D$2:D2338,D2338)&amp;D2338</f>
        <v>0</v>
      </c>
      <c r="B2451" t="str">
        <f>COUNTIF($E$2:E2338,E2338)&amp;E2338</f>
        <v>0</v>
      </c>
    </row>
    <row r="2452" spans="1:2" x14ac:dyDescent="0.25">
      <c r="A2452" t="str">
        <f>COUNTIF($D$2:D2339,D2339)&amp;D2339</f>
        <v>0</v>
      </c>
      <c r="B2452" t="str">
        <f>COUNTIF($E$2:E2339,E2339)&amp;E2339</f>
        <v>0</v>
      </c>
    </row>
    <row r="2453" spans="1:2" x14ac:dyDescent="0.25">
      <c r="A2453" t="str">
        <f>COUNTIF($D$2:D2340,D2340)&amp;D2340</f>
        <v>0</v>
      </c>
      <c r="B2453" t="str">
        <f>COUNTIF($E$2:E2340,E2340)&amp;E2340</f>
        <v>0</v>
      </c>
    </row>
    <row r="2454" spans="1:2" x14ac:dyDescent="0.25">
      <c r="A2454" t="str">
        <f>COUNTIF($D$2:D2341,D2341)&amp;D2341</f>
        <v>0</v>
      </c>
      <c r="B2454" t="str">
        <f>COUNTIF($E$2:E2341,E2341)&amp;E2341</f>
        <v>0</v>
      </c>
    </row>
    <row r="2455" spans="1:2" x14ac:dyDescent="0.25">
      <c r="A2455" t="str">
        <f>COUNTIF($D$2:D2342,D2342)&amp;D2342</f>
        <v>0</v>
      </c>
      <c r="B2455" t="str">
        <f>COUNTIF($E$2:E2342,E2342)&amp;E2342</f>
        <v>0</v>
      </c>
    </row>
    <row r="2456" spans="1:2" x14ac:dyDescent="0.25">
      <c r="A2456" t="str">
        <f>COUNTIF($D$2:D2343,D2343)&amp;D2343</f>
        <v>0</v>
      </c>
      <c r="B2456" t="str">
        <f>COUNTIF($E$2:E2343,E2343)&amp;E2343</f>
        <v>0</v>
      </c>
    </row>
    <row r="2457" spans="1:2" x14ac:dyDescent="0.25">
      <c r="A2457" t="str">
        <f>COUNTIF($D$2:D2344,D2344)&amp;D2344</f>
        <v>0</v>
      </c>
      <c r="B2457" t="str">
        <f>COUNTIF($E$2:E2344,E2344)&amp;E2344</f>
        <v>0</v>
      </c>
    </row>
    <row r="2458" spans="1:2" x14ac:dyDescent="0.25">
      <c r="A2458" t="str">
        <f>COUNTIF($D$2:D2345,D2345)&amp;D2345</f>
        <v>0</v>
      </c>
      <c r="B2458" t="str">
        <f>COUNTIF($E$2:E2345,E2345)&amp;E2345</f>
        <v>0</v>
      </c>
    </row>
    <row r="2459" spans="1:2" x14ac:dyDescent="0.25">
      <c r="A2459" t="str">
        <f>COUNTIF($D$2:D2346,D2346)&amp;D2346</f>
        <v>0</v>
      </c>
      <c r="B2459" t="str">
        <f>COUNTIF($E$2:E2346,E2346)&amp;E2346</f>
        <v>0</v>
      </c>
    </row>
    <row r="2460" spans="1:2" x14ac:dyDescent="0.25">
      <c r="A2460" t="str">
        <f>COUNTIF($D$2:D2347,D2347)&amp;D2347</f>
        <v>0</v>
      </c>
      <c r="B2460" t="str">
        <f>COUNTIF($E$2:E2347,E2347)&amp;E2347</f>
        <v>0</v>
      </c>
    </row>
    <row r="2461" spans="1:2" x14ac:dyDescent="0.25">
      <c r="A2461" t="str">
        <f>COUNTIF($D$2:D2348,D2348)&amp;D2348</f>
        <v>0</v>
      </c>
      <c r="B2461" t="str">
        <f>COUNTIF($E$2:E2348,E2348)&amp;E2348</f>
        <v>0</v>
      </c>
    </row>
    <row r="2462" spans="1:2" x14ac:dyDescent="0.25">
      <c r="A2462" t="str">
        <f>COUNTIF($D$2:D2349,D2349)&amp;D2349</f>
        <v>0</v>
      </c>
      <c r="B2462" t="str">
        <f>COUNTIF($E$2:E2349,E2349)&amp;E2349</f>
        <v>0</v>
      </c>
    </row>
    <row r="2463" spans="1:2" x14ac:dyDescent="0.25">
      <c r="A2463" t="str">
        <f>COUNTIF($D$2:D2350,D2350)&amp;D2350</f>
        <v>0</v>
      </c>
      <c r="B2463" t="str">
        <f>COUNTIF($E$2:E2350,E2350)&amp;E2350</f>
        <v>0</v>
      </c>
    </row>
    <row r="2464" spans="1:2" x14ac:dyDescent="0.25">
      <c r="A2464" t="str">
        <f>COUNTIF($D$2:D2351,D2351)&amp;D2351</f>
        <v>0</v>
      </c>
      <c r="B2464" t="str">
        <f>COUNTIF($E$2:E2351,E2351)&amp;E2351</f>
        <v>0</v>
      </c>
    </row>
    <row r="2465" spans="1:2" x14ac:dyDescent="0.25">
      <c r="A2465" t="str">
        <f>COUNTIF($D$2:D2352,D2352)&amp;D2352</f>
        <v>0</v>
      </c>
      <c r="B2465" t="str">
        <f>COUNTIF($E$2:E2352,E2352)&amp;E2352</f>
        <v>0</v>
      </c>
    </row>
    <row r="2466" spans="1:2" x14ac:dyDescent="0.25">
      <c r="A2466" t="str">
        <f>COUNTIF($D$2:D2353,D2353)&amp;D2353</f>
        <v>0</v>
      </c>
      <c r="B2466" t="str">
        <f>COUNTIF($E$2:E2353,E2353)&amp;E2353</f>
        <v>0</v>
      </c>
    </row>
    <row r="2467" spans="1:2" x14ac:dyDescent="0.25">
      <c r="A2467" t="str">
        <f>COUNTIF($D$2:D2354,D2354)&amp;D2354</f>
        <v>0</v>
      </c>
      <c r="B2467" t="str">
        <f>COUNTIF($E$2:E2354,E2354)&amp;E2354</f>
        <v>0</v>
      </c>
    </row>
    <row r="2468" spans="1:2" x14ac:dyDescent="0.25">
      <c r="A2468" t="str">
        <f>COUNTIF($D$2:D2355,D2355)&amp;D2355</f>
        <v>0</v>
      </c>
      <c r="B2468" t="str">
        <f>COUNTIF($E$2:E2355,E2355)&amp;E2355</f>
        <v>0</v>
      </c>
    </row>
    <row r="2469" spans="1:2" x14ac:dyDescent="0.25">
      <c r="A2469" t="str">
        <f>COUNTIF($D$2:D2356,D2356)&amp;D2356</f>
        <v>0</v>
      </c>
      <c r="B2469" t="str">
        <f>COUNTIF($E$2:E2356,E2356)&amp;E2356</f>
        <v>0</v>
      </c>
    </row>
    <row r="2470" spans="1:2" x14ac:dyDescent="0.25">
      <c r="A2470" t="str">
        <f>COUNTIF($D$2:D2357,D2357)&amp;D2357</f>
        <v>0</v>
      </c>
      <c r="B2470" t="str">
        <f>COUNTIF($E$2:E2357,E2357)&amp;E2357</f>
        <v>0</v>
      </c>
    </row>
    <row r="2471" spans="1:2" x14ac:dyDescent="0.25">
      <c r="A2471" t="str">
        <f>COUNTIF($D$2:D2358,D2358)&amp;D2358</f>
        <v>0</v>
      </c>
      <c r="B2471" t="str">
        <f>COUNTIF($E$2:E2358,E2358)&amp;E2358</f>
        <v>0</v>
      </c>
    </row>
    <row r="2472" spans="1:2" x14ac:dyDescent="0.25">
      <c r="A2472" t="str">
        <f>COUNTIF($D$2:D2359,D2359)&amp;D2359</f>
        <v>0</v>
      </c>
      <c r="B2472" t="str">
        <f>COUNTIF($E$2:E2359,E2359)&amp;E2359</f>
        <v>0</v>
      </c>
    </row>
    <row r="2473" spans="1:2" x14ac:dyDescent="0.25">
      <c r="A2473" t="str">
        <f>COUNTIF($D$2:D2360,D2360)&amp;D2360</f>
        <v>0</v>
      </c>
      <c r="B2473" t="str">
        <f>COUNTIF($E$2:E2360,E2360)&amp;E2360</f>
        <v>0</v>
      </c>
    </row>
    <row r="2474" spans="1:2" x14ac:dyDescent="0.25">
      <c r="A2474" t="str">
        <f>COUNTIF($D$2:D2361,D2361)&amp;D2361</f>
        <v>0</v>
      </c>
      <c r="B2474" t="str">
        <f>COUNTIF($E$2:E2361,E2361)&amp;E2361</f>
        <v>0</v>
      </c>
    </row>
    <row r="2475" spans="1:2" x14ac:dyDescent="0.25">
      <c r="A2475" t="str">
        <f>COUNTIF($D$2:D2362,D2362)&amp;D2362</f>
        <v>0</v>
      </c>
      <c r="B2475" t="str">
        <f>COUNTIF($E$2:E2362,E2362)&amp;E2362</f>
        <v>0</v>
      </c>
    </row>
    <row r="2476" spans="1:2" x14ac:dyDescent="0.25">
      <c r="A2476" t="str">
        <f>COUNTIF($D$2:D2363,D2363)&amp;D2363</f>
        <v>0</v>
      </c>
      <c r="B2476" t="str">
        <f>COUNTIF($E$2:E2363,E2363)&amp;E2363</f>
        <v>0</v>
      </c>
    </row>
    <row r="2477" spans="1:2" x14ac:dyDescent="0.25">
      <c r="A2477" t="str">
        <f>COUNTIF($D$2:D2364,D2364)&amp;D2364</f>
        <v>0</v>
      </c>
      <c r="B2477" t="str">
        <f>COUNTIF($E$2:E2364,E2364)&amp;E2364</f>
        <v>0</v>
      </c>
    </row>
    <row r="2478" spans="1:2" x14ac:dyDescent="0.25">
      <c r="A2478" t="str">
        <f>COUNTIF($D$2:D2365,D2365)&amp;D2365</f>
        <v>0</v>
      </c>
      <c r="B2478" t="str">
        <f>COUNTIF($E$2:E2365,E2365)&amp;E2365</f>
        <v>0</v>
      </c>
    </row>
    <row r="2479" spans="1:2" x14ac:dyDescent="0.25">
      <c r="A2479" t="str">
        <f>COUNTIF($D$2:D2366,D2366)&amp;D2366</f>
        <v>0</v>
      </c>
      <c r="B2479" t="str">
        <f>COUNTIF($E$2:E2366,E2366)&amp;E2366</f>
        <v>0</v>
      </c>
    </row>
    <row r="2480" spans="1:2" x14ac:dyDescent="0.25">
      <c r="A2480" t="str">
        <f>COUNTIF($D$2:D2367,D2367)&amp;D2367</f>
        <v>0</v>
      </c>
      <c r="B2480" t="str">
        <f>COUNTIF($E$2:E2367,E2367)&amp;E2367</f>
        <v>0</v>
      </c>
    </row>
    <row r="2481" spans="1:2" x14ac:dyDescent="0.25">
      <c r="A2481" t="str">
        <f>COUNTIF($D$2:D2368,D2368)&amp;D2368</f>
        <v>0</v>
      </c>
      <c r="B2481" t="str">
        <f>COUNTIF($E$2:E2368,E2368)&amp;E2368</f>
        <v>0</v>
      </c>
    </row>
    <row r="2482" spans="1:2" x14ac:dyDescent="0.25">
      <c r="A2482" t="str">
        <f>COUNTIF($D$2:D2369,D2369)&amp;D2369</f>
        <v>0</v>
      </c>
      <c r="B2482" t="str">
        <f>COUNTIF($E$2:E2369,E2369)&amp;E2369</f>
        <v>0</v>
      </c>
    </row>
    <row r="2483" spans="1:2" x14ac:dyDescent="0.25">
      <c r="A2483" t="str">
        <f>COUNTIF($D$2:D2370,D2370)&amp;D2370</f>
        <v>0</v>
      </c>
      <c r="B2483" t="str">
        <f>COUNTIF($E$2:E2370,E2370)&amp;E2370</f>
        <v>0</v>
      </c>
    </row>
    <row r="2484" spans="1:2" x14ac:dyDescent="0.25">
      <c r="A2484" t="str">
        <f>COUNTIF($D$2:D2371,D2371)&amp;D2371</f>
        <v>0</v>
      </c>
      <c r="B2484" t="str">
        <f>COUNTIF($E$2:E2371,E2371)&amp;E2371</f>
        <v>0</v>
      </c>
    </row>
    <row r="2485" spans="1:2" x14ac:dyDescent="0.25">
      <c r="A2485" t="str">
        <f>COUNTIF($D$2:D2372,D2372)&amp;D2372</f>
        <v>0</v>
      </c>
      <c r="B2485" t="str">
        <f>COUNTIF($E$2:E2372,E2372)&amp;E2372</f>
        <v>0</v>
      </c>
    </row>
    <row r="2486" spans="1:2" x14ac:dyDescent="0.25">
      <c r="A2486" t="str">
        <f>COUNTIF($D$2:D2373,D2373)&amp;D2373</f>
        <v>0</v>
      </c>
      <c r="B2486" t="str">
        <f>COUNTIF($E$2:E2373,E2373)&amp;E2373</f>
        <v>0</v>
      </c>
    </row>
    <row r="2487" spans="1:2" x14ac:dyDescent="0.25">
      <c r="A2487" t="str">
        <f>COUNTIF($D$2:D2374,D2374)&amp;D2374</f>
        <v>0</v>
      </c>
      <c r="B2487" t="str">
        <f>COUNTIF($E$2:E2374,E2374)&amp;E2374</f>
        <v>0</v>
      </c>
    </row>
    <row r="2488" spans="1:2" x14ac:dyDescent="0.25">
      <c r="A2488" t="str">
        <f>COUNTIF($D$2:D2375,D2375)&amp;D2375</f>
        <v>0</v>
      </c>
      <c r="B2488" t="str">
        <f>COUNTIF($E$2:E2375,E2375)&amp;E2375</f>
        <v>0</v>
      </c>
    </row>
    <row r="2489" spans="1:2" x14ac:dyDescent="0.25">
      <c r="A2489" t="str">
        <f>COUNTIF($D$2:D2376,D2376)&amp;D2376</f>
        <v>0</v>
      </c>
      <c r="B2489" t="str">
        <f>COUNTIF($E$2:E2376,E2376)&amp;E2376</f>
        <v>0</v>
      </c>
    </row>
    <row r="2490" spans="1:2" x14ac:dyDescent="0.25">
      <c r="A2490" t="str">
        <f>COUNTIF($D$2:D2377,D2377)&amp;D2377</f>
        <v>0</v>
      </c>
      <c r="B2490" t="str">
        <f>COUNTIF($E$2:E2377,E2377)&amp;E2377</f>
        <v>0</v>
      </c>
    </row>
    <row r="2491" spans="1:2" x14ac:dyDescent="0.25">
      <c r="A2491" t="str">
        <f>COUNTIF($D$2:D2378,D2378)&amp;D2378</f>
        <v>0</v>
      </c>
      <c r="B2491" t="str">
        <f>COUNTIF($E$2:E2378,E2378)&amp;E2378</f>
        <v>0</v>
      </c>
    </row>
    <row r="2492" spans="1:2" x14ac:dyDescent="0.25">
      <c r="A2492" t="str">
        <f>COUNTIF($D$2:D2379,D2379)&amp;D2379</f>
        <v>0</v>
      </c>
      <c r="B2492" t="str">
        <f>COUNTIF($E$2:E2379,E2379)&amp;E2379</f>
        <v>0</v>
      </c>
    </row>
    <row r="2493" spans="1:2" x14ac:dyDescent="0.25">
      <c r="A2493" t="str">
        <f>COUNTIF($D$2:D2380,D2380)&amp;D2380</f>
        <v>0</v>
      </c>
      <c r="B2493" t="str">
        <f>COUNTIF($E$2:E2380,E2380)&amp;E2380</f>
        <v>0</v>
      </c>
    </row>
    <row r="2494" spans="1:2" x14ac:dyDescent="0.25">
      <c r="A2494" t="str">
        <f>COUNTIF($D$2:D2381,D2381)&amp;D2381</f>
        <v>0</v>
      </c>
      <c r="B2494" t="str">
        <f>COUNTIF($E$2:E2381,E2381)&amp;E2381</f>
        <v>0</v>
      </c>
    </row>
    <row r="2495" spans="1:2" x14ac:dyDescent="0.25">
      <c r="A2495" t="str">
        <f>COUNTIF($D$2:D2382,D2382)&amp;D2382</f>
        <v>0</v>
      </c>
      <c r="B2495" t="str">
        <f>COUNTIF($E$2:E2382,E2382)&amp;E2382</f>
        <v>0</v>
      </c>
    </row>
    <row r="2496" spans="1:2" x14ac:dyDescent="0.25">
      <c r="A2496" t="str">
        <f>COUNTIF($D$2:D2383,D2383)&amp;D2383</f>
        <v>0</v>
      </c>
      <c r="B2496" t="str">
        <f>COUNTIF($E$2:E2383,E2383)&amp;E2383</f>
        <v>0</v>
      </c>
    </row>
    <row r="2497" spans="1:2" x14ac:dyDescent="0.25">
      <c r="A2497" t="str">
        <f>COUNTIF($D$2:D2384,D2384)&amp;D2384</f>
        <v>0</v>
      </c>
      <c r="B2497" t="str">
        <f>COUNTIF($E$2:E2384,E2384)&amp;E2384</f>
        <v>0</v>
      </c>
    </row>
    <row r="2498" spans="1:2" x14ac:dyDescent="0.25">
      <c r="A2498" t="str">
        <f>COUNTIF($D$2:D2385,D2385)&amp;D2385</f>
        <v>0</v>
      </c>
      <c r="B2498" t="str">
        <f>COUNTIF($E$2:E2385,E2385)&amp;E2385</f>
        <v>0</v>
      </c>
    </row>
    <row r="2499" spans="1:2" x14ac:dyDescent="0.25">
      <c r="A2499" t="str">
        <f>COUNTIF($D$2:D2386,D2386)&amp;D2386</f>
        <v>0</v>
      </c>
      <c r="B2499" t="str">
        <f>COUNTIF($E$2:E2386,E2386)&amp;E2386</f>
        <v>0</v>
      </c>
    </row>
    <row r="2500" spans="1:2" x14ac:dyDescent="0.25">
      <c r="A2500" t="str">
        <f>COUNTIF($D$2:D2387,D2387)&amp;D2387</f>
        <v>0</v>
      </c>
      <c r="B2500" t="str">
        <f>COUNTIF($E$2:E2387,E2387)&amp;E2387</f>
        <v>0</v>
      </c>
    </row>
    <row r="2501" spans="1:2" x14ac:dyDescent="0.25">
      <c r="A2501" t="str">
        <f>COUNTIF($D$2:D2388,D2388)&amp;D2388</f>
        <v>0</v>
      </c>
      <c r="B2501" t="str">
        <f>COUNTIF($E$2:E2388,E2388)&amp;E2388</f>
        <v>0</v>
      </c>
    </row>
    <row r="2502" spans="1:2" x14ac:dyDescent="0.25">
      <c r="A2502" t="str">
        <f>COUNTIF($D$2:D2389,D2389)&amp;D2389</f>
        <v>0</v>
      </c>
      <c r="B2502" t="str">
        <f>COUNTIF($E$2:E2389,E2389)&amp;E2389</f>
        <v>0</v>
      </c>
    </row>
    <row r="2503" spans="1:2" x14ac:dyDescent="0.25">
      <c r="A2503" t="str">
        <f>COUNTIF($D$2:D2390,D2390)&amp;D2390</f>
        <v>0</v>
      </c>
      <c r="B2503" t="str">
        <f>COUNTIF($E$2:E2390,E2390)&amp;E2390</f>
        <v>0</v>
      </c>
    </row>
    <row r="2504" spans="1:2" x14ac:dyDescent="0.25">
      <c r="A2504" t="str">
        <f>COUNTIF($D$2:D2391,D2391)&amp;D2391</f>
        <v>0</v>
      </c>
      <c r="B2504" t="str">
        <f>COUNTIF($E$2:E2391,E2391)&amp;E2391</f>
        <v>0</v>
      </c>
    </row>
    <row r="2505" spans="1:2" x14ac:dyDescent="0.25">
      <c r="A2505" t="str">
        <f>COUNTIF($D$2:D2392,D2392)&amp;D2392</f>
        <v>0</v>
      </c>
      <c r="B2505" t="str">
        <f>COUNTIF($E$2:E2392,E2392)&amp;E2392</f>
        <v>0</v>
      </c>
    </row>
    <row r="2506" spans="1:2" x14ac:dyDescent="0.25">
      <c r="A2506" t="str">
        <f>COUNTIF($D$2:D2393,D2393)&amp;D2393</f>
        <v>0</v>
      </c>
      <c r="B2506" t="str">
        <f>COUNTIF($E$2:E2393,E2393)&amp;E2393</f>
        <v>0</v>
      </c>
    </row>
    <row r="2507" spans="1:2" x14ac:dyDescent="0.25">
      <c r="A2507" t="str">
        <f>COUNTIF($D$2:D2394,D2394)&amp;D2394</f>
        <v>0</v>
      </c>
      <c r="B2507" t="str">
        <f>COUNTIF($E$2:E2394,E2394)&amp;E2394</f>
        <v>0</v>
      </c>
    </row>
    <row r="2508" spans="1:2" x14ac:dyDescent="0.25">
      <c r="A2508" t="str">
        <f>COUNTIF($D$2:D2395,D2395)&amp;D2395</f>
        <v>0</v>
      </c>
      <c r="B2508" t="str">
        <f>COUNTIF($E$2:E2395,E2395)&amp;E2395</f>
        <v>0</v>
      </c>
    </row>
    <row r="2509" spans="1:2" x14ac:dyDescent="0.25">
      <c r="A2509" t="str">
        <f>COUNTIF($D$2:D2396,D2396)&amp;D2396</f>
        <v>0</v>
      </c>
      <c r="B2509" t="str">
        <f>COUNTIF($E$2:E2396,E2396)&amp;E2396</f>
        <v>0</v>
      </c>
    </row>
    <row r="2510" spans="1:2" x14ac:dyDescent="0.25">
      <c r="A2510" t="str">
        <f>COUNTIF($D$2:D2397,D2397)&amp;D2397</f>
        <v>0</v>
      </c>
      <c r="B2510" t="str">
        <f>COUNTIF($E$2:E2397,E2397)&amp;E2397</f>
        <v>0</v>
      </c>
    </row>
    <row r="2511" spans="1:2" x14ac:dyDescent="0.25">
      <c r="A2511" t="str">
        <f>COUNTIF($D$2:D2398,D2398)&amp;D2398</f>
        <v>0</v>
      </c>
      <c r="B2511" t="str">
        <f>COUNTIF($E$2:E2398,E2398)&amp;E2398</f>
        <v>0</v>
      </c>
    </row>
    <row r="2512" spans="1:2" x14ac:dyDescent="0.25">
      <c r="A2512" t="str">
        <f>COUNTIF($D$2:D2399,D2399)&amp;D2399</f>
        <v>0</v>
      </c>
      <c r="B2512" t="str">
        <f>COUNTIF($E$2:E2399,E2399)&amp;E2399</f>
        <v>0</v>
      </c>
    </row>
    <row r="2513" spans="1:2" x14ac:dyDescent="0.25">
      <c r="A2513" t="str">
        <f>COUNTIF($D$2:D2400,D2400)&amp;D2400</f>
        <v>0</v>
      </c>
      <c r="B2513" t="str">
        <f>COUNTIF($E$2:E2400,E2400)&amp;E2400</f>
        <v>0</v>
      </c>
    </row>
    <row r="2514" spans="1:2" x14ac:dyDescent="0.25">
      <c r="A2514" t="str">
        <f>COUNTIF($D$2:D2401,D2401)&amp;D2401</f>
        <v>0</v>
      </c>
      <c r="B2514" t="str">
        <f>COUNTIF($E$2:E2401,E2401)&amp;E2401</f>
        <v>0</v>
      </c>
    </row>
    <row r="2515" spans="1:2" x14ac:dyDescent="0.25">
      <c r="A2515" t="str">
        <f>COUNTIF($D$2:D2402,D2402)&amp;D2402</f>
        <v>0</v>
      </c>
      <c r="B2515" t="str">
        <f>COUNTIF($E$2:E2402,E2402)&amp;E2402</f>
        <v>0</v>
      </c>
    </row>
    <row r="2516" spans="1:2" x14ac:dyDescent="0.25">
      <c r="A2516" t="str">
        <f>COUNTIF($D$2:D2403,D2403)&amp;D2403</f>
        <v>0</v>
      </c>
      <c r="B2516" t="str">
        <f>COUNTIF($E$2:E2403,E2403)&amp;E2403</f>
        <v>0</v>
      </c>
    </row>
    <row r="2517" spans="1:2" x14ac:dyDescent="0.25">
      <c r="A2517" t="str">
        <f>COUNTIF($D$2:D2404,D2404)&amp;D2404</f>
        <v>0</v>
      </c>
      <c r="B2517" t="str">
        <f>COUNTIF($E$2:E2404,E2404)&amp;E2404</f>
        <v>0</v>
      </c>
    </row>
    <row r="2518" spans="1:2" x14ac:dyDescent="0.25">
      <c r="A2518" t="str">
        <f>COUNTIF($D$2:D2405,D2405)&amp;D2405</f>
        <v>0</v>
      </c>
      <c r="B2518" t="str">
        <f>COUNTIF($E$2:E2405,E2405)&amp;E2405</f>
        <v>0</v>
      </c>
    </row>
    <row r="2519" spans="1:2" x14ac:dyDescent="0.25">
      <c r="A2519" t="str">
        <f>COUNTIF($D$2:D2406,D2406)&amp;D2406</f>
        <v>0</v>
      </c>
      <c r="B2519" t="str">
        <f>COUNTIF($E$2:E2406,E2406)&amp;E2406</f>
        <v>0</v>
      </c>
    </row>
    <row r="2520" spans="1:2" x14ac:dyDescent="0.25">
      <c r="A2520" t="str">
        <f>COUNTIF($D$2:D2407,D2407)&amp;D2407</f>
        <v>0</v>
      </c>
      <c r="B2520" t="str">
        <f>COUNTIF($E$2:E2407,E2407)&amp;E2407</f>
        <v>0</v>
      </c>
    </row>
    <row r="2521" spans="1:2" x14ac:dyDescent="0.25">
      <c r="A2521" t="str">
        <f>COUNTIF($D$2:D2408,D2408)&amp;D2408</f>
        <v>0</v>
      </c>
      <c r="B2521" t="str">
        <f>COUNTIF($E$2:E2408,E2408)&amp;E2408</f>
        <v>0</v>
      </c>
    </row>
    <row r="2522" spans="1:2" x14ac:dyDescent="0.25">
      <c r="A2522" t="str">
        <f>COUNTIF($D$2:D2409,D2409)&amp;D2409</f>
        <v>0</v>
      </c>
      <c r="B2522" t="str">
        <f>COUNTIF($E$2:E2409,E2409)&amp;E2409</f>
        <v>0</v>
      </c>
    </row>
    <row r="2523" spans="1:2" x14ac:dyDescent="0.25">
      <c r="A2523" t="str">
        <f>COUNTIF($D$2:D2410,D2410)&amp;D2410</f>
        <v>0</v>
      </c>
      <c r="B2523" t="str">
        <f>COUNTIF($E$2:E2410,E2410)&amp;E2410</f>
        <v>0</v>
      </c>
    </row>
    <row r="2524" spans="1:2" x14ac:dyDescent="0.25">
      <c r="A2524" t="str">
        <f>COUNTIF($D$2:D2411,D2411)&amp;D2411</f>
        <v>0</v>
      </c>
      <c r="B2524" t="str">
        <f>COUNTIF($E$2:E2411,E2411)&amp;E2411</f>
        <v>0</v>
      </c>
    </row>
    <row r="2525" spans="1:2" x14ac:dyDescent="0.25">
      <c r="A2525" t="str">
        <f>COUNTIF($D$2:D2412,D2412)&amp;D2412</f>
        <v>0</v>
      </c>
      <c r="B2525" t="str">
        <f>COUNTIF($E$2:E2412,E2412)&amp;E2412</f>
        <v>0</v>
      </c>
    </row>
    <row r="2526" spans="1:2" x14ac:dyDescent="0.25">
      <c r="A2526" t="str">
        <f>COUNTIF($D$2:D2413,D2413)&amp;D2413</f>
        <v>0</v>
      </c>
      <c r="B2526" t="str">
        <f>COUNTIF($E$2:E2413,E2413)&amp;E2413</f>
        <v>0</v>
      </c>
    </row>
    <row r="2527" spans="1:2" x14ac:dyDescent="0.25">
      <c r="A2527" t="str">
        <f>COUNTIF($D$2:D2414,D2414)&amp;D2414</f>
        <v>0</v>
      </c>
      <c r="B2527" t="str">
        <f>COUNTIF($E$2:E2414,E2414)&amp;E2414</f>
        <v>0</v>
      </c>
    </row>
    <row r="2528" spans="1:2" x14ac:dyDescent="0.25">
      <c r="A2528" t="str">
        <f>COUNTIF($D$2:D2415,D2415)&amp;D2415</f>
        <v>0</v>
      </c>
      <c r="B2528" t="str">
        <f>COUNTIF($E$2:E2415,E2415)&amp;E2415</f>
        <v>0</v>
      </c>
    </row>
    <row r="2529" spans="1:2" x14ac:dyDescent="0.25">
      <c r="A2529" t="str">
        <f>COUNTIF($D$2:D2416,D2416)&amp;D2416</f>
        <v>0</v>
      </c>
      <c r="B2529" t="str">
        <f>COUNTIF($E$2:E2416,E2416)&amp;E2416</f>
        <v>0</v>
      </c>
    </row>
    <row r="2530" spans="1:2" x14ac:dyDescent="0.25">
      <c r="A2530" t="str">
        <f>COUNTIF($D$2:D2417,D2417)&amp;D2417</f>
        <v>0</v>
      </c>
      <c r="B2530" t="str">
        <f>COUNTIF($E$2:E2417,E2417)&amp;E2417</f>
        <v>0</v>
      </c>
    </row>
    <row r="2531" spans="1:2" x14ac:dyDescent="0.25">
      <c r="A2531" t="str">
        <f>COUNTIF($D$2:D2418,D2418)&amp;D2418</f>
        <v>0</v>
      </c>
      <c r="B2531" t="str">
        <f>COUNTIF($E$2:E2418,E2418)&amp;E2418</f>
        <v>0</v>
      </c>
    </row>
    <row r="2532" spans="1:2" x14ac:dyDescent="0.25">
      <c r="A2532" t="str">
        <f>COUNTIF($D$2:D2419,D2419)&amp;D2419</f>
        <v>0</v>
      </c>
      <c r="B2532" t="str">
        <f>COUNTIF($E$2:E2419,E2419)&amp;E2419</f>
        <v>0</v>
      </c>
    </row>
    <row r="2533" spans="1:2" x14ac:dyDescent="0.25">
      <c r="A2533" t="str">
        <f>COUNTIF($D$2:D2420,D2420)&amp;D2420</f>
        <v>0</v>
      </c>
      <c r="B2533" t="str">
        <f>COUNTIF($E$2:E2420,E2420)&amp;E2420</f>
        <v>0</v>
      </c>
    </row>
    <row r="2534" spans="1:2" x14ac:dyDescent="0.25">
      <c r="A2534" t="str">
        <f>COUNTIF($D$2:D2421,D2421)&amp;D2421</f>
        <v>0</v>
      </c>
      <c r="B2534" t="str">
        <f>COUNTIF($E$2:E2421,E2421)&amp;E2421</f>
        <v>0</v>
      </c>
    </row>
    <row r="2535" spans="1:2" x14ac:dyDescent="0.25">
      <c r="A2535" t="str">
        <f>COUNTIF($D$2:D2422,D2422)&amp;D2422</f>
        <v>0</v>
      </c>
      <c r="B2535" t="str">
        <f>COUNTIF($E$2:E2422,E2422)&amp;E2422</f>
        <v>0</v>
      </c>
    </row>
    <row r="2536" spans="1:2" x14ac:dyDescent="0.25">
      <c r="A2536" t="str">
        <f>COUNTIF($D$2:D2423,D2423)&amp;D2423</f>
        <v>0</v>
      </c>
      <c r="B2536" t="str">
        <f>COUNTIF($E$2:E2423,E2423)&amp;E2423</f>
        <v>0</v>
      </c>
    </row>
    <row r="2537" spans="1:2" x14ac:dyDescent="0.25">
      <c r="A2537" t="str">
        <f>COUNTIF($D$2:D2424,D2424)&amp;D2424</f>
        <v>0</v>
      </c>
      <c r="B2537" t="str">
        <f>COUNTIF($E$2:E2424,E2424)&amp;E2424</f>
        <v>0</v>
      </c>
    </row>
    <row r="2538" spans="1:2" x14ac:dyDescent="0.25">
      <c r="A2538" t="str">
        <f>COUNTIF($D$2:D2425,D2425)&amp;D2425</f>
        <v>0</v>
      </c>
      <c r="B2538" t="str">
        <f>COUNTIF($E$2:E2425,E2425)&amp;E2425</f>
        <v>0</v>
      </c>
    </row>
    <row r="2539" spans="1:2" x14ac:dyDescent="0.25">
      <c r="A2539" t="str">
        <f>COUNTIF($D$2:D2426,D2426)&amp;D2426</f>
        <v>0</v>
      </c>
      <c r="B2539" t="str">
        <f>COUNTIF($E$2:E2426,E2426)&amp;E2426</f>
        <v>0</v>
      </c>
    </row>
    <row r="2540" spans="1:2" x14ac:dyDescent="0.25">
      <c r="A2540" t="str">
        <f>COUNTIF($D$2:D2427,D2427)&amp;D2427</f>
        <v>0</v>
      </c>
      <c r="B2540" t="str">
        <f>COUNTIF($E$2:E2427,E2427)&amp;E2427</f>
        <v>0</v>
      </c>
    </row>
    <row r="2541" spans="1:2" x14ac:dyDescent="0.25">
      <c r="A2541" t="str">
        <f>COUNTIF($D$2:D2428,D2428)&amp;D2428</f>
        <v>0</v>
      </c>
      <c r="B2541" t="str">
        <f>COUNTIF($E$2:E2428,E2428)&amp;E2428</f>
        <v>0</v>
      </c>
    </row>
    <row r="2542" spans="1:2" x14ac:dyDescent="0.25">
      <c r="A2542" t="str">
        <f>COUNTIF($D$2:D2429,D2429)&amp;D2429</f>
        <v>0</v>
      </c>
      <c r="B2542" t="str">
        <f>COUNTIF($E$2:E2429,E2429)&amp;E2429</f>
        <v>0</v>
      </c>
    </row>
    <row r="2543" spans="1:2" x14ac:dyDescent="0.25">
      <c r="A2543" t="str">
        <f>COUNTIF($D$2:D2430,D2430)&amp;D2430</f>
        <v>0</v>
      </c>
      <c r="B2543" t="str">
        <f>COUNTIF($E$2:E2430,E2430)&amp;E2430</f>
        <v>0</v>
      </c>
    </row>
    <row r="2544" spans="1:2" x14ac:dyDescent="0.25">
      <c r="A2544" t="str">
        <f>COUNTIF($D$2:D2431,D2431)&amp;D2431</f>
        <v>0</v>
      </c>
      <c r="B2544" t="str">
        <f>COUNTIF($E$2:E2431,E2431)&amp;E2431</f>
        <v>0</v>
      </c>
    </row>
    <row r="2545" spans="1:2" x14ac:dyDescent="0.25">
      <c r="A2545" t="str">
        <f>COUNTIF($D$2:D2432,D2432)&amp;D2432</f>
        <v>0</v>
      </c>
      <c r="B2545" t="str">
        <f>COUNTIF($E$2:E2432,E2432)&amp;E2432</f>
        <v>0</v>
      </c>
    </row>
    <row r="2546" spans="1:2" x14ac:dyDescent="0.25">
      <c r="A2546" t="str">
        <f>COUNTIF($D$2:D2433,D2433)&amp;D2433</f>
        <v>0</v>
      </c>
      <c r="B2546" t="str">
        <f>COUNTIF($E$2:E2433,E2433)&amp;E2433</f>
        <v>0</v>
      </c>
    </row>
    <row r="2547" spans="1:2" x14ac:dyDescent="0.25">
      <c r="A2547" t="str">
        <f>COUNTIF($D$2:D2434,D2434)&amp;D2434</f>
        <v>0</v>
      </c>
      <c r="B2547" t="str">
        <f>COUNTIF($E$2:E2434,E2434)&amp;E2434</f>
        <v>0</v>
      </c>
    </row>
    <row r="2548" spans="1:2" x14ac:dyDescent="0.25">
      <c r="A2548" t="str">
        <f>COUNTIF($D$2:D2435,D2435)&amp;D2435</f>
        <v>0</v>
      </c>
      <c r="B2548" t="str">
        <f>COUNTIF($E$2:E2435,E2435)&amp;E2435</f>
        <v>0</v>
      </c>
    </row>
    <row r="2549" spans="1:2" x14ac:dyDescent="0.25">
      <c r="A2549" t="str">
        <f>COUNTIF($D$2:D2436,D2436)&amp;D2436</f>
        <v>0</v>
      </c>
      <c r="B2549" t="str">
        <f>COUNTIF($E$2:E2436,E2436)&amp;E2436</f>
        <v>0</v>
      </c>
    </row>
    <row r="2550" spans="1:2" x14ac:dyDescent="0.25">
      <c r="A2550" t="str">
        <f>COUNTIF($D$2:D2437,D2437)&amp;D2437</f>
        <v>0</v>
      </c>
      <c r="B2550" t="str">
        <f>COUNTIF($E$2:E2437,E2437)&amp;E2437</f>
        <v>0</v>
      </c>
    </row>
    <row r="2551" spans="1:2" x14ac:dyDescent="0.25">
      <c r="A2551" t="str">
        <f>COUNTIF($D$2:D2438,D2438)&amp;D2438</f>
        <v>0</v>
      </c>
      <c r="B2551" t="str">
        <f>COUNTIF($E$2:E2438,E2438)&amp;E2438</f>
        <v>0</v>
      </c>
    </row>
    <row r="2552" spans="1:2" x14ac:dyDescent="0.25">
      <c r="A2552" t="str">
        <f>COUNTIF($D$2:D2439,D2439)&amp;D2439</f>
        <v>0</v>
      </c>
      <c r="B2552" t="str">
        <f>COUNTIF($E$2:E2439,E2439)&amp;E2439</f>
        <v>0</v>
      </c>
    </row>
    <row r="2553" spans="1:2" x14ac:dyDescent="0.25">
      <c r="A2553" t="str">
        <f>COUNTIF($D$2:D2440,D2440)&amp;D2440</f>
        <v>0</v>
      </c>
      <c r="B2553" t="str">
        <f>COUNTIF($E$2:E2440,E2440)&amp;E2440</f>
        <v>0</v>
      </c>
    </row>
    <row r="2554" spans="1:2" x14ac:dyDescent="0.25">
      <c r="A2554" t="str">
        <f>COUNTIF($D$2:D2441,D2441)&amp;D2441</f>
        <v>0</v>
      </c>
      <c r="B2554" t="str">
        <f>COUNTIF($E$2:E2441,E2441)&amp;E2441</f>
        <v>0</v>
      </c>
    </row>
    <row r="2555" spans="1:2" x14ac:dyDescent="0.25">
      <c r="A2555" t="str">
        <f>COUNTIF($D$2:D2442,D2442)&amp;D2442</f>
        <v>0</v>
      </c>
      <c r="B2555" t="str">
        <f>COUNTIF($E$2:E2442,E2442)&amp;E2442</f>
        <v>0</v>
      </c>
    </row>
    <row r="2556" spans="1:2" x14ac:dyDescent="0.25">
      <c r="A2556" t="str">
        <f>COUNTIF($D$2:D2443,D2443)&amp;D2443</f>
        <v>0</v>
      </c>
      <c r="B2556" t="str">
        <f>COUNTIF($E$2:E2443,E2443)&amp;E2443</f>
        <v>0</v>
      </c>
    </row>
    <row r="2557" spans="1:2" x14ac:dyDescent="0.25">
      <c r="A2557" t="str">
        <f>COUNTIF($D$2:D2444,D2444)&amp;D2444</f>
        <v>0</v>
      </c>
      <c r="B2557" t="str">
        <f>COUNTIF($E$2:E2444,E2444)&amp;E2444</f>
        <v>0</v>
      </c>
    </row>
    <row r="2558" spans="1:2" x14ac:dyDescent="0.25">
      <c r="A2558" t="str">
        <f>COUNTIF($D$2:D2445,D2445)&amp;D2445</f>
        <v>0</v>
      </c>
      <c r="B2558" t="str">
        <f>COUNTIF($E$2:E2445,E2445)&amp;E2445</f>
        <v>0</v>
      </c>
    </row>
    <row r="2559" spans="1:2" x14ac:dyDescent="0.25">
      <c r="A2559" t="str">
        <f>COUNTIF($D$2:D2446,D2446)&amp;D2446</f>
        <v>0</v>
      </c>
      <c r="B2559" t="str">
        <f>COUNTIF($E$2:E2446,E2446)&amp;E2446</f>
        <v>0</v>
      </c>
    </row>
    <row r="2560" spans="1:2" x14ac:dyDescent="0.25">
      <c r="A2560" t="str">
        <f>COUNTIF($D$2:D2447,D2447)&amp;D2447</f>
        <v>0</v>
      </c>
      <c r="B2560" t="str">
        <f>COUNTIF($E$2:E2447,E2447)&amp;E2447</f>
        <v>0</v>
      </c>
    </row>
    <row r="2561" spans="1:2" x14ac:dyDescent="0.25">
      <c r="A2561" t="str">
        <f>COUNTIF($D$2:D2448,D2448)&amp;D2448</f>
        <v>0</v>
      </c>
      <c r="B2561" t="str">
        <f>COUNTIF($E$2:E2448,E2448)&amp;E2448</f>
        <v>0</v>
      </c>
    </row>
    <row r="2562" spans="1:2" x14ac:dyDescent="0.25">
      <c r="A2562" t="str">
        <f>COUNTIF($D$2:D2449,D2449)&amp;D2449</f>
        <v>0</v>
      </c>
      <c r="B2562" t="str">
        <f>COUNTIF($E$2:E2449,E2449)&amp;E2449</f>
        <v>0</v>
      </c>
    </row>
    <row r="2563" spans="1:2" x14ac:dyDescent="0.25">
      <c r="A2563" t="str">
        <f>COUNTIF($D$2:D2450,D2450)&amp;D2450</f>
        <v>0</v>
      </c>
      <c r="B2563" t="str">
        <f>COUNTIF($E$2:E2450,E2450)&amp;E2450</f>
        <v>0</v>
      </c>
    </row>
    <row r="2564" spans="1:2" x14ac:dyDescent="0.25">
      <c r="A2564" t="str">
        <f>COUNTIF($D$2:D2451,D2451)&amp;D2451</f>
        <v>0</v>
      </c>
      <c r="B2564" t="str">
        <f>COUNTIF($E$2:E2451,E2451)&amp;E2451</f>
        <v>0</v>
      </c>
    </row>
    <row r="2565" spans="1:2" x14ac:dyDescent="0.25">
      <c r="A2565" t="str">
        <f>COUNTIF($D$2:D2452,D2452)&amp;D2452</f>
        <v>0</v>
      </c>
      <c r="B2565" t="str">
        <f>COUNTIF($E$2:E2452,E2452)&amp;E2452</f>
        <v>0</v>
      </c>
    </row>
    <row r="2566" spans="1:2" x14ac:dyDescent="0.25">
      <c r="A2566" t="str">
        <f>COUNTIF($D$2:D2453,D2453)&amp;D2453</f>
        <v>0</v>
      </c>
      <c r="B2566" t="str">
        <f>COUNTIF($E$2:E2453,E2453)&amp;E2453</f>
        <v>0</v>
      </c>
    </row>
    <row r="2567" spans="1:2" x14ac:dyDescent="0.25">
      <c r="A2567" t="str">
        <f>COUNTIF($D$2:D2454,D2454)&amp;D2454</f>
        <v>0</v>
      </c>
      <c r="B2567" t="str">
        <f>COUNTIF($E$2:E2454,E2454)&amp;E2454</f>
        <v>0</v>
      </c>
    </row>
    <row r="2568" spans="1:2" x14ac:dyDescent="0.25">
      <c r="A2568" t="str">
        <f>COUNTIF($D$2:D2455,D2455)&amp;D2455</f>
        <v>0</v>
      </c>
      <c r="B2568" t="str">
        <f>COUNTIF($E$2:E2455,E2455)&amp;E2455</f>
        <v>0</v>
      </c>
    </row>
    <row r="2569" spans="1:2" x14ac:dyDescent="0.25">
      <c r="A2569" t="str">
        <f>COUNTIF($D$2:D2456,D2456)&amp;D2456</f>
        <v>0</v>
      </c>
      <c r="B2569" t="str">
        <f>COUNTIF($E$2:E2456,E2456)&amp;E2456</f>
        <v>0</v>
      </c>
    </row>
    <row r="2570" spans="1:2" x14ac:dyDescent="0.25">
      <c r="A2570" t="str">
        <f>COUNTIF($D$2:D2457,D2457)&amp;D2457</f>
        <v>0</v>
      </c>
      <c r="B2570" t="str">
        <f>COUNTIF($E$2:E2457,E2457)&amp;E2457</f>
        <v>0</v>
      </c>
    </row>
    <row r="2571" spans="1:2" x14ac:dyDescent="0.25">
      <c r="A2571" t="str">
        <f>COUNTIF($D$2:D2458,D2458)&amp;D2458</f>
        <v>0</v>
      </c>
      <c r="B2571" t="str">
        <f>COUNTIF($E$2:E2458,E2458)&amp;E2458</f>
        <v>0</v>
      </c>
    </row>
    <row r="2572" spans="1:2" x14ac:dyDescent="0.25">
      <c r="A2572" t="str">
        <f>COUNTIF($D$2:D2459,D2459)&amp;D2459</f>
        <v>0</v>
      </c>
      <c r="B2572" t="str">
        <f>COUNTIF($E$2:E2459,E2459)&amp;E2459</f>
        <v>0</v>
      </c>
    </row>
    <row r="2573" spans="1:2" x14ac:dyDescent="0.25">
      <c r="A2573" t="str">
        <f>COUNTIF($D$2:D2460,D2460)&amp;D2460</f>
        <v>0</v>
      </c>
      <c r="B2573" t="str">
        <f>COUNTIF($E$2:E2460,E2460)&amp;E2460</f>
        <v>0</v>
      </c>
    </row>
    <row r="2574" spans="1:2" x14ac:dyDescent="0.25">
      <c r="A2574" t="str">
        <f>COUNTIF($D$2:D2461,D2461)&amp;D2461</f>
        <v>0</v>
      </c>
      <c r="B2574" t="str">
        <f>COUNTIF($E$2:E2461,E2461)&amp;E2461</f>
        <v>0</v>
      </c>
    </row>
    <row r="2575" spans="1:2" x14ac:dyDescent="0.25">
      <c r="A2575" t="str">
        <f>COUNTIF($D$2:D2462,D2462)&amp;D2462</f>
        <v>0</v>
      </c>
      <c r="B2575" t="str">
        <f>COUNTIF($E$2:E2462,E2462)&amp;E2462</f>
        <v>0</v>
      </c>
    </row>
    <row r="2576" spans="1:2" x14ac:dyDescent="0.25">
      <c r="A2576" t="str">
        <f>COUNTIF($D$2:D2463,D2463)&amp;D2463</f>
        <v>0</v>
      </c>
      <c r="B2576" t="str">
        <f>COUNTIF($E$2:E2463,E2463)&amp;E2463</f>
        <v>0</v>
      </c>
    </row>
    <row r="2577" spans="1:2" x14ac:dyDescent="0.25">
      <c r="A2577" t="str">
        <f>COUNTIF($D$2:D2464,D2464)&amp;D2464</f>
        <v>0</v>
      </c>
      <c r="B2577" t="str">
        <f>COUNTIF($E$2:E2464,E2464)&amp;E2464</f>
        <v>0</v>
      </c>
    </row>
    <row r="2578" spans="1:2" x14ac:dyDescent="0.25">
      <c r="A2578" t="str">
        <f>COUNTIF($D$2:D2465,D2465)&amp;D2465</f>
        <v>0</v>
      </c>
      <c r="B2578" t="str">
        <f>COUNTIF($E$2:E2465,E2465)&amp;E2465</f>
        <v>0</v>
      </c>
    </row>
    <row r="2579" spans="1:2" x14ac:dyDescent="0.25">
      <c r="A2579" t="str">
        <f>COUNTIF($D$2:D2466,D2466)&amp;D2466</f>
        <v>0</v>
      </c>
      <c r="B2579" t="str">
        <f>COUNTIF($E$2:E2466,E2466)&amp;E2466</f>
        <v>0</v>
      </c>
    </row>
    <row r="2580" spans="1:2" x14ac:dyDescent="0.25">
      <c r="A2580" t="str">
        <f>COUNTIF($D$2:D2467,D2467)&amp;D2467</f>
        <v>0</v>
      </c>
      <c r="B2580" t="str">
        <f>COUNTIF($E$2:E2467,E2467)&amp;E2467</f>
        <v>0</v>
      </c>
    </row>
    <row r="2581" spans="1:2" x14ac:dyDescent="0.25">
      <c r="A2581" t="str">
        <f>COUNTIF($D$2:D2468,D2468)&amp;D2468</f>
        <v>0</v>
      </c>
      <c r="B2581" t="str">
        <f>COUNTIF($E$2:E2468,E2468)&amp;E2468</f>
        <v>0</v>
      </c>
    </row>
    <row r="2582" spans="1:2" x14ac:dyDescent="0.25">
      <c r="A2582" t="str">
        <f>COUNTIF($D$2:D2469,D2469)&amp;D2469</f>
        <v>0</v>
      </c>
      <c r="B2582" t="str">
        <f>COUNTIF($E$2:E2469,E2469)&amp;E2469</f>
        <v>0</v>
      </c>
    </row>
    <row r="2583" spans="1:2" x14ac:dyDescent="0.25">
      <c r="A2583" t="str">
        <f>COUNTIF($D$2:D2470,D2470)&amp;D2470</f>
        <v>0</v>
      </c>
      <c r="B2583" t="str">
        <f>COUNTIF($E$2:E2470,E2470)&amp;E2470</f>
        <v>0</v>
      </c>
    </row>
    <row r="2584" spans="1:2" x14ac:dyDescent="0.25">
      <c r="A2584" t="str">
        <f>COUNTIF($D$2:D2471,D2471)&amp;D2471</f>
        <v>0</v>
      </c>
      <c r="B2584" t="str">
        <f>COUNTIF($E$2:E2471,E2471)&amp;E2471</f>
        <v>0</v>
      </c>
    </row>
    <row r="2585" spans="1:2" x14ac:dyDescent="0.25">
      <c r="A2585" t="str">
        <f>COUNTIF($D$2:D2472,D2472)&amp;D2472</f>
        <v>0</v>
      </c>
      <c r="B2585" t="str">
        <f>COUNTIF($E$2:E2472,E2472)&amp;E2472</f>
        <v>0</v>
      </c>
    </row>
    <row r="2586" spans="1:2" x14ac:dyDescent="0.25">
      <c r="A2586" t="str">
        <f>COUNTIF($D$2:D2473,D2473)&amp;D2473</f>
        <v>0</v>
      </c>
      <c r="B2586" t="str">
        <f>COUNTIF($E$2:E2473,E2473)&amp;E2473</f>
        <v>0</v>
      </c>
    </row>
    <row r="2587" spans="1:2" x14ac:dyDescent="0.25">
      <c r="A2587" t="str">
        <f>COUNTIF($D$2:D2474,D2474)&amp;D2474</f>
        <v>0</v>
      </c>
      <c r="B2587" t="str">
        <f>COUNTIF($E$2:E2474,E2474)&amp;E2474</f>
        <v>0</v>
      </c>
    </row>
    <row r="2588" spans="1:2" x14ac:dyDescent="0.25">
      <c r="A2588" t="str">
        <f>COUNTIF($D$2:D2475,D2475)&amp;D2475</f>
        <v>0</v>
      </c>
      <c r="B2588" t="str">
        <f>COUNTIF($E$2:E2475,E2475)&amp;E2475</f>
        <v>0</v>
      </c>
    </row>
    <row r="2589" spans="1:2" x14ac:dyDescent="0.25">
      <c r="A2589" t="str">
        <f>COUNTIF($D$2:D2476,D2476)&amp;D2476</f>
        <v>0</v>
      </c>
      <c r="B2589" t="str">
        <f>COUNTIF($E$2:E2476,E2476)&amp;E2476</f>
        <v>0</v>
      </c>
    </row>
    <row r="2590" spans="1:2" x14ac:dyDescent="0.25">
      <c r="A2590" t="str">
        <f>COUNTIF($D$2:D2477,D2477)&amp;D2477</f>
        <v>0</v>
      </c>
      <c r="B2590" t="str">
        <f>COUNTIF($E$2:E2477,E2477)&amp;E2477</f>
        <v>0</v>
      </c>
    </row>
    <row r="2591" spans="1:2" x14ac:dyDescent="0.25">
      <c r="A2591" t="str">
        <f>COUNTIF($D$2:D2478,D2478)&amp;D2478</f>
        <v>0</v>
      </c>
      <c r="B2591" t="str">
        <f>COUNTIF($E$2:E2478,E2478)&amp;E2478</f>
        <v>0</v>
      </c>
    </row>
    <row r="2592" spans="1:2" x14ac:dyDescent="0.25">
      <c r="A2592" t="str">
        <f>COUNTIF($D$2:D2479,D2479)&amp;D2479</f>
        <v>0</v>
      </c>
      <c r="B2592" t="str">
        <f>COUNTIF($E$2:E2479,E2479)&amp;E2479</f>
        <v>0</v>
      </c>
    </row>
    <row r="2593" spans="1:2" x14ac:dyDescent="0.25">
      <c r="A2593" t="str">
        <f>COUNTIF($D$2:D2480,D2480)&amp;D2480</f>
        <v>0</v>
      </c>
      <c r="B2593" t="str">
        <f>COUNTIF($E$2:E2480,E2480)&amp;E2480</f>
        <v>0</v>
      </c>
    </row>
    <row r="2594" spans="1:2" x14ac:dyDescent="0.25">
      <c r="A2594" t="str">
        <f>COUNTIF($D$2:D2481,D2481)&amp;D2481</f>
        <v>0</v>
      </c>
      <c r="B2594" t="str">
        <f>COUNTIF($E$2:E2481,E2481)&amp;E2481</f>
        <v>0</v>
      </c>
    </row>
    <row r="2595" spans="1:2" x14ac:dyDescent="0.25">
      <c r="A2595" t="str">
        <f>COUNTIF($D$2:D2482,D2482)&amp;D2482</f>
        <v>0</v>
      </c>
      <c r="B2595" t="str">
        <f>COUNTIF($E$2:E2482,E2482)&amp;E2482</f>
        <v>0</v>
      </c>
    </row>
    <row r="2596" spans="1:2" x14ac:dyDescent="0.25">
      <c r="A2596" t="str">
        <f>COUNTIF($D$2:D2483,D2483)&amp;D2483</f>
        <v>0</v>
      </c>
      <c r="B2596" t="str">
        <f>COUNTIF($E$2:E2483,E2483)&amp;E2483</f>
        <v>0</v>
      </c>
    </row>
    <row r="2597" spans="1:2" x14ac:dyDescent="0.25">
      <c r="A2597" t="str">
        <f>COUNTIF($D$2:D2484,D2484)&amp;D2484</f>
        <v>0</v>
      </c>
      <c r="B2597" t="str">
        <f>COUNTIF($E$2:E2484,E2484)&amp;E2484</f>
        <v>0</v>
      </c>
    </row>
    <row r="2598" spans="1:2" x14ac:dyDescent="0.25">
      <c r="A2598" t="str">
        <f>COUNTIF($D$2:D2485,D2485)&amp;D2485</f>
        <v>0</v>
      </c>
      <c r="B2598" t="str">
        <f>COUNTIF($E$2:E2485,E2485)&amp;E2485</f>
        <v>0</v>
      </c>
    </row>
    <row r="2599" spans="1:2" x14ac:dyDescent="0.25">
      <c r="A2599" t="str">
        <f>COUNTIF($D$2:D2486,D2486)&amp;D2486</f>
        <v>0</v>
      </c>
      <c r="B2599" t="str">
        <f>COUNTIF($E$2:E2486,E2486)&amp;E2486</f>
        <v>0</v>
      </c>
    </row>
    <row r="2600" spans="1:2" x14ac:dyDescent="0.25">
      <c r="A2600" t="str">
        <f>COUNTIF($D$2:D2487,D2487)&amp;D2487</f>
        <v>0</v>
      </c>
      <c r="B2600" t="str">
        <f>COUNTIF($E$2:E2487,E2487)&amp;E2487</f>
        <v>0</v>
      </c>
    </row>
    <row r="2601" spans="1:2" x14ac:dyDescent="0.25">
      <c r="A2601" t="str">
        <f>COUNTIF($D$2:D2488,D2488)&amp;D2488</f>
        <v>0</v>
      </c>
      <c r="B2601" t="str">
        <f>COUNTIF($E$2:E2488,E2488)&amp;E2488</f>
        <v>0</v>
      </c>
    </row>
    <row r="2602" spans="1:2" x14ac:dyDescent="0.25">
      <c r="A2602" t="str">
        <f>COUNTIF($D$2:D2489,D2489)&amp;D2489</f>
        <v>0</v>
      </c>
      <c r="B2602" t="str">
        <f>COUNTIF($E$2:E2489,E2489)&amp;E2489</f>
        <v>0</v>
      </c>
    </row>
    <row r="2603" spans="1:2" x14ac:dyDescent="0.25">
      <c r="A2603" t="str">
        <f>COUNTIF($D$2:D2490,D2490)&amp;D2490</f>
        <v>0</v>
      </c>
      <c r="B2603" t="str">
        <f>COUNTIF($E$2:E2490,E2490)&amp;E2490</f>
        <v>0</v>
      </c>
    </row>
    <row r="2604" spans="1:2" x14ac:dyDescent="0.25">
      <c r="A2604" t="str">
        <f>COUNTIF($D$2:D2491,D2491)&amp;D2491</f>
        <v>0</v>
      </c>
      <c r="B2604" t="str">
        <f>COUNTIF($E$2:E2491,E2491)&amp;E2491</f>
        <v>0</v>
      </c>
    </row>
    <row r="2605" spans="1:2" x14ac:dyDescent="0.25">
      <c r="A2605" t="str">
        <f>COUNTIF($D$2:D2492,D2492)&amp;D2492</f>
        <v>0</v>
      </c>
      <c r="B2605" t="str">
        <f>COUNTIF($E$2:E2492,E2492)&amp;E2492</f>
        <v>0</v>
      </c>
    </row>
    <row r="2606" spans="1:2" x14ac:dyDescent="0.25">
      <c r="A2606" t="str">
        <f>COUNTIF($D$2:D2493,D2493)&amp;D2493</f>
        <v>0</v>
      </c>
      <c r="B2606" t="str">
        <f>COUNTIF($E$2:E2493,E2493)&amp;E2493</f>
        <v>0</v>
      </c>
    </row>
    <row r="2607" spans="1:2" x14ac:dyDescent="0.25">
      <c r="A2607" t="str">
        <f>COUNTIF($D$2:D2494,D2494)&amp;D2494</f>
        <v>0</v>
      </c>
      <c r="B2607" t="str">
        <f>COUNTIF($E$2:E2494,E2494)&amp;E2494</f>
        <v>0</v>
      </c>
    </row>
    <row r="2608" spans="1:2" x14ac:dyDescent="0.25">
      <c r="A2608" t="str">
        <f>COUNTIF($D$2:D2495,D2495)&amp;D2495</f>
        <v>0</v>
      </c>
      <c r="B2608" t="str">
        <f>COUNTIF($E$2:E2495,E2495)&amp;E2495</f>
        <v>0</v>
      </c>
    </row>
    <row r="2609" spans="1:2" x14ac:dyDescent="0.25">
      <c r="A2609" t="str">
        <f>COUNTIF($D$2:D2496,D2496)&amp;D2496</f>
        <v>0</v>
      </c>
      <c r="B2609" t="str">
        <f>COUNTIF($E$2:E2496,E2496)&amp;E2496</f>
        <v>0</v>
      </c>
    </row>
    <row r="2610" spans="1:2" x14ac:dyDescent="0.25">
      <c r="A2610" t="str">
        <f>COUNTIF($D$2:D2497,D2497)&amp;D2497</f>
        <v>0</v>
      </c>
      <c r="B2610" t="str">
        <f>COUNTIF($E$2:E2497,E2497)&amp;E2497</f>
        <v>0</v>
      </c>
    </row>
    <row r="2611" spans="1:2" x14ac:dyDescent="0.25">
      <c r="A2611" t="str">
        <f>COUNTIF($D$2:D2498,D2498)&amp;D2498</f>
        <v>0</v>
      </c>
      <c r="B2611" t="str">
        <f>COUNTIF($E$2:E2498,E2498)&amp;E2498</f>
        <v>0</v>
      </c>
    </row>
    <row r="2612" spans="1:2" x14ac:dyDescent="0.25">
      <c r="A2612" t="str">
        <f>COUNTIF($D$2:D2499,D2499)&amp;D2499</f>
        <v>0</v>
      </c>
      <c r="B2612" t="str">
        <f>COUNTIF($E$2:E2499,E2499)&amp;E2499</f>
        <v>0</v>
      </c>
    </row>
    <row r="2613" spans="1:2" x14ac:dyDescent="0.25">
      <c r="A2613" t="str">
        <f>COUNTIF($D$2:D2500,D2500)&amp;D2500</f>
        <v>0</v>
      </c>
      <c r="B2613" t="str">
        <f>COUNTIF($E$2:E2500,E2500)&amp;E2500</f>
        <v>0</v>
      </c>
    </row>
    <row r="2614" spans="1:2" x14ac:dyDescent="0.25">
      <c r="A2614" t="str">
        <f>COUNTIF($D$2:D2501,D2501)&amp;D2501</f>
        <v>0</v>
      </c>
      <c r="B2614" t="str">
        <f>COUNTIF($E$2:E2501,E2501)&amp;E2501</f>
        <v>0</v>
      </c>
    </row>
    <row r="2615" spans="1:2" x14ac:dyDescent="0.25">
      <c r="A2615" t="str">
        <f>COUNTIF($D$2:D2502,D2502)&amp;D2502</f>
        <v>0</v>
      </c>
      <c r="B2615" t="str">
        <f>COUNTIF($E$2:E2502,E2502)&amp;E2502</f>
        <v>0</v>
      </c>
    </row>
    <row r="2616" spans="1:2" x14ac:dyDescent="0.25">
      <c r="A2616" t="str">
        <f>COUNTIF($D$2:D2503,D2503)&amp;D2503</f>
        <v>0</v>
      </c>
      <c r="B2616" t="str">
        <f>COUNTIF($E$2:E2503,E2503)&amp;E2503</f>
        <v>0</v>
      </c>
    </row>
    <row r="2617" spans="1:2" x14ac:dyDescent="0.25">
      <c r="A2617" t="str">
        <f>COUNTIF($D$2:D2504,D2504)&amp;D2504</f>
        <v>0</v>
      </c>
      <c r="B2617" t="str">
        <f>COUNTIF($E$2:E2504,E2504)&amp;E2504</f>
        <v>0</v>
      </c>
    </row>
    <row r="2618" spans="1:2" x14ac:dyDescent="0.25">
      <c r="A2618" t="str">
        <f>COUNTIF($D$2:D2505,D2505)&amp;D2505</f>
        <v>0</v>
      </c>
      <c r="B2618" t="str">
        <f>COUNTIF($E$2:E2505,E2505)&amp;E2505</f>
        <v>0</v>
      </c>
    </row>
    <row r="2619" spans="1:2" x14ac:dyDescent="0.25">
      <c r="A2619" t="str">
        <f>COUNTIF($D$2:D2506,D2506)&amp;D2506</f>
        <v>0</v>
      </c>
      <c r="B2619" t="str">
        <f>COUNTIF($E$2:E2506,E2506)&amp;E2506</f>
        <v>0</v>
      </c>
    </row>
    <row r="2620" spans="1:2" x14ac:dyDescent="0.25">
      <c r="A2620" t="str">
        <f>COUNTIF($D$2:D2507,D2507)&amp;D2507</f>
        <v>0</v>
      </c>
      <c r="B2620" t="str">
        <f>COUNTIF($E$2:E2507,E2507)&amp;E2507</f>
        <v>0</v>
      </c>
    </row>
    <row r="2621" spans="1:2" x14ac:dyDescent="0.25">
      <c r="A2621" t="str">
        <f>COUNTIF($D$2:D2508,D2508)&amp;D2508</f>
        <v>0</v>
      </c>
      <c r="B2621" t="str">
        <f>COUNTIF($E$2:E2508,E2508)&amp;E2508</f>
        <v>0</v>
      </c>
    </row>
    <row r="2622" spans="1:2" x14ac:dyDescent="0.25">
      <c r="A2622" t="str">
        <f>COUNTIF($D$2:D2509,D2509)&amp;D2509</f>
        <v>0</v>
      </c>
      <c r="B2622" t="str">
        <f>COUNTIF($E$2:E2509,E2509)&amp;E2509</f>
        <v>0</v>
      </c>
    </row>
    <row r="2623" spans="1:2" x14ac:dyDescent="0.25">
      <c r="A2623" t="str">
        <f>COUNTIF($D$2:D2510,D2510)&amp;D2510</f>
        <v>0</v>
      </c>
      <c r="B2623" t="str">
        <f>COUNTIF($E$2:E2510,E2510)&amp;E2510</f>
        <v>0</v>
      </c>
    </row>
    <row r="2624" spans="1:2" x14ac:dyDescent="0.25">
      <c r="A2624" t="str">
        <f>COUNTIF($D$2:D2511,D2511)&amp;D2511</f>
        <v>0</v>
      </c>
      <c r="B2624" t="str">
        <f>COUNTIF($E$2:E2511,E2511)&amp;E2511</f>
        <v>0</v>
      </c>
    </row>
    <row r="2625" spans="1:2" x14ac:dyDescent="0.25">
      <c r="A2625" t="str">
        <f>COUNTIF($D$2:D2512,D2512)&amp;D2512</f>
        <v>0</v>
      </c>
      <c r="B2625" t="str">
        <f>COUNTIF($E$2:E2512,E2512)&amp;E2512</f>
        <v>0</v>
      </c>
    </row>
    <row r="2626" spans="1:2" x14ac:dyDescent="0.25">
      <c r="A2626" t="str">
        <f>COUNTIF($D$2:D2513,D2513)&amp;D2513</f>
        <v>0</v>
      </c>
      <c r="B2626" t="str">
        <f>COUNTIF($E$2:E2513,E2513)&amp;E2513</f>
        <v>0</v>
      </c>
    </row>
    <row r="2627" spans="1:2" x14ac:dyDescent="0.25">
      <c r="A2627" t="str">
        <f>COUNTIF($D$2:D2514,D2514)&amp;D2514</f>
        <v>0</v>
      </c>
      <c r="B2627" t="str">
        <f>COUNTIF($E$2:E2514,E2514)&amp;E2514</f>
        <v>0</v>
      </c>
    </row>
    <row r="2628" spans="1:2" x14ac:dyDescent="0.25">
      <c r="A2628" t="str">
        <f>COUNTIF($D$2:D2515,D2515)&amp;D2515</f>
        <v>0</v>
      </c>
      <c r="B2628" t="str">
        <f>COUNTIF($E$2:E2515,E2515)&amp;E2515</f>
        <v>0</v>
      </c>
    </row>
    <row r="2629" spans="1:2" x14ac:dyDescent="0.25">
      <c r="A2629" t="str">
        <f>COUNTIF($D$2:D2516,D2516)&amp;D2516</f>
        <v>0</v>
      </c>
      <c r="B2629" t="str">
        <f>COUNTIF($E$2:E2516,E2516)&amp;E2516</f>
        <v>0</v>
      </c>
    </row>
    <row r="2630" spans="1:2" x14ac:dyDescent="0.25">
      <c r="A2630" t="str">
        <f>COUNTIF($D$2:D2517,D2517)&amp;D2517</f>
        <v>0</v>
      </c>
      <c r="B2630" t="str">
        <f>COUNTIF($E$2:E2517,E2517)&amp;E2517</f>
        <v>0</v>
      </c>
    </row>
    <row r="2631" spans="1:2" x14ac:dyDescent="0.25">
      <c r="A2631" t="str">
        <f>COUNTIF($D$2:D2518,D2518)&amp;D2518</f>
        <v>0</v>
      </c>
      <c r="B2631" t="str">
        <f>COUNTIF($E$2:E2518,E2518)&amp;E2518</f>
        <v>0</v>
      </c>
    </row>
    <row r="2632" spans="1:2" x14ac:dyDescent="0.25">
      <c r="A2632" t="str">
        <f>COUNTIF($D$2:D2519,D2519)&amp;D2519</f>
        <v>0</v>
      </c>
      <c r="B2632" t="str">
        <f>COUNTIF($E$2:E2519,E2519)&amp;E2519</f>
        <v>0</v>
      </c>
    </row>
    <row r="2633" spans="1:2" x14ac:dyDescent="0.25">
      <c r="A2633" t="str">
        <f>COUNTIF($D$2:D2520,D2520)&amp;D2520</f>
        <v>0</v>
      </c>
      <c r="B2633" t="str">
        <f>COUNTIF($E$2:E2520,E2520)&amp;E2520</f>
        <v>0</v>
      </c>
    </row>
    <row r="2634" spans="1:2" x14ac:dyDescent="0.25">
      <c r="A2634" t="str">
        <f>COUNTIF($D$2:D2521,D2521)&amp;D2521</f>
        <v>0</v>
      </c>
      <c r="B2634" t="str">
        <f>COUNTIF($E$2:E2521,E2521)&amp;E2521</f>
        <v>0</v>
      </c>
    </row>
    <row r="2635" spans="1:2" x14ac:dyDescent="0.25">
      <c r="A2635" t="str">
        <f>COUNTIF($D$2:D2522,D2522)&amp;D2522</f>
        <v>0</v>
      </c>
      <c r="B2635" t="str">
        <f>COUNTIF($E$2:E2522,E2522)&amp;E2522</f>
        <v>0</v>
      </c>
    </row>
    <row r="2636" spans="1:2" x14ac:dyDescent="0.25">
      <c r="A2636" t="str">
        <f>COUNTIF($D$2:D2523,D2523)&amp;D2523</f>
        <v>0</v>
      </c>
      <c r="B2636" t="str">
        <f>COUNTIF($E$2:E2523,E2523)&amp;E2523</f>
        <v>0</v>
      </c>
    </row>
    <row r="2637" spans="1:2" x14ac:dyDescent="0.25">
      <c r="A2637" t="str">
        <f>COUNTIF($D$2:D2524,D2524)&amp;D2524</f>
        <v>0</v>
      </c>
      <c r="B2637" t="str">
        <f>COUNTIF($E$2:E2524,E2524)&amp;E2524</f>
        <v>0</v>
      </c>
    </row>
    <row r="2638" spans="1:2" x14ac:dyDescent="0.25">
      <c r="A2638" t="str">
        <f>COUNTIF($D$2:D2525,D2525)&amp;D2525</f>
        <v>0</v>
      </c>
      <c r="B2638" t="str">
        <f>COUNTIF($E$2:E2525,E2525)&amp;E2525</f>
        <v>0</v>
      </c>
    </row>
    <row r="2639" spans="1:2" x14ac:dyDescent="0.25">
      <c r="A2639" t="str">
        <f>COUNTIF($D$2:D2526,D2526)&amp;D2526</f>
        <v>0</v>
      </c>
      <c r="B2639" t="str">
        <f>COUNTIF($E$2:E2526,E2526)&amp;E2526</f>
        <v>0</v>
      </c>
    </row>
    <row r="2640" spans="1:2" x14ac:dyDescent="0.25">
      <c r="A2640" t="str">
        <f>COUNTIF($D$2:D2527,D2527)&amp;D2527</f>
        <v>0</v>
      </c>
      <c r="B2640" t="str">
        <f>COUNTIF($E$2:E2527,E2527)&amp;E2527</f>
        <v>0</v>
      </c>
    </row>
    <row r="2641" spans="1:2" x14ac:dyDescent="0.25">
      <c r="A2641" t="str">
        <f>COUNTIF($D$2:D2528,D2528)&amp;D2528</f>
        <v>0</v>
      </c>
      <c r="B2641" t="str">
        <f>COUNTIF($E$2:E2528,E2528)&amp;E2528</f>
        <v>0</v>
      </c>
    </row>
    <row r="2642" spans="1:2" x14ac:dyDescent="0.25">
      <c r="A2642" t="str">
        <f>COUNTIF($D$2:D2529,D2529)&amp;D2529</f>
        <v>0</v>
      </c>
      <c r="B2642" t="str">
        <f>COUNTIF($E$2:E2529,E2529)&amp;E2529</f>
        <v>0</v>
      </c>
    </row>
    <row r="2643" spans="1:2" x14ac:dyDescent="0.25">
      <c r="A2643" t="str">
        <f>COUNTIF($D$2:D2530,D2530)&amp;D2530</f>
        <v>0</v>
      </c>
      <c r="B2643" t="str">
        <f>COUNTIF($E$2:E2530,E2530)&amp;E2530</f>
        <v>0</v>
      </c>
    </row>
    <row r="2644" spans="1:2" x14ac:dyDescent="0.25">
      <c r="A2644" t="str">
        <f>COUNTIF($D$2:D2531,D2531)&amp;D2531</f>
        <v>0</v>
      </c>
      <c r="B2644" t="str">
        <f>COUNTIF($E$2:E2531,E2531)&amp;E2531</f>
        <v>0</v>
      </c>
    </row>
    <row r="2645" spans="1:2" x14ac:dyDescent="0.25">
      <c r="A2645" t="str">
        <f>COUNTIF($D$2:D2532,D2532)&amp;D2532</f>
        <v>0</v>
      </c>
      <c r="B2645" t="str">
        <f>COUNTIF($E$2:E2532,E2532)&amp;E2532</f>
        <v>0</v>
      </c>
    </row>
    <row r="2646" spans="1:2" x14ac:dyDescent="0.25">
      <c r="A2646" t="str">
        <f>COUNTIF($D$2:D2533,D2533)&amp;D2533</f>
        <v>0</v>
      </c>
      <c r="B2646" t="str">
        <f>COUNTIF($E$2:E2533,E2533)&amp;E2533</f>
        <v>0</v>
      </c>
    </row>
    <row r="2647" spans="1:2" x14ac:dyDescent="0.25">
      <c r="A2647" t="str">
        <f>COUNTIF($D$2:D2534,D2534)&amp;D2534</f>
        <v>0</v>
      </c>
      <c r="B2647" t="str">
        <f>COUNTIF($E$2:E2534,E2534)&amp;E2534</f>
        <v>0</v>
      </c>
    </row>
    <row r="2648" spans="1:2" x14ac:dyDescent="0.25">
      <c r="A2648" t="str">
        <f>COUNTIF($D$2:D2535,D2535)&amp;D2535</f>
        <v>0</v>
      </c>
      <c r="B2648" t="str">
        <f>COUNTIF($E$2:E2535,E2535)&amp;E2535</f>
        <v>0</v>
      </c>
    </row>
    <row r="2649" spans="1:2" x14ac:dyDescent="0.25">
      <c r="A2649" t="str">
        <f>COUNTIF($D$2:D2536,D2536)&amp;D2536</f>
        <v>0</v>
      </c>
      <c r="B2649" t="str">
        <f>COUNTIF($E$2:E2536,E2536)&amp;E2536</f>
        <v>0</v>
      </c>
    </row>
    <row r="2650" spans="1:2" x14ac:dyDescent="0.25">
      <c r="A2650" t="str">
        <f>COUNTIF($D$2:D2537,D2537)&amp;D2537</f>
        <v>0</v>
      </c>
      <c r="B2650" t="str">
        <f>COUNTIF($E$2:E2537,E2537)&amp;E2537</f>
        <v>0</v>
      </c>
    </row>
    <row r="2651" spans="1:2" x14ac:dyDescent="0.25">
      <c r="A2651" t="str">
        <f>COUNTIF($D$2:D2538,D2538)&amp;D2538</f>
        <v>0</v>
      </c>
      <c r="B2651" t="str">
        <f>COUNTIF($E$2:E2538,E2538)&amp;E2538</f>
        <v>0</v>
      </c>
    </row>
    <row r="2652" spans="1:2" x14ac:dyDescent="0.25">
      <c r="A2652" t="str">
        <f>COUNTIF($D$2:D2539,D2539)&amp;D2539</f>
        <v>0</v>
      </c>
      <c r="B2652" t="str">
        <f>COUNTIF($E$2:E2539,E2539)&amp;E2539</f>
        <v>0</v>
      </c>
    </row>
    <row r="2653" spans="1:2" x14ac:dyDescent="0.25">
      <c r="A2653" t="str">
        <f>COUNTIF($D$2:D2540,D2540)&amp;D2540</f>
        <v>0</v>
      </c>
      <c r="B2653" t="str">
        <f>COUNTIF($E$2:E2540,E2540)&amp;E2540</f>
        <v>0</v>
      </c>
    </row>
    <row r="2654" spans="1:2" x14ac:dyDescent="0.25">
      <c r="A2654" t="str">
        <f>COUNTIF($D$2:D2541,D2541)&amp;D2541</f>
        <v>0</v>
      </c>
      <c r="B2654" t="str">
        <f>COUNTIF($E$2:E2541,E2541)&amp;E2541</f>
        <v>0</v>
      </c>
    </row>
    <row r="2655" spans="1:2" x14ac:dyDescent="0.25">
      <c r="A2655" t="str">
        <f>COUNTIF($D$2:D2542,D2542)&amp;D2542</f>
        <v>0</v>
      </c>
      <c r="B2655" t="str">
        <f>COUNTIF($E$2:E2542,E2542)&amp;E2542</f>
        <v>0</v>
      </c>
    </row>
    <row r="2656" spans="1:2" x14ac:dyDescent="0.25">
      <c r="A2656" t="str">
        <f>COUNTIF($D$2:D2543,D2543)&amp;D2543</f>
        <v>0</v>
      </c>
      <c r="B2656" t="str">
        <f>COUNTIF($E$2:E2543,E2543)&amp;E2543</f>
        <v>0</v>
      </c>
    </row>
    <row r="2657" spans="1:2" x14ac:dyDescent="0.25">
      <c r="A2657" t="str">
        <f>COUNTIF($D$2:D2544,D2544)&amp;D2544</f>
        <v>0</v>
      </c>
      <c r="B2657" t="str">
        <f>COUNTIF($E$2:E2544,E2544)&amp;E2544</f>
        <v>0</v>
      </c>
    </row>
    <row r="2658" spans="1:2" x14ac:dyDescent="0.25">
      <c r="A2658" t="str">
        <f>COUNTIF($D$2:D2545,D2545)&amp;D2545</f>
        <v>0</v>
      </c>
      <c r="B2658" t="str">
        <f>COUNTIF($E$2:E2545,E2545)&amp;E2545</f>
        <v>0</v>
      </c>
    </row>
    <row r="2659" spans="1:2" x14ac:dyDescent="0.25">
      <c r="A2659" t="str">
        <f>COUNTIF($D$2:D2546,D2546)&amp;D2546</f>
        <v>0</v>
      </c>
      <c r="B2659" t="str">
        <f>COUNTIF($E$2:E2546,E2546)&amp;E2546</f>
        <v>0</v>
      </c>
    </row>
    <row r="2660" spans="1:2" x14ac:dyDescent="0.25">
      <c r="A2660" t="str">
        <f>COUNTIF($D$2:D2547,D2547)&amp;D2547</f>
        <v>0</v>
      </c>
      <c r="B2660" t="str">
        <f>COUNTIF($E$2:E2547,E2547)&amp;E2547</f>
        <v>0</v>
      </c>
    </row>
    <row r="2661" spans="1:2" x14ac:dyDescent="0.25">
      <c r="A2661" t="str">
        <f>COUNTIF($D$2:D2548,D2548)&amp;D2548</f>
        <v>0</v>
      </c>
      <c r="B2661" t="str">
        <f>COUNTIF($E$2:E2548,E2548)&amp;E2548</f>
        <v>0</v>
      </c>
    </row>
    <row r="2662" spans="1:2" x14ac:dyDescent="0.25">
      <c r="A2662" t="str">
        <f>COUNTIF($D$2:D2549,D2549)&amp;D2549</f>
        <v>0</v>
      </c>
      <c r="B2662" t="str">
        <f>COUNTIF($E$2:E2549,E2549)&amp;E2549</f>
        <v>0</v>
      </c>
    </row>
    <row r="2663" spans="1:2" x14ac:dyDescent="0.25">
      <c r="A2663" t="str">
        <f>COUNTIF($D$2:D2550,D2550)&amp;D2550</f>
        <v>0</v>
      </c>
      <c r="B2663" t="str">
        <f>COUNTIF($E$2:E2550,E2550)&amp;E2550</f>
        <v>0</v>
      </c>
    </row>
    <row r="2664" spans="1:2" x14ac:dyDescent="0.25">
      <c r="A2664" t="str">
        <f>COUNTIF($D$2:D2551,D2551)&amp;D2551</f>
        <v>0</v>
      </c>
      <c r="B2664" t="str">
        <f>COUNTIF($E$2:E2551,E2551)&amp;E2551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43"/>
  <sheetViews>
    <sheetView workbookViewId="0">
      <selection sqref="A1:AC41"/>
    </sheetView>
  </sheetViews>
  <sheetFormatPr defaultRowHeight="15" x14ac:dyDescent="0.25"/>
  <cols>
    <col min="1" max="1" width="11.140625" bestFit="1" customWidth="1"/>
    <col min="2" max="2" width="14.8554687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23</v>
      </c>
      <c r="B1" t="s">
        <v>12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24</v>
      </c>
      <c r="L1" t="s">
        <v>8</v>
      </c>
      <c r="M1" t="s">
        <v>25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26</v>
      </c>
      <c r="T1" t="s">
        <v>27</v>
      </c>
      <c r="U1" t="s">
        <v>28</v>
      </c>
      <c r="V1" t="s">
        <v>29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207</v>
      </c>
      <c r="AC1" t="s">
        <v>208</v>
      </c>
    </row>
    <row r="2" spans="1:29" x14ac:dyDescent="0.25">
      <c r="A2">
        <v>12</v>
      </c>
      <c r="B2" t="s">
        <v>287</v>
      </c>
      <c r="C2">
        <v>16</v>
      </c>
      <c r="D2">
        <v>4</v>
      </c>
      <c r="E2">
        <v>4</v>
      </c>
      <c r="F2">
        <v>8</v>
      </c>
      <c r="G2">
        <v>14</v>
      </c>
      <c r="H2">
        <v>20</v>
      </c>
      <c r="I2">
        <v>-6</v>
      </c>
      <c r="J2">
        <v>16</v>
      </c>
      <c r="L2">
        <v>100</v>
      </c>
      <c r="N2">
        <v>4</v>
      </c>
      <c r="O2">
        <v>1</v>
      </c>
      <c r="P2">
        <v>3</v>
      </c>
      <c r="Q2">
        <v>10</v>
      </c>
      <c r="R2">
        <v>10</v>
      </c>
      <c r="W2">
        <v>0</v>
      </c>
      <c r="X2">
        <v>3</v>
      </c>
      <c r="Y2">
        <v>5</v>
      </c>
      <c r="Z2">
        <v>4</v>
      </c>
      <c r="AA2">
        <v>10</v>
      </c>
      <c r="AB2" s="50">
        <f>Wide_table___Brazil[[#This Row],[Wh]]/(Wide_table___Brazil[[#This Row],[Wh]]+Wide_table___Brazil[[#This Row],[Dh]]+Wide_table___Brazil[[#This Row],[Lh]])</f>
        <v>0.5</v>
      </c>
      <c r="AC2" s="50">
        <f>Wide_table___Brazil[[#This Row],[Wa]]/(Wide_table___Brazil[[#This Row],[Wa]]+Wide_table___Brazil[[#This Row],[Da]]+Wide_table___Brazil[[#This Row],[La]])</f>
        <v>0</v>
      </c>
    </row>
    <row r="3" spans="1:29" x14ac:dyDescent="0.25">
      <c r="A3">
        <v>15</v>
      </c>
      <c r="B3" t="s">
        <v>301</v>
      </c>
      <c r="C3">
        <v>19</v>
      </c>
      <c r="D3">
        <v>6</v>
      </c>
      <c r="E3">
        <v>6</v>
      </c>
      <c r="F3">
        <v>7</v>
      </c>
      <c r="G3">
        <v>24</v>
      </c>
      <c r="H3">
        <v>28</v>
      </c>
      <c r="I3">
        <v>-4</v>
      </c>
      <c r="J3">
        <v>24</v>
      </c>
      <c r="L3">
        <v>126</v>
      </c>
      <c r="N3">
        <v>5</v>
      </c>
      <c r="O3">
        <v>3</v>
      </c>
      <c r="P3">
        <v>2</v>
      </c>
      <c r="Q3">
        <v>15</v>
      </c>
      <c r="R3">
        <v>11</v>
      </c>
      <c r="W3">
        <v>1</v>
      </c>
      <c r="X3">
        <v>3</v>
      </c>
      <c r="Y3">
        <v>5</v>
      </c>
      <c r="Z3">
        <v>9</v>
      </c>
      <c r="AA3">
        <v>17</v>
      </c>
      <c r="AB3" s="50">
        <f>Wide_table___Brazil[[#This Row],[Wh]]/(Wide_table___Brazil[[#This Row],[Wh]]+Wide_table___Brazil[[#This Row],[Dh]]+Wide_table___Brazil[[#This Row],[Lh]])</f>
        <v>0.5</v>
      </c>
      <c r="AC3" s="50">
        <f>Wide_table___Brazil[[#This Row],[Wa]]/(Wide_table___Brazil[[#This Row],[Wa]]+Wide_table___Brazil[[#This Row],[Da]]+Wide_table___Brazil[[#This Row],[La]])</f>
        <v>0.1111111111111111</v>
      </c>
    </row>
    <row r="4" spans="1:29" x14ac:dyDescent="0.25">
      <c r="A4">
        <v>22</v>
      </c>
      <c r="B4" t="s">
        <v>311</v>
      </c>
      <c r="C4">
        <v>18</v>
      </c>
      <c r="D4">
        <v>3</v>
      </c>
      <c r="E4">
        <v>5</v>
      </c>
      <c r="F4">
        <v>10</v>
      </c>
      <c r="G4">
        <v>16</v>
      </c>
      <c r="H4">
        <v>31</v>
      </c>
      <c r="I4">
        <v>-15</v>
      </c>
      <c r="J4">
        <v>14</v>
      </c>
      <c r="L4">
        <v>78</v>
      </c>
      <c r="N4">
        <v>1</v>
      </c>
      <c r="O4">
        <v>3</v>
      </c>
      <c r="P4">
        <v>5</v>
      </c>
      <c r="Q4">
        <v>6</v>
      </c>
      <c r="R4">
        <v>13</v>
      </c>
      <c r="W4">
        <v>2</v>
      </c>
      <c r="X4">
        <v>2</v>
      </c>
      <c r="Y4">
        <v>5</v>
      </c>
      <c r="Z4">
        <v>10</v>
      </c>
      <c r="AA4">
        <v>18</v>
      </c>
      <c r="AB4" s="50">
        <f>Wide_table___Brazil[[#This Row],[Wh]]/(Wide_table___Brazil[[#This Row],[Wh]]+Wide_table___Brazil[[#This Row],[Dh]]+Wide_table___Brazil[[#This Row],[Lh]])</f>
        <v>0.1111111111111111</v>
      </c>
      <c r="AC4" s="50">
        <f>Wide_table___Brazil[[#This Row],[Wa]]/(Wide_table___Brazil[[#This Row],[Wa]]+Wide_table___Brazil[[#This Row],[Da]]+Wide_table___Brazil[[#This Row],[La]])</f>
        <v>0.22222222222222221</v>
      </c>
    </row>
    <row r="5" spans="1:29" x14ac:dyDescent="0.25">
      <c r="A5">
        <v>20</v>
      </c>
      <c r="B5" t="s">
        <v>290</v>
      </c>
      <c r="C5">
        <v>16</v>
      </c>
      <c r="D5">
        <v>0</v>
      </c>
      <c r="E5">
        <v>4</v>
      </c>
      <c r="F5">
        <v>12</v>
      </c>
      <c r="G5">
        <v>17</v>
      </c>
      <c r="H5">
        <v>39</v>
      </c>
      <c r="I5">
        <v>-22</v>
      </c>
      <c r="J5">
        <v>4</v>
      </c>
      <c r="L5">
        <v>25</v>
      </c>
      <c r="N5">
        <v>0</v>
      </c>
      <c r="O5">
        <v>3</v>
      </c>
      <c r="P5">
        <v>5</v>
      </c>
      <c r="Q5">
        <v>10</v>
      </c>
      <c r="R5">
        <v>18</v>
      </c>
      <c r="W5">
        <v>0</v>
      </c>
      <c r="X5">
        <v>1</v>
      </c>
      <c r="Y5">
        <v>7</v>
      </c>
      <c r="Z5">
        <v>7</v>
      </c>
      <c r="AA5">
        <v>21</v>
      </c>
      <c r="AB5" s="50">
        <f>Wide_table___Brazil[[#This Row],[Wh]]/(Wide_table___Brazil[[#This Row],[Wh]]+Wide_table___Brazil[[#This Row],[Dh]]+Wide_table___Brazil[[#This Row],[Lh]])</f>
        <v>0</v>
      </c>
      <c r="AC5" s="50">
        <f>Wide_table___Brazil[[#This Row],[Wa]]/(Wide_table___Brazil[[#This Row],[Wa]]+Wide_table___Brazil[[#This Row],[Da]]+Wide_table___Brazil[[#This Row],[La]])</f>
        <v>0</v>
      </c>
    </row>
    <row r="6" spans="1:29" x14ac:dyDescent="0.25">
      <c r="A6">
        <v>21</v>
      </c>
      <c r="B6" t="s">
        <v>308</v>
      </c>
      <c r="C6">
        <v>19</v>
      </c>
      <c r="D6">
        <v>3</v>
      </c>
      <c r="E6">
        <v>5</v>
      </c>
      <c r="F6">
        <v>11</v>
      </c>
      <c r="G6">
        <v>16</v>
      </c>
      <c r="H6">
        <v>28</v>
      </c>
      <c r="I6">
        <v>-12</v>
      </c>
      <c r="J6">
        <v>14</v>
      </c>
      <c r="L6">
        <v>74</v>
      </c>
      <c r="N6">
        <v>3</v>
      </c>
      <c r="O6">
        <v>3</v>
      </c>
      <c r="P6">
        <v>3</v>
      </c>
      <c r="Q6">
        <v>9</v>
      </c>
      <c r="R6">
        <v>5</v>
      </c>
      <c r="W6">
        <v>0</v>
      </c>
      <c r="X6">
        <v>2</v>
      </c>
      <c r="Y6">
        <v>8</v>
      </c>
      <c r="Z6">
        <v>7</v>
      </c>
      <c r="AA6">
        <v>23</v>
      </c>
      <c r="AB6" s="50">
        <f>Wide_table___Brazil[[#This Row],[Wh]]/(Wide_table___Brazil[[#This Row],[Wh]]+Wide_table___Brazil[[#This Row],[Dh]]+Wide_table___Brazil[[#This Row],[Lh]])</f>
        <v>0.33333333333333331</v>
      </c>
      <c r="AC6" s="50">
        <f>Wide_table___Brazil[[#This Row],[Wa]]/(Wide_table___Brazil[[#This Row],[Wa]]+Wide_table___Brazil[[#This Row],[Da]]+Wide_table___Brazil[[#This Row],[La]])</f>
        <v>0</v>
      </c>
    </row>
    <row r="7" spans="1:29" x14ac:dyDescent="0.25">
      <c r="A7">
        <v>6</v>
      </c>
      <c r="B7" t="s">
        <v>274</v>
      </c>
      <c r="C7">
        <v>15</v>
      </c>
      <c r="D7">
        <v>8</v>
      </c>
      <c r="E7">
        <v>4</v>
      </c>
      <c r="F7">
        <v>3</v>
      </c>
      <c r="G7">
        <v>30</v>
      </c>
      <c r="H7">
        <v>18</v>
      </c>
      <c r="I7">
        <v>12</v>
      </c>
      <c r="J7">
        <v>28</v>
      </c>
      <c r="L7">
        <v>187</v>
      </c>
      <c r="N7">
        <v>5</v>
      </c>
      <c r="O7">
        <v>2</v>
      </c>
      <c r="P7">
        <v>1</v>
      </c>
      <c r="Q7">
        <v>22</v>
      </c>
      <c r="R7">
        <v>11</v>
      </c>
      <c r="W7">
        <v>3</v>
      </c>
      <c r="X7">
        <v>2</v>
      </c>
      <c r="Y7">
        <v>2</v>
      </c>
      <c r="Z7">
        <v>8</v>
      </c>
      <c r="AA7">
        <v>7</v>
      </c>
      <c r="AB7" s="50">
        <f>Wide_table___Brazil[[#This Row],[Wh]]/(Wide_table___Brazil[[#This Row],[Wh]]+Wide_table___Brazil[[#This Row],[Dh]]+Wide_table___Brazil[[#This Row],[Lh]])</f>
        <v>0.625</v>
      </c>
      <c r="AC7" s="50">
        <f>Wide_table___Brazil[[#This Row],[Wa]]/(Wide_table___Brazil[[#This Row],[Wa]]+Wide_table___Brazil[[#This Row],[Da]]+Wide_table___Brazil[[#This Row],[La]])</f>
        <v>0.42857142857142855</v>
      </c>
    </row>
    <row r="8" spans="1:29" x14ac:dyDescent="0.25">
      <c r="A8">
        <v>3</v>
      </c>
      <c r="B8" t="s">
        <v>275</v>
      </c>
      <c r="C8">
        <v>15</v>
      </c>
      <c r="D8">
        <v>11</v>
      </c>
      <c r="E8">
        <v>1</v>
      </c>
      <c r="F8">
        <v>3</v>
      </c>
      <c r="G8">
        <v>32</v>
      </c>
      <c r="H8">
        <v>14</v>
      </c>
      <c r="I8">
        <v>18</v>
      </c>
      <c r="J8">
        <v>34</v>
      </c>
      <c r="L8">
        <v>227</v>
      </c>
      <c r="N8">
        <v>8</v>
      </c>
      <c r="O8">
        <v>0</v>
      </c>
      <c r="P8">
        <v>0</v>
      </c>
      <c r="Q8">
        <v>19</v>
      </c>
      <c r="R8">
        <v>8</v>
      </c>
      <c r="W8">
        <v>3</v>
      </c>
      <c r="X8">
        <v>1</v>
      </c>
      <c r="Y8">
        <v>3</v>
      </c>
      <c r="Z8">
        <v>13</v>
      </c>
      <c r="AA8">
        <v>6</v>
      </c>
      <c r="AB8" s="50">
        <f>Wide_table___Brazil[[#This Row],[Wh]]/(Wide_table___Brazil[[#This Row],[Wh]]+Wide_table___Brazil[[#This Row],[Dh]]+Wide_table___Brazil[[#This Row],[Lh]])</f>
        <v>1</v>
      </c>
      <c r="AC8" s="50">
        <f>Wide_table___Brazil[[#This Row],[Wa]]/(Wide_table___Brazil[[#This Row],[Wa]]+Wide_table___Brazil[[#This Row],[Da]]+Wide_table___Brazil[[#This Row],[La]])</f>
        <v>0.42857142857142855</v>
      </c>
    </row>
    <row r="9" spans="1:29" x14ac:dyDescent="0.25">
      <c r="A9">
        <v>13</v>
      </c>
      <c r="B9" t="s">
        <v>302</v>
      </c>
      <c r="C9">
        <v>19</v>
      </c>
      <c r="D9">
        <v>7</v>
      </c>
      <c r="E9">
        <v>5</v>
      </c>
      <c r="F9">
        <v>7</v>
      </c>
      <c r="G9">
        <v>23</v>
      </c>
      <c r="H9">
        <v>24</v>
      </c>
      <c r="I9">
        <v>-1</v>
      </c>
      <c r="J9">
        <v>26</v>
      </c>
      <c r="L9">
        <v>137</v>
      </c>
      <c r="N9">
        <v>6</v>
      </c>
      <c r="O9">
        <v>4</v>
      </c>
      <c r="P9">
        <v>0</v>
      </c>
      <c r="Q9">
        <v>16</v>
      </c>
      <c r="R9">
        <v>6</v>
      </c>
      <c r="W9">
        <v>1</v>
      </c>
      <c r="X9">
        <v>1</v>
      </c>
      <c r="Y9">
        <v>7</v>
      </c>
      <c r="Z9">
        <v>7</v>
      </c>
      <c r="AA9">
        <v>18</v>
      </c>
      <c r="AB9" s="50">
        <f>Wide_table___Brazil[[#This Row],[Wh]]/(Wide_table___Brazil[[#This Row],[Wh]]+Wide_table___Brazil[[#This Row],[Dh]]+Wide_table___Brazil[[#This Row],[Lh]])</f>
        <v>0.6</v>
      </c>
      <c r="AC9" s="50">
        <f>Wide_table___Brazil[[#This Row],[Wa]]/(Wide_table___Brazil[[#This Row],[Wa]]+Wide_table___Brazil[[#This Row],[Da]]+Wide_table___Brazil[[#This Row],[La]])</f>
        <v>0.1111111111111111</v>
      </c>
    </row>
    <row r="10" spans="1:29" x14ac:dyDescent="0.25">
      <c r="A10">
        <v>17</v>
      </c>
      <c r="B10" t="s">
        <v>282</v>
      </c>
      <c r="C10">
        <v>16</v>
      </c>
      <c r="D10">
        <v>2</v>
      </c>
      <c r="E10">
        <v>7</v>
      </c>
      <c r="F10">
        <v>7</v>
      </c>
      <c r="G10">
        <v>13</v>
      </c>
      <c r="H10">
        <v>23</v>
      </c>
      <c r="I10">
        <v>-10</v>
      </c>
      <c r="J10">
        <v>13</v>
      </c>
      <c r="L10">
        <v>81</v>
      </c>
      <c r="N10">
        <v>2</v>
      </c>
      <c r="O10">
        <v>4</v>
      </c>
      <c r="P10">
        <v>2</v>
      </c>
      <c r="Q10">
        <v>8</v>
      </c>
      <c r="R10">
        <v>9</v>
      </c>
      <c r="W10">
        <v>0</v>
      </c>
      <c r="X10">
        <v>3</v>
      </c>
      <c r="Y10">
        <v>5</v>
      </c>
      <c r="Z10">
        <v>5</v>
      </c>
      <c r="AA10">
        <v>14</v>
      </c>
      <c r="AB10" s="50">
        <f>Wide_table___Brazil[[#This Row],[Wh]]/(Wide_table___Brazil[[#This Row],[Wh]]+Wide_table___Brazil[[#This Row],[Dh]]+Wide_table___Brazil[[#This Row],[Lh]])</f>
        <v>0.25</v>
      </c>
      <c r="AC10" s="50">
        <f>Wide_table___Brazil[[#This Row],[Wa]]/(Wide_table___Brazil[[#This Row],[Wa]]+Wide_table___Brazil[[#This Row],[Da]]+Wide_table___Brazil[[#This Row],[La]])</f>
        <v>0</v>
      </c>
    </row>
    <row r="11" spans="1:29" x14ac:dyDescent="0.25">
      <c r="A11">
        <v>20</v>
      </c>
      <c r="B11" t="s">
        <v>312</v>
      </c>
      <c r="C11">
        <v>19</v>
      </c>
      <c r="D11">
        <v>3</v>
      </c>
      <c r="E11">
        <v>6</v>
      </c>
      <c r="F11">
        <v>10</v>
      </c>
      <c r="G11">
        <v>17</v>
      </c>
      <c r="H11">
        <v>28</v>
      </c>
      <c r="I11">
        <v>-11</v>
      </c>
      <c r="J11">
        <v>15</v>
      </c>
      <c r="L11">
        <v>79</v>
      </c>
      <c r="N11">
        <v>1</v>
      </c>
      <c r="O11">
        <v>1</v>
      </c>
      <c r="P11">
        <v>7</v>
      </c>
      <c r="Q11">
        <v>6</v>
      </c>
      <c r="R11">
        <v>16</v>
      </c>
      <c r="W11">
        <v>2</v>
      </c>
      <c r="X11">
        <v>5</v>
      </c>
      <c r="Y11">
        <v>3</v>
      </c>
      <c r="Z11">
        <v>11</v>
      </c>
      <c r="AA11">
        <v>12</v>
      </c>
      <c r="AB11" s="50">
        <f>Wide_table___Brazil[[#This Row],[Wh]]/(Wide_table___Brazil[[#This Row],[Wh]]+Wide_table___Brazil[[#This Row],[Dh]]+Wide_table___Brazil[[#This Row],[Lh]])</f>
        <v>0.1111111111111111</v>
      </c>
      <c r="AC11" s="50">
        <f>Wide_table___Brazil[[#This Row],[Wa]]/(Wide_table___Brazil[[#This Row],[Wa]]+Wide_table___Brazil[[#This Row],[Da]]+Wide_table___Brazil[[#This Row],[La]])</f>
        <v>0.2</v>
      </c>
    </row>
    <row r="12" spans="1:29" x14ac:dyDescent="0.25">
      <c r="A12">
        <v>18</v>
      </c>
      <c r="B12" t="s">
        <v>288</v>
      </c>
      <c r="C12">
        <v>15</v>
      </c>
      <c r="D12">
        <v>1</v>
      </c>
      <c r="E12">
        <v>6</v>
      </c>
      <c r="F12">
        <v>8</v>
      </c>
      <c r="G12">
        <v>15</v>
      </c>
      <c r="H12">
        <v>25</v>
      </c>
      <c r="I12">
        <v>-10</v>
      </c>
      <c r="J12">
        <v>9</v>
      </c>
      <c r="L12">
        <v>60</v>
      </c>
      <c r="N12">
        <v>0</v>
      </c>
      <c r="O12">
        <v>4</v>
      </c>
      <c r="P12">
        <v>4</v>
      </c>
      <c r="Q12">
        <v>5</v>
      </c>
      <c r="R12">
        <v>12</v>
      </c>
      <c r="W12">
        <v>1</v>
      </c>
      <c r="X12">
        <v>2</v>
      </c>
      <c r="Y12">
        <v>4</v>
      </c>
      <c r="Z12">
        <v>10</v>
      </c>
      <c r="AA12">
        <v>13</v>
      </c>
      <c r="AB12" s="50">
        <f>Wide_table___Brazil[[#This Row],[Wh]]/(Wide_table___Brazil[[#This Row],[Wh]]+Wide_table___Brazil[[#This Row],[Dh]]+Wide_table___Brazil[[#This Row],[Lh]])</f>
        <v>0</v>
      </c>
      <c r="AC12" s="50">
        <f>Wide_table___Brazil[[#This Row],[Wa]]/(Wide_table___Brazil[[#This Row],[Wa]]+Wide_table___Brazil[[#This Row],[Da]]+Wide_table___Brazil[[#This Row],[La]])</f>
        <v>0.14285714285714285</v>
      </c>
    </row>
    <row r="13" spans="1:29" x14ac:dyDescent="0.25">
      <c r="A13">
        <v>5</v>
      </c>
      <c r="B13" t="s">
        <v>298</v>
      </c>
      <c r="C13">
        <v>19</v>
      </c>
      <c r="D13">
        <v>9</v>
      </c>
      <c r="E13">
        <v>4</v>
      </c>
      <c r="F13">
        <v>6</v>
      </c>
      <c r="G13">
        <v>33</v>
      </c>
      <c r="H13">
        <v>25</v>
      </c>
      <c r="I13">
        <v>8</v>
      </c>
      <c r="J13">
        <v>31</v>
      </c>
      <c r="L13">
        <v>163</v>
      </c>
      <c r="N13">
        <v>5</v>
      </c>
      <c r="O13">
        <v>3</v>
      </c>
      <c r="P13">
        <v>1</v>
      </c>
      <c r="Q13">
        <v>19</v>
      </c>
      <c r="R13">
        <v>8</v>
      </c>
      <c r="W13">
        <v>4</v>
      </c>
      <c r="X13">
        <v>1</v>
      </c>
      <c r="Y13">
        <v>5</v>
      </c>
      <c r="Z13">
        <v>14</v>
      </c>
      <c r="AA13">
        <v>17</v>
      </c>
      <c r="AB13" s="50">
        <f>Wide_table___Brazil[[#This Row],[Wh]]/(Wide_table___Brazil[[#This Row],[Wh]]+Wide_table___Brazil[[#This Row],[Dh]]+Wide_table___Brazil[[#This Row],[Lh]])</f>
        <v>0.55555555555555558</v>
      </c>
      <c r="AC13" s="50">
        <f>Wide_table___Brazil[[#This Row],[Wa]]/(Wide_table___Brazil[[#This Row],[Wa]]+Wide_table___Brazil[[#This Row],[Da]]+Wide_table___Brazil[[#This Row],[La]])</f>
        <v>0.4</v>
      </c>
    </row>
    <row r="14" spans="1:29" x14ac:dyDescent="0.25">
      <c r="A14">
        <v>8</v>
      </c>
      <c r="B14" t="s">
        <v>309</v>
      </c>
      <c r="C14">
        <v>19</v>
      </c>
      <c r="D14">
        <v>8</v>
      </c>
      <c r="E14">
        <v>5</v>
      </c>
      <c r="F14">
        <v>6</v>
      </c>
      <c r="G14">
        <v>19</v>
      </c>
      <c r="H14">
        <v>19</v>
      </c>
      <c r="I14">
        <v>0</v>
      </c>
      <c r="J14">
        <v>29</v>
      </c>
      <c r="L14">
        <v>153</v>
      </c>
      <c r="N14">
        <v>6</v>
      </c>
      <c r="O14">
        <v>2</v>
      </c>
      <c r="P14">
        <v>2</v>
      </c>
      <c r="Q14">
        <v>12</v>
      </c>
      <c r="R14">
        <v>6</v>
      </c>
      <c r="W14">
        <v>2</v>
      </c>
      <c r="X14">
        <v>3</v>
      </c>
      <c r="Y14">
        <v>4</v>
      </c>
      <c r="Z14">
        <v>7</v>
      </c>
      <c r="AA14">
        <v>13</v>
      </c>
      <c r="AB14" s="50">
        <f>Wide_table___Brazil[[#This Row],[Wh]]/(Wide_table___Brazil[[#This Row],[Wh]]+Wide_table___Brazil[[#This Row],[Dh]]+Wide_table___Brazil[[#This Row],[Lh]])</f>
        <v>0.6</v>
      </c>
      <c r="AC14" s="50">
        <f>Wide_table___Brazil[[#This Row],[Wa]]/(Wide_table___Brazil[[#This Row],[Wa]]+Wide_table___Brazil[[#This Row],[Da]]+Wide_table___Brazil[[#This Row],[La]])</f>
        <v>0.22222222222222221</v>
      </c>
    </row>
    <row r="15" spans="1:29" x14ac:dyDescent="0.25">
      <c r="A15">
        <v>16</v>
      </c>
      <c r="B15" t="s">
        <v>303</v>
      </c>
      <c r="C15">
        <v>19</v>
      </c>
      <c r="D15">
        <v>6</v>
      </c>
      <c r="E15">
        <v>6</v>
      </c>
      <c r="F15">
        <v>7</v>
      </c>
      <c r="G15">
        <v>23</v>
      </c>
      <c r="H15">
        <v>28</v>
      </c>
      <c r="I15">
        <v>-5</v>
      </c>
      <c r="J15">
        <v>24</v>
      </c>
      <c r="L15">
        <v>126</v>
      </c>
      <c r="N15">
        <v>3</v>
      </c>
      <c r="O15">
        <v>3</v>
      </c>
      <c r="P15">
        <v>3</v>
      </c>
      <c r="Q15">
        <v>12</v>
      </c>
      <c r="R15">
        <v>13</v>
      </c>
      <c r="W15">
        <v>3</v>
      </c>
      <c r="X15">
        <v>3</v>
      </c>
      <c r="Y15">
        <v>4</v>
      </c>
      <c r="Z15">
        <v>11</v>
      </c>
      <c r="AA15">
        <v>15</v>
      </c>
      <c r="AB15" s="50">
        <f>Wide_table___Brazil[[#This Row],[Wh]]/(Wide_table___Brazil[[#This Row],[Wh]]+Wide_table___Brazil[[#This Row],[Dh]]+Wide_table___Brazil[[#This Row],[Lh]])</f>
        <v>0.33333333333333331</v>
      </c>
      <c r="AC15" s="50">
        <f>Wide_table___Brazil[[#This Row],[Wa]]/(Wide_table___Brazil[[#This Row],[Wa]]+Wide_table___Brazil[[#This Row],[Da]]+Wide_table___Brazil[[#This Row],[La]])</f>
        <v>0.3</v>
      </c>
    </row>
    <row r="16" spans="1:29" x14ac:dyDescent="0.25">
      <c r="A16">
        <v>4</v>
      </c>
      <c r="B16" t="s">
        <v>291</v>
      </c>
      <c r="C16">
        <v>19</v>
      </c>
      <c r="D16">
        <v>9</v>
      </c>
      <c r="E16">
        <v>5</v>
      </c>
      <c r="F16">
        <v>5</v>
      </c>
      <c r="G16">
        <v>30</v>
      </c>
      <c r="H16">
        <v>20</v>
      </c>
      <c r="I16">
        <v>10</v>
      </c>
      <c r="J16">
        <v>32</v>
      </c>
      <c r="L16">
        <v>168</v>
      </c>
      <c r="N16">
        <v>6</v>
      </c>
      <c r="O16">
        <v>3</v>
      </c>
      <c r="P16">
        <v>1</v>
      </c>
      <c r="Q16">
        <v>20</v>
      </c>
      <c r="R16">
        <v>9</v>
      </c>
      <c r="W16">
        <v>3</v>
      </c>
      <c r="X16">
        <v>2</v>
      </c>
      <c r="Y16">
        <v>4</v>
      </c>
      <c r="Z16">
        <v>10</v>
      </c>
      <c r="AA16">
        <v>11</v>
      </c>
      <c r="AB16" s="50">
        <f>Wide_table___Brazil[[#This Row],[Wh]]/(Wide_table___Brazil[[#This Row],[Wh]]+Wide_table___Brazil[[#This Row],[Dh]]+Wide_table___Brazil[[#This Row],[Lh]])</f>
        <v>0.6</v>
      </c>
      <c r="AC16" s="50">
        <f>Wide_table___Brazil[[#This Row],[Wa]]/(Wide_table___Brazil[[#This Row],[Wa]]+Wide_table___Brazil[[#This Row],[Da]]+Wide_table___Brazil[[#This Row],[La]])</f>
        <v>0.33333333333333331</v>
      </c>
    </row>
    <row r="17" spans="1:29" x14ac:dyDescent="0.25">
      <c r="A17">
        <v>17</v>
      </c>
      <c r="B17" t="s">
        <v>307</v>
      </c>
      <c r="C17">
        <v>19</v>
      </c>
      <c r="D17">
        <v>6</v>
      </c>
      <c r="E17">
        <v>4</v>
      </c>
      <c r="F17">
        <v>9</v>
      </c>
      <c r="G17">
        <v>18</v>
      </c>
      <c r="H17">
        <v>24</v>
      </c>
      <c r="I17">
        <v>-6</v>
      </c>
      <c r="J17">
        <v>22</v>
      </c>
      <c r="L17">
        <v>116</v>
      </c>
      <c r="N17">
        <v>5</v>
      </c>
      <c r="O17">
        <v>1</v>
      </c>
      <c r="P17">
        <v>3</v>
      </c>
      <c r="Q17">
        <v>10</v>
      </c>
      <c r="R17">
        <v>7</v>
      </c>
      <c r="W17">
        <v>1</v>
      </c>
      <c r="X17">
        <v>3</v>
      </c>
      <c r="Y17">
        <v>6</v>
      </c>
      <c r="Z17">
        <v>8</v>
      </c>
      <c r="AA17">
        <v>17</v>
      </c>
      <c r="AB17" s="50">
        <f>Wide_table___Brazil[[#This Row],[Wh]]/(Wide_table___Brazil[[#This Row],[Wh]]+Wide_table___Brazil[[#This Row],[Dh]]+Wide_table___Brazil[[#This Row],[Lh]])</f>
        <v>0.55555555555555558</v>
      </c>
      <c r="AC17" s="50">
        <f>Wide_table___Brazil[[#This Row],[Wa]]/(Wide_table___Brazil[[#This Row],[Wa]]+Wide_table___Brazil[[#This Row],[Da]]+Wide_table___Brazil[[#This Row],[La]])</f>
        <v>0.1</v>
      </c>
    </row>
    <row r="18" spans="1:29" x14ac:dyDescent="0.25">
      <c r="A18">
        <v>4</v>
      </c>
      <c r="B18" t="s">
        <v>273</v>
      </c>
      <c r="C18">
        <v>16</v>
      </c>
      <c r="D18">
        <v>10</v>
      </c>
      <c r="E18">
        <v>4</v>
      </c>
      <c r="F18">
        <v>2</v>
      </c>
      <c r="G18">
        <v>30</v>
      </c>
      <c r="H18">
        <v>18</v>
      </c>
      <c r="I18">
        <v>12</v>
      </c>
      <c r="J18">
        <v>34</v>
      </c>
      <c r="L18">
        <v>213</v>
      </c>
      <c r="N18">
        <v>7</v>
      </c>
      <c r="O18">
        <v>0</v>
      </c>
      <c r="P18">
        <v>2</v>
      </c>
      <c r="Q18">
        <v>18</v>
      </c>
      <c r="R18">
        <v>9</v>
      </c>
      <c r="W18">
        <v>3</v>
      </c>
      <c r="X18">
        <v>4</v>
      </c>
      <c r="Y18">
        <v>0</v>
      </c>
      <c r="Z18">
        <v>12</v>
      </c>
      <c r="AA18">
        <v>9</v>
      </c>
      <c r="AB18" s="50">
        <f>Wide_table___Brazil[[#This Row],[Wh]]/(Wide_table___Brazil[[#This Row],[Wh]]+Wide_table___Brazil[[#This Row],[Dh]]+Wide_table___Brazil[[#This Row],[Lh]])</f>
        <v>0.77777777777777779</v>
      </c>
      <c r="AC18" s="50">
        <f>Wide_table___Brazil[[#This Row],[Wa]]/(Wide_table___Brazil[[#This Row],[Wa]]+Wide_table___Brazil[[#This Row],[Da]]+Wide_table___Brazil[[#This Row],[La]])</f>
        <v>0.42857142857142855</v>
      </c>
    </row>
    <row r="19" spans="1:29" x14ac:dyDescent="0.25">
      <c r="A19">
        <v>9</v>
      </c>
      <c r="B19" t="s">
        <v>281</v>
      </c>
      <c r="C19">
        <v>16</v>
      </c>
      <c r="D19">
        <v>5</v>
      </c>
      <c r="E19">
        <v>7</v>
      </c>
      <c r="F19">
        <v>4</v>
      </c>
      <c r="G19">
        <v>18</v>
      </c>
      <c r="H19">
        <v>20</v>
      </c>
      <c r="I19">
        <v>-2</v>
      </c>
      <c r="J19">
        <v>22</v>
      </c>
      <c r="L19">
        <v>138</v>
      </c>
      <c r="N19">
        <v>5</v>
      </c>
      <c r="O19">
        <v>3</v>
      </c>
      <c r="P19">
        <v>0</v>
      </c>
      <c r="Q19">
        <v>9</v>
      </c>
      <c r="R19">
        <v>4</v>
      </c>
      <c r="W19">
        <v>0</v>
      </c>
      <c r="X19">
        <v>4</v>
      </c>
      <c r="Y19">
        <v>4</v>
      </c>
      <c r="Z19">
        <v>9</v>
      </c>
      <c r="AA19">
        <v>16</v>
      </c>
      <c r="AB19" s="50">
        <f>Wide_table___Brazil[[#This Row],[Wh]]/(Wide_table___Brazil[[#This Row],[Wh]]+Wide_table___Brazil[[#This Row],[Dh]]+Wide_table___Brazil[[#This Row],[Lh]])</f>
        <v>0.625</v>
      </c>
      <c r="AC19" s="50">
        <f>Wide_table___Brazil[[#This Row],[Wa]]/(Wide_table___Brazil[[#This Row],[Wa]]+Wide_table___Brazil[[#This Row],[Da]]+Wide_table___Brazil[[#This Row],[La]])</f>
        <v>0</v>
      </c>
    </row>
    <row r="20" spans="1:29" x14ac:dyDescent="0.25">
      <c r="A20">
        <v>1</v>
      </c>
      <c r="B20" t="s">
        <v>272</v>
      </c>
      <c r="C20">
        <v>16</v>
      </c>
      <c r="D20">
        <v>13</v>
      </c>
      <c r="E20">
        <v>2</v>
      </c>
      <c r="F20">
        <v>1</v>
      </c>
      <c r="G20">
        <v>38</v>
      </c>
      <c r="H20">
        <v>20</v>
      </c>
      <c r="I20">
        <v>18</v>
      </c>
      <c r="J20">
        <v>41</v>
      </c>
      <c r="L20">
        <v>256</v>
      </c>
      <c r="N20">
        <v>6</v>
      </c>
      <c r="O20">
        <v>1</v>
      </c>
      <c r="P20">
        <v>1</v>
      </c>
      <c r="Q20">
        <v>18</v>
      </c>
      <c r="R20">
        <v>10</v>
      </c>
      <c r="W20">
        <v>7</v>
      </c>
      <c r="X20">
        <v>1</v>
      </c>
      <c r="Y20">
        <v>0</v>
      </c>
      <c r="Z20">
        <v>20</v>
      </c>
      <c r="AA20">
        <v>10</v>
      </c>
      <c r="AB20" s="50">
        <f>Wide_table___Brazil[[#This Row],[Wh]]/(Wide_table___Brazil[[#This Row],[Wh]]+Wide_table___Brazil[[#This Row],[Dh]]+Wide_table___Brazil[[#This Row],[Lh]])</f>
        <v>0.75</v>
      </c>
      <c r="AC20" s="50">
        <f>Wide_table___Brazil[[#This Row],[Wa]]/(Wide_table___Brazil[[#This Row],[Wa]]+Wide_table___Brazil[[#This Row],[Da]]+Wide_table___Brazil[[#This Row],[La]])</f>
        <v>0.875</v>
      </c>
    </row>
    <row r="21" spans="1:29" x14ac:dyDescent="0.25">
      <c r="A21">
        <v>19</v>
      </c>
      <c r="B21" t="s">
        <v>289</v>
      </c>
      <c r="C21">
        <v>15</v>
      </c>
      <c r="D21">
        <v>1</v>
      </c>
      <c r="E21">
        <v>4</v>
      </c>
      <c r="F21">
        <v>10</v>
      </c>
      <c r="G21">
        <v>19</v>
      </c>
      <c r="H21">
        <v>35</v>
      </c>
      <c r="I21">
        <v>-16</v>
      </c>
      <c r="J21">
        <v>7</v>
      </c>
      <c r="L21">
        <v>47</v>
      </c>
      <c r="N21">
        <v>1</v>
      </c>
      <c r="O21">
        <v>3</v>
      </c>
      <c r="P21">
        <v>3</v>
      </c>
      <c r="Q21">
        <v>11</v>
      </c>
      <c r="R21">
        <v>15</v>
      </c>
      <c r="W21">
        <v>0</v>
      </c>
      <c r="X21">
        <v>1</v>
      </c>
      <c r="Y21">
        <v>7</v>
      </c>
      <c r="Z21">
        <v>8</v>
      </c>
      <c r="AA21">
        <v>20</v>
      </c>
      <c r="AB21" s="50">
        <f>Wide_table___Brazil[[#This Row],[Wh]]/(Wide_table___Brazil[[#This Row],[Wh]]+Wide_table___Brazil[[#This Row],[Dh]]+Wide_table___Brazil[[#This Row],[Lh]])</f>
        <v>0.14285714285714285</v>
      </c>
      <c r="AC21" s="50">
        <f>Wide_table___Brazil[[#This Row],[Wa]]/(Wide_table___Brazil[[#This Row],[Wa]]+Wide_table___Brazil[[#This Row],[Da]]+Wide_table___Brazil[[#This Row],[La]])</f>
        <v>0</v>
      </c>
    </row>
    <row r="22" spans="1:29" x14ac:dyDescent="0.25">
      <c r="A22">
        <v>19</v>
      </c>
      <c r="B22" t="s">
        <v>310</v>
      </c>
      <c r="C22">
        <v>19</v>
      </c>
      <c r="D22">
        <v>4</v>
      </c>
      <c r="E22">
        <v>7</v>
      </c>
      <c r="F22">
        <v>8</v>
      </c>
      <c r="G22">
        <v>12</v>
      </c>
      <c r="H22">
        <v>16</v>
      </c>
      <c r="I22">
        <v>-4</v>
      </c>
      <c r="J22">
        <v>19</v>
      </c>
      <c r="L22">
        <v>100</v>
      </c>
      <c r="N22">
        <v>1</v>
      </c>
      <c r="O22">
        <v>4</v>
      </c>
      <c r="P22">
        <v>5</v>
      </c>
      <c r="Q22">
        <v>5</v>
      </c>
      <c r="R22">
        <v>10</v>
      </c>
      <c r="W22">
        <v>3</v>
      </c>
      <c r="X22">
        <v>3</v>
      </c>
      <c r="Y22">
        <v>3</v>
      </c>
      <c r="Z22">
        <v>7</v>
      </c>
      <c r="AA22">
        <v>6</v>
      </c>
      <c r="AB22" s="50">
        <f>Wide_table___Brazil[[#This Row],[Wh]]/(Wide_table___Brazil[[#This Row],[Wh]]+Wide_table___Brazil[[#This Row],[Dh]]+Wide_table___Brazil[[#This Row],[Lh]])</f>
        <v>0.1</v>
      </c>
      <c r="AC22" s="50">
        <f>Wide_table___Brazil[[#This Row],[Wa]]/(Wide_table___Brazil[[#This Row],[Wa]]+Wide_table___Brazil[[#This Row],[Da]]+Wide_table___Brazil[[#This Row],[La]])</f>
        <v>0.33333333333333331</v>
      </c>
    </row>
    <row r="23" spans="1:29" x14ac:dyDescent="0.25">
      <c r="A23">
        <v>8</v>
      </c>
      <c r="B23" t="s">
        <v>286</v>
      </c>
      <c r="C23">
        <v>16</v>
      </c>
      <c r="D23">
        <v>7</v>
      </c>
      <c r="E23">
        <v>3</v>
      </c>
      <c r="F23">
        <v>6</v>
      </c>
      <c r="G23">
        <v>14</v>
      </c>
      <c r="H23">
        <v>13</v>
      </c>
      <c r="I23">
        <v>1</v>
      </c>
      <c r="J23">
        <v>24</v>
      </c>
      <c r="L23">
        <v>150</v>
      </c>
      <c r="N23">
        <v>4</v>
      </c>
      <c r="O23">
        <v>2</v>
      </c>
      <c r="P23">
        <v>1</v>
      </c>
      <c r="Q23">
        <v>8</v>
      </c>
      <c r="R23">
        <v>4</v>
      </c>
      <c r="W23">
        <v>3</v>
      </c>
      <c r="X23">
        <v>1</v>
      </c>
      <c r="Y23">
        <v>5</v>
      </c>
      <c r="Z23">
        <v>6</v>
      </c>
      <c r="AA23">
        <v>9</v>
      </c>
      <c r="AB23" s="50">
        <f>Wide_table___Brazil[[#This Row],[Wh]]/(Wide_table___Brazil[[#This Row],[Wh]]+Wide_table___Brazil[[#This Row],[Dh]]+Wide_table___Brazil[[#This Row],[Lh]])</f>
        <v>0.5714285714285714</v>
      </c>
      <c r="AC23" s="50">
        <f>Wide_table___Brazil[[#This Row],[Wa]]/(Wide_table___Brazil[[#This Row],[Wa]]+Wide_table___Brazil[[#This Row],[Da]]+Wide_table___Brazil[[#This Row],[La]])</f>
        <v>0.33333333333333331</v>
      </c>
    </row>
    <row r="24" spans="1:29" x14ac:dyDescent="0.25">
      <c r="A24">
        <v>1</v>
      </c>
      <c r="B24" t="s">
        <v>292</v>
      </c>
      <c r="C24">
        <v>19</v>
      </c>
      <c r="D24">
        <v>11</v>
      </c>
      <c r="E24">
        <v>4</v>
      </c>
      <c r="F24">
        <v>4</v>
      </c>
      <c r="G24">
        <v>29</v>
      </c>
      <c r="H24">
        <v>11</v>
      </c>
      <c r="I24">
        <v>18</v>
      </c>
      <c r="J24">
        <v>37</v>
      </c>
      <c r="L24">
        <v>195</v>
      </c>
      <c r="N24">
        <v>6</v>
      </c>
      <c r="O24">
        <v>3</v>
      </c>
      <c r="P24">
        <v>1</v>
      </c>
      <c r="Q24">
        <v>18</v>
      </c>
      <c r="R24">
        <v>6</v>
      </c>
      <c r="W24">
        <v>5</v>
      </c>
      <c r="X24">
        <v>1</v>
      </c>
      <c r="Y24">
        <v>3</v>
      </c>
      <c r="Z24">
        <v>11</v>
      </c>
      <c r="AA24">
        <v>5</v>
      </c>
      <c r="AB24" s="50">
        <f>Wide_table___Brazil[[#This Row],[Wh]]/(Wide_table___Brazil[[#This Row],[Wh]]+Wide_table___Brazil[[#This Row],[Dh]]+Wide_table___Brazil[[#This Row],[Lh]])</f>
        <v>0.6</v>
      </c>
      <c r="AC24" s="50">
        <f>Wide_table___Brazil[[#This Row],[Wa]]/(Wide_table___Brazil[[#This Row],[Wa]]+Wide_table___Brazil[[#This Row],[Da]]+Wide_table___Brazil[[#This Row],[La]])</f>
        <v>0.55555555555555558</v>
      </c>
    </row>
    <row r="25" spans="1:29" x14ac:dyDescent="0.25">
      <c r="A25">
        <v>9</v>
      </c>
      <c r="B25" t="s">
        <v>294</v>
      </c>
      <c r="C25">
        <v>19</v>
      </c>
      <c r="D25">
        <v>7</v>
      </c>
      <c r="E25">
        <v>7</v>
      </c>
      <c r="F25">
        <v>5</v>
      </c>
      <c r="G25">
        <v>23</v>
      </c>
      <c r="H25">
        <v>23</v>
      </c>
      <c r="I25">
        <v>0</v>
      </c>
      <c r="J25">
        <v>28</v>
      </c>
      <c r="L25">
        <v>147</v>
      </c>
      <c r="N25">
        <v>4</v>
      </c>
      <c r="O25">
        <v>3</v>
      </c>
      <c r="P25">
        <v>2</v>
      </c>
      <c r="Q25">
        <v>15</v>
      </c>
      <c r="R25">
        <v>15</v>
      </c>
      <c r="W25">
        <v>3</v>
      </c>
      <c r="X25">
        <v>4</v>
      </c>
      <c r="Y25">
        <v>3</v>
      </c>
      <c r="Z25">
        <v>8</v>
      </c>
      <c r="AA25">
        <v>8</v>
      </c>
      <c r="AB25" s="50">
        <f>Wide_table___Brazil[[#This Row],[Wh]]/(Wide_table___Brazil[[#This Row],[Wh]]+Wide_table___Brazil[[#This Row],[Dh]]+Wide_table___Brazil[[#This Row],[Lh]])</f>
        <v>0.44444444444444442</v>
      </c>
      <c r="AC25" s="50">
        <f>Wide_table___Brazil[[#This Row],[Wa]]/(Wide_table___Brazil[[#This Row],[Wa]]+Wide_table___Brazil[[#This Row],[Da]]+Wide_table___Brazil[[#This Row],[La]])</f>
        <v>0.3</v>
      </c>
    </row>
    <row r="26" spans="1:29" x14ac:dyDescent="0.25">
      <c r="A26">
        <v>15</v>
      </c>
      <c r="B26" t="s">
        <v>284</v>
      </c>
      <c r="C26">
        <v>16</v>
      </c>
      <c r="D26">
        <v>2</v>
      </c>
      <c r="E26">
        <v>8</v>
      </c>
      <c r="F26">
        <v>6</v>
      </c>
      <c r="G26">
        <v>14</v>
      </c>
      <c r="H26">
        <v>20</v>
      </c>
      <c r="I26">
        <v>-6</v>
      </c>
      <c r="J26">
        <v>14</v>
      </c>
      <c r="L26">
        <v>88</v>
      </c>
      <c r="N26">
        <v>1</v>
      </c>
      <c r="O26">
        <v>6</v>
      </c>
      <c r="P26">
        <v>1</v>
      </c>
      <c r="Q26">
        <v>5</v>
      </c>
      <c r="R26">
        <v>5</v>
      </c>
      <c r="W26">
        <v>1</v>
      </c>
      <c r="X26">
        <v>2</v>
      </c>
      <c r="Y26">
        <v>5</v>
      </c>
      <c r="Z26">
        <v>9</v>
      </c>
      <c r="AA26">
        <v>15</v>
      </c>
      <c r="AB26" s="50">
        <f>Wide_table___Brazil[[#This Row],[Wh]]/(Wide_table___Brazil[[#This Row],[Wh]]+Wide_table___Brazil[[#This Row],[Dh]]+Wide_table___Brazil[[#This Row],[Lh]])</f>
        <v>0.125</v>
      </c>
      <c r="AC26" s="50">
        <f>Wide_table___Brazil[[#This Row],[Wa]]/(Wide_table___Brazil[[#This Row],[Wa]]+Wide_table___Brazil[[#This Row],[Da]]+Wide_table___Brazil[[#This Row],[La]])</f>
        <v>0.125</v>
      </c>
    </row>
    <row r="27" spans="1:29" x14ac:dyDescent="0.25">
      <c r="A27">
        <v>14</v>
      </c>
      <c r="B27" t="s">
        <v>306</v>
      </c>
      <c r="C27">
        <v>19</v>
      </c>
      <c r="D27">
        <v>6</v>
      </c>
      <c r="E27">
        <v>6</v>
      </c>
      <c r="F27">
        <v>7</v>
      </c>
      <c r="G27">
        <v>27</v>
      </c>
      <c r="H27">
        <v>28</v>
      </c>
      <c r="I27">
        <v>-1</v>
      </c>
      <c r="J27">
        <v>24</v>
      </c>
      <c r="L27">
        <v>126</v>
      </c>
      <c r="N27">
        <v>4</v>
      </c>
      <c r="O27">
        <v>2</v>
      </c>
      <c r="P27">
        <v>4</v>
      </c>
      <c r="Q27">
        <v>16</v>
      </c>
      <c r="R27">
        <v>15</v>
      </c>
      <c r="W27">
        <v>2</v>
      </c>
      <c r="X27">
        <v>4</v>
      </c>
      <c r="Y27">
        <v>3</v>
      </c>
      <c r="Z27">
        <v>11</v>
      </c>
      <c r="AA27">
        <v>13</v>
      </c>
      <c r="AB27" s="50">
        <f>Wide_table___Brazil[[#This Row],[Wh]]/(Wide_table___Brazil[[#This Row],[Wh]]+Wide_table___Brazil[[#This Row],[Dh]]+Wide_table___Brazil[[#This Row],[Lh]])</f>
        <v>0.4</v>
      </c>
      <c r="AC27" s="50">
        <f>Wide_table___Brazil[[#This Row],[Wa]]/(Wide_table___Brazil[[#This Row],[Wa]]+Wide_table___Brazil[[#This Row],[Da]]+Wide_table___Brazil[[#This Row],[La]])</f>
        <v>0.22222222222222221</v>
      </c>
    </row>
    <row r="28" spans="1:29" x14ac:dyDescent="0.25">
      <c r="A28">
        <v>14</v>
      </c>
      <c r="B28" t="s">
        <v>280</v>
      </c>
      <c r="C28">
        <v>16</v>
      </c>
      <c r="D28">
        <v>4</v>
      </c>
      <c r="E28">
        <v>4</v>
      </c>
      <c r="F28">
        <v>8</v>
      </c>
      <c r="G28">
        <v>18</v>
      </c>
      <c r="H28">
        <v>26</v>
      </c>
      <c r="I28">
        <v>-8</v>
      </c>
      <c r="J28">
        <v>16</v>
      </c>
      <c r="L28">
        <v>100</v>
      </c>
      <c r="N28">
        <v>1</v>
      </c>
      <c r="O28">
        <v>3</v>
      </c>
      <c r="P28">
        <v>4</v>
      </c>
      <c r="Q28">
        <v>7</v>
      </c>
      <c r="R28">
        <v>12</v>
      </c>
      <c r="W28">
        <v>3</v>
      </c>
      <c r="X28">
        <v>1</v>
      </c>
      <c r="Y28">
        <v>4</v>
      </c>
      <c r="Z28">
        <v>11</v>
      </c>
      <c r="AA28">
        <v>14</v>
      </c>
      <c r="AB28" s="50">
        <f>Wide_table___Brazil[[#This Row],[Wh]]/(Wide_table___Brazil[[#This Row],[Wh]]+Wide_table___Brazil[[#This Row],[Dh]]+Wide_table___Brazil[[#This Row],[Lh]])</f>
        <v>0.125</v>
      </c>
      <c r="AC28" s="50">
        <f>Wide_table___Brazil[[#This Row],[Wa]]/(Wide_table___Brazil[[#This Row],[Wa]]+Wide_table___Brazil[[#This Row],[Da]]+Wide_table___Brazil[[#This Row],[La]])</f>
        <v>0.375</v>
      </c>
    </row>
    <row r="29" spans="1:29" x14ac:dyDescent="0.25">
      <c r="A29">
        <v>7</v>
      </c>
      <c r="B29" t="s">
        <v>299</v>
      </c>
      <c r="C29">
        <v>19</v>
      </c>
      <c r="D29">
        <v>8</v>
      </c>
      <c r="E29">
        <v>5</v>
      </c>
      <c r="F29">
        <v>6</v>
      </c>
      <c r="G29">
        <v>31</v>
      </c>
      <c r="H29">
        <v>26</v>
      </c>
      <c r="I29">
        <v>5</v>
      </c>
      <c r="J29">
        <v>29</v>
      </c>
      <c r="L29">
        <v>153</v>
      </c>
      <c r="N29">
        <v>6</v>
      </c>
      <c r="O29">
        <v>2</v>
      </c>
      <c r="P29">
        <v>2</v>
      </c>
      <c r="Q29">
        <v>20</v>
      </c>
      <c r="R29">
        <v>11</v>
      </c>
      <c r="W29">
        <v>2</v>
      </c>
      <c r="X29">
        <v>3</v>
      </c>
      <c r="Y29">
        <v>4</v>
      </c>
      <c r="Z29">
        <v>11</v>
      </c>
      <c r="AA29">
        <v>15</v>
      </c>
      <c r="AB29" s="50">
        <f>Wide_table___Brazil[[#This Row],[Wh]]/(Wide_table___Brazil[[#This Row],[Wh]]+Wide_table___Brazil[[#This Row],[Dh]]+Wide_table___Brazil[[#This Row],[Lh]])</f>
        <v>0.6</v>
      </c>
      <c r="AC29" s="50">
        <f>Wide_table___Brazil[[#This Row],[Wa]]/(Wide_table___Brazil[[#This Row],[Wa]]+Wide_table___Brazil[[#This Row],[Da]]+Wide_table___Brazil[[#This Row],[La]])</f>
        <v>0.22222222222222221</v>
      </c>
    </row>
    <row r="30" spans="1:29" x14ac:dyDescent="0.25">
      <c r="A30">
        <v>6</v>
      </c>
      <c r="B30" t="s">
        <v>300</v>
      </c>
      <c r="C30">
        <v>19</v>
      </c>
      <c r="D30">
        <v>8</v>
      </c>
      <c r="E30">
        <v>7</v>
      </c>
      <c r="F30">
        <v>4</v>
      </c>
      <c r="G30">
        <v>25</v>
      </c>
      <c r="H30">
        <v>22</v>
      </c>
      <c r="I30">
        <v>3</v>
      </c>
      <c r="J30">
        <v>31</v>
      </c>
      <c r="L30">
        <v>163</v>
      </c>
      <c r="N30">
        <v>5</v>
      </c>
      <c r="O30">
        <v>4</v>
      </c>
      <c r="P30">
        <v>0</v>
      </c>
      <c r="Q30">
        <v>15</v>
      </c>
      <c r="R30">
        <v>9</v>
      </c>
      <c r="W30">
        <v>3</v>
      </c>
      <c r="X30">
        <v>3</v>
      </c>
      <c r="Y30">
        <v>4</v>
      </c>
      <c r="Z30">
        <v>10</v>
      </c>
      <c r="AA30">
        <v>13</v>
      </c>
      <c r="AB30" s="50">
        <f>Wide_table___Brazil[[#This Row],[Wh]]/(Wide_table___Brazil[[#This Row],[Wh]]+Wide_table___Brazil[[#This Row],[Dh]]+Wide_table___Brazil[[#This Row],[Lh]])</f>
        <v>0.55555555555555558</v>
      </c>
      <c r="AC30" s="50">
        <f>Wide_table___Brazil[[#This Row],[Wa]]/(Wide_table___Brazil[[#This Row],[Wa]]+Wide_table___Brazil[[#This Row],[Da]]+Wide_table___Brazil[[#This Row],[La]])</f>
        <v>0.3</v>
      </c>
    </row>
    <row r="31" spans="1:29" x14ac:dyDescent="0.25">
      <c r="A31">
        <v>11</v>
      </c>
      <c r="B31" t="s">
        <v>277</v>
      </c>
      <c r="C31">
        <v>15</v>
      </c>
      <c r="D31">
        <v>4</v>
      </c>
      <c r="E31">
        <v>7</v>
      </c>
      <c r="F31">
        <v>4</v>
      </c>
      <c r="G31">
        <v>16</v>
      </c>
      <c r="H31">
        <v>22</v>
      </c>
      <c r="I31">
        <v>-6</v>
      </c>
      <c r="J31">
        <v>19</v>
      </c>
      <c r="L31">
        <v>127</v>
      </c>
      <c r="N31">
        <v>1</v>
      </c>
      <c r="O31">
        <v>4</v>
      </c>
      <c r="P31">
        <v>2</v>
      </c>
      <c r="Q31">
        <v>9</v>
      </c>
      <c r="R31">
        <v>15</v>
      </c>
      <c r="W31">
        <v>3</v>
      </c>
      <c r="X31">
        <v>3</v>
      </c>
      <c r="Y31">
        <v>2</v>
      </c>
      <c r="Z31">
        <v>7</v>
      </c>
      <c r="AA31">
        <v>7</v>
      </c>
      <c r="AB31" s="50">
        <f>Wide_table___Brazil[[#This Row],[Wh]]/(Wide_table___Brazil[[#This Row],[Wh]]+Wide_table___Brazil[[#This Row],[Dh]]+Wide_table___Brazil[[#This Row],[Lh]])</f>
        <v>0.14285714285714285</v>
      </c>
      <c r="AC31" s="50">
        <f>Wide_table___Brazil[[#This Row],[Wa]]/(Wide_table___Brazil[[#This Row],[Wa]]+Wide_table___Brazil[[#This Row],[Da]]+Wide_table___Brazil[[#This Row],[La]])</f>
        <v>0.375</v>
      </c>
    </row>
    <row r="32" spans="1:29" x14ac:dyDescent="0.25">
      <c r="A32">
        <v>7</v>
      </c>
      <c r="B32" t="s">
        <v>278</v>
      </c>
      <c r="C32">
        <v>16</v>
      </c>
      <c r="D32">
        <v>6</v>
      </c>
      <c r="E32">
        <v>8</v>
      </c>
      <c r="F32">
        <v>2</v>
      </c>
      <c r="G32">
        <v>19</v>
      </c>
      <c r="H32">
        <v>17</v>
      </c>
      <c r="I32">
        <v>2</v>
      </c>
      <c r="J32">
        <v>26</v>
      </c>
      <c r="L32">
        <v>163</v>
      </c>
      <c r="N32">
        <v>5</v>
      </c>
      <c r="O32">
        <v>3</v>
      </c>
      <c r="P32">
        <v>0</v>
      </c>
      <c r="Q32">
        <v>11</v>
      </c>
      <c r="R32">
        <v>3</v>
      </c>
      <c r="W32">
        <v>1</v>
      </c>
      <c r="X32">
        <v>5</v>
      </c>
      <c r="Y32">
        <v>2</v>
      </c>
      <c r="Z32">
        <v>8</v>
      </c>
      <c r="AA32">
        <v>14</v>
      </c>
      <c r="AB32" s="50">
        <f>Wide_table___Brazil[[#This Row],[Wh]]/(Wide_table___Brazil[[#This Row],[Wh]]+Wide_table___Brazil[[#This Row],[Dh]]+Wide_table___Brazil[[#This Row],[Lh]])</f>
        <v>0.625</v>
      </c>
      <c r="AC32" s="50">
        <f>Wide_table___Brazil[[#This Row],[Wa]]/(Wide_table___Brazil[[#This Row],[Wa]]+Wide_table___Brazil[[#This Row],[Da]]+Wide_table___Brazil[[#This Row],[La]])</f>
        <v>0.125</v>
      </c>
    </row>
    <row r="33" spans="1:29" x14ac:dyDescent="0.25">
      <c r="A33">
        <v>2</v>
      </c>
      <c r="B33" t="s">
        <v>271</v>
      </c>
      <c r="C33">
        <v>16</v>
      </c>
      <c r="D33">
        <v>12</v>
      </c>
      <c r="E33">
        <v>3</v>
      </c>
      <c r="F33">
        <v>1</v>
      </c>
      <c r="G33">
        <v>34</v>
      </c>
      <c r="H33">
        <v>10</v>
      </c>
      <c r="I33">
        <v>24</v>
      </c>
      <c r="J33">
        <v>39</v>
      </c>
      <c r="L33">
        <v>244</v>
      </c>
      <c r="N33">
        <v>6</v>
      </c>
      <c r="O33">
        <v>1</v>
      </c>
      <c r="P33">
        <v>0</v>
      </c>
      <c r="Q33">
        <v>17</v>
      </c>
      <c r="R33">
        <v>3</v>
      </c>
      <c r="W33">
        <v>6</v>
      </c>
      <c r="X33">
        <v>2</v>
      </c>
      <c r="Y33">
        <v>1</v>
      </c>
      <c r="Z33">
        <v>17</v>
      </c>
      <c r="AA33">
        <v>7</v>
      </c>
      <c r="AB33" s="50">
        <f>Wide_table___Brazil[[#This Row],[Wh]]/(Wide_table___Brazil[[#This Row],[Wh]]+Wide_table___Brazil[[#This Row],[Dh]]+Wide_table___Brazil[[#This Row],[Lh]])</f>
        <v>0.8571428571428571</v>
      </c>
      <c r="AC33" s="50">
        <f>Wide_table___Brazil[[#This Row],[Wa]]/(Wide_table___Brazil[[#This Row],[Wa]]+Wide_table___Brazil[[#This Row],[Da]]+Wide_table___Brazil[[#This Row],[La]])</f>
        <v>0.66666666666666663</v>
      </c>
    </row>
    <row r="34" spans="1:29" x14ac:dyDescent="0.25">
      <c r="A34">
        <v>11</v>
      </c>
      <c r="B34" t="s">
        <v>305</v>
      </c>
      <c r="C34">
        <v>19</v>
      </c>
      <c r="D34">
        <v>6</v>
      </c>
      <c r="E34">
        <v>8</v>
      </c>
      <c r="F34">
        <v>5</v>
      </c>
      <c r="G34">
        <v>19</v>
      </c>
      <c r="H34">
        <v>13</v>
      </c>
      <c r="I34">
        <v>6</v>
      </c>
      <c r="J34">
        <v>26</v>
      </c>
      <c r="L34">
        <v>137</v>
      </c>
      <c r="N34">
        <v>5</v>
      </c>
      <c r="O34">
        <v>3</v>
      </c>
      <c r="P34">
        <v>1</v>
      </c>
      <c r="Q34">
        <v>12</v>
      </c>
      <c r="R34">
        <v>4</v>
      </c>
      <c r="W34">
        <v>1</v>
      </c>
      <c r="X34">
        <v>5</v>
      </c>
      <c r="Y34">
        <v>4</v>
      </c>
      <c r="Z34">
        <v>7</v>
      </c>
      <c r="AA34">
        <v>9</v>
      </c>
      <c r="AB34" s="50">
        <f>Wide_table___Brazil[[#This Row],[Wh]]/(Wide_table___Brazil[[#This Row],[Wh]]+Wide_table___Brazil[[#This Row],[Dh]]+Wide_table___Brazil[[#This Row],[Lh]])</f>
        <v>0.55555555555555558</v>
      </c>
      <c r="AC34" s="50">
        <f>Wide_table___Brazil[[#This Row],[Wa]]/(Wide_table___Brazil[[#This Row],[Wa]]+Wide_table___Brazil[[#This Row],[Da]]+Wide_table___Brazil[[#This Row],[La]])</f>
        <v>0.1</v>
      </c>
    </row>
    <row r="35" spans="1:29" x14ac:dyDescent="0.25">
      <c r="A35">
        <v>5</v>
      </c>
      <c r="B35" t="s">
        <v>276</v>
      </c>
      <c r="C35">
        <v>16</v>
      </c>
      <c r="D35">
        <v>8</v>
      </c>
      <c r="E35">
        <v>5</v>
      </c>
      <c r="F35">
        <v>3</v>
      </c>
      <c r="G35">
        <v>29</v>
      </c>
      <c r="H35">
        <v>18</v>
      </c>
      <c r="I35">
        <v>11</v>
      </c>
      <c r="J35">
        <v>29</v>
      </c>
      <c r="L35">
        <v>181</v>
      </c>
      <c r="N35">
        <v>5</v>
      </c>
      <c r="O35">
        <v>2</v>
      </c>
      <c r="P35">
        <v>1</v>
      </c>
      <c r="Q35">
        <v>17</v>
      </c>
      <c r="R35">
        <v>10</v>
      </c>
      <c r="W35">
        <v>3</v>
      </c>
      <c r="X35">
        <v>3</v>
      </c>
      <c r="Y35">
        <v>2</v>
      </c>
      <c r="Z35">
        <v>12</v>
      </c>
      <c r="AA35">
        <v>8</v>
      </c>
      <c r="AB35" s="50">
        <f>Wide_table___Brazil[[#This Row],[Wh]]/(Wide_table___Brazil[[#This Row],[Wh]]+Wide_table___Brazil[[#This Row],[Dh]]+Wide_table___Brazil[[#This Row],[Lh]])</f>
        <v>0.625</v>
      </c>
      <c r="AC35" s="50">
        <f>Wide_table___Brazil[[#This Row],[Wa]]/(Wide_table___Brazil[[#This Row],[Wa]]+Wide_table___Brazil[[#This Row],[Da]]+Wide_table___Brazil[[#This Row],[La]])</f>
        <v>0.375</v>
      </c>
    </row>
    <row r="36" spans="1:29" x14ac:dyDescent="0.25">
      <c r="A36">
        <v>12</v>
      </c>
      <c r="B36" t="s">
        <v>293</v>
      </c>
      <c r="C36">
        <v>19</v>
      </c>
      <c r="D36">
        <v>7</v>
      </c>
      <c r="E36">
        <v>5</v>
      </c>
      <c r="F36">
        <v>7</v>
      </c>
      <c r="G36">
        <v>18</v>
      </c>
      <c r="H36">
        <v>18</v>
      </c>
      <c r="I36">
        <v>0</v>
      </c>
      <c r="J36">
        <v>26</v>
      </c>
      <c r="L36">
        <v>137</v>
      </c>
      <c r="N36">
        <v>4</v>
      </c>
      <c r="O36">
        <v>2</v>
      </c>
      <c r="P36">
        <v>4</v>
      </c>
      <c r="Q36">
        <v>9</v>
      </c>
      <c r="R36">
        <v>9</v>
      </c>
      <c r="W36">
        <v>3</v>
      </c>
      <c r="X36">
        <v>3</v>
      </c>
      <c r="Y36">
        <v>3</v>
      </c>
      <c r="Z36">
        <v>9</v>
      </c>
      <c r="AA36">
        <v>9</v>
      </c>
      <c r="AB36" s="50">
        <f>Wide_table___Brazil[[#This Row],[Wh]]/(Wide_table___Brazil[[#This Row],[Wh]]+Wide_table___Brazil[[#This Row],[Dh]]+Wide_table___Brazil[[#This Row],[Lh]])</f>
        <v>0.4</v>
      </c>
      <c r="AC36" s="50">
        <f>Wide_table___Brazil[[#This Row],[Wa]]/(Wide_table___Brazil[[#This Row],[Wa]]+Wide_table___Brazil[[#This Row],[Da]]+Wide_table___Brazil[[#This Row],[La]])</f>
        <v>0.33333333333333331</v>
      </c>
    </row>
    <row r="37" spans="1:29" x14ac:dyDescent="0.25">
      <c r="A37">
        <v>16</v>
      </c>
      <c r="B37" t="s">
        <v>283</v>
      </c>
      <c r="C37">
        <v>15</v>
      </c>
      <c r="D37">
        <v>2</v>
      </c>
      <c r="E37">
        <v>7</v>
      </c>
      <c r="F37">
        <v>6</v>
      </c>
      <c r="G37">
        <v>20</v>
      </c>
      <c r="H37">
        <v>21</v>
      </c>
      <c r="I37">
        <v>-1</v>
      </c>
      <c r="J37">
        <v>13</v>
      </c>
      <c r="L37">
        <v>87</v>
      </c>
      <c r="N37">
        <v>2</v>
      </c>
      <c r="O37">
        <v>4</v>
      </c>
      <c r="P37">
        <v>2</v>
      </c>
      <c r="Q37">
        <v>13</v>
      </c>
      <c r="R37">
        <v>10</v>
      </c>
      <c r="W37">
        <v>0</v>
      </c>
      <c r="X37">
        <v>3</v>
      </c>
      <c r="Y37">
        <v>4</v>
      </c>
      <c r="Z37">
        <v>7</v>
      </c>
      <c r="AA37">
        <v>11</v>
      </c>
      <c r="AB37" s="50">
        <f>Wide_table___Brazil[[#This Row],[Wh]]/(Wide_table___Brazil[[#This Row],[Wh]]+Wide_table___Brazil[[#This Row],[Dh]]+Wide_table___Brazil[[#This Row],[Lh]])</f>
        <v>0.25</v>
      </c>
      <c r="AC37" s="50">
        <f>Wide_table___Brazil[[#This Row],[Wa]]/(Wide_table___Brazil[[#This Row],[Wa]]+Wide_table___Brazil[[#This Row],[Da]]+Wide_table___Brazil[[#This Row],[La]])</f>
        <v>0</v>
      </c>
    </row>
    <row r="38" spans="1:29" x14ac:dyDescent="0.25">
      <c r="A38">
        <v>3</v>
      </c>
      <c r="B38" t="s">
        <v>296</v>
      </c>
      <c r="C38">
        <v>19</v>
      </c>
      <c r="D38">
        <v>9</v>
      </c>
      <c r="E38">
        <v>6</v>
      </c>
      <c r="F38">
        <v>4</v>
      </c>
      <c r="G38">
        <v>25</v>
      </c>
      <c r="H38">
        <v>14</v>
      </c>
      <c r="I38">
        <v>11</v>
      </c>
      <c r="J38">
        <v>33</v>
      </c>
      <c r="L38">
        <v>174</v>
      </c>
      <c r="N38">
        <v>6</v>
      </c>
      <c r="O38">
        <v>3</v>
      </c>
      <c r="P38">
        <v>0</v>
      </c>
      <c r="Q38">
        <v>16</v>
      </c>
      <c r="R38">
        <v>5</v>
      </c>
      <c r="W38">
        <v>3</v>
      </c>
      <c r="X38">
        <v>3</v>
      </c>
      <c r="Y38">
        <v>4</v>
      </c>
      <c r="Z38">
        <v>9</v>
      </c>
      <c r="AA38">
        <v>9</v>
      </c>
      <c r="AB38" s="50">
        <f>Wide_table___Brazil[[#This Row],[Wh]]/(Wide_table___Brazil[[#This Row],[Wh]]+Wide_table___Brazil[[#This Row],[Dh]]+Wide_table___Brazil[[#This Row],[Lh]])</f>
        <v>0.66666666666666663</v>
      </c>
      <c r="AC38" s="50">
        <f>Wide_table___Brazil[[#This Row],[Wa]]/(Wide_table___Brazil[[#This Row],[Wa]]+Wide_table___Brazil[[#This Row],[Da]]+Wide_table___Brazil[[#This Row],[La]])</f>
        <v>0.3</v>
      </c>
    </row>
    <row r="39" spans="1:29" x14ac:dyDescent="0.25">
      <c r="A39">
        <v>10</v>
      </c>
      <c r="B39" t="s">
        <v>295</v>
      </c>
      <c r="C39">
        <v>18</v>
      </c>
      <c r="D39">
        <v>8</v>
      </c>
      <c r="E39">
        <v>3</v>
      </c>
      <c r="F39">
        <v>7</v>
      </c>
      <c r="G39">
        <v>18</v>
      </c>
      <c r="H39">
        <v>16</v>
      </c>
      <c r="I39">
        <v>2</v>
      </c>
      <c r="J39">
        <v>27</v>
      </c>
      <c r="L39">
        <v>150</v>
      </c>
      <c r="N39">
        <v>5</v>
      </c>
      <c r="O39">
        <v>2</v>
      </c>
      <c r="P39">
        <v>2</v>
      </c>
      <c r="Q39">
        <v>9</v>
      </c>
      <c r="R39">
        <v>4</v>
      </c>
      <c r="W39">
        <v>3</v>
      </c>
      <c r="X39">
        <v>1</v>
      </c>
      <c r="Y39">
        <v>5</v>
      </c>
      <c r="Z39">
        <v>9</v>
      </c>
      <c r="AA39">
        <v>12</v>
      </c>
      <c r="AB39" s="50">
        <f>Wide_table___Brazil[[#This Row],[Wh]]/(Wide_table___Brazil[[#This Row],[Wh]]+Wide_table___Brazil[[#This Row],[Dh]]+Wide_table___Brazil[[#This Row],[Lh]])</f>
        <v>0.55555555555555558</v>
      </c>
      <c r="AC39" s="50">
        <f>Wide_table___Brazil[[#This Row],[Wa]]/(Wide_table___Brazil[[#This Row],[Wa]]+Wide_table___Brazil[[#This Row],[Da]]+Wide_table___Brazil[[#This Row],[La]])</f>
        <v>0.33333333333333331</v>
      </c>
    </row>
    <row r="40" spans="1:29" x14ac:dyDescent="0.25">
      <c r="A40">
        <v>10</v>
      </c>
      <c r="B40" t="s">
        <v>279</v>
      </c>
      <c r="C40">
        <v>16</v>
      </c>
      <c r="D40">
        <v>5</v>
      </c>
      <c r="E40">
        <v>4</v>
      </c>
      <c r="F40">
        <v>7</v>
      </c>
      <c r="G40">
        <v>17</v>
      </c>
      <c r="H40">
        <v>21</v>
      </c>
      <c r="I40">
        <v>-4</v>
      </c>
      <c r="J40">
        <v>19</v>
      </c>
      <c r="L40">
        <v>119</v>
      </c>
      <c r="N40">
        <v>4</v>
      </c>
      <c r="O40">
        <v>1</v>
      </c>
      <c r="P40">
        <v>2</v>
      </c>
      <c r="Q40">
        <v>8</v>
      </c>
      <c r="R40">
        <v>3</v>
      </c>
      <c r="W40">
        <v>1</v>
      </c>
      <c r="X40">
        <v>3</v>
      </c>
      <c r="Y40">
        <v>5</v>
      </c>
      <c r="Z40">
        <v>9</v>
      </c>
      <c r="AA40">
        <v>18</v>
      </c>
      <c r="AB40" s="50">
        <f>Wide_table___Brazil[[#This Row],[Wh]]/(Wide_table___Brazil[[#This Row],[Wh]]+Wide_table___Brazil[[#This Row],[Dh]]+Wide_table___Brazil[[#This Row],[Lh]])</f>
        <v>0.5714285714285714</v>
      </c>
      <c r="AC40" s="50">
        <f>Wide_table___Brazil[[#This Row],[Wa]]/(Wide_table___Brazil[[#This Row],[Wa]]+Wide_table___Brazil[[#This Row],[Da]]+Wide_table___Brazil[[#This Row],[La]])</f>
        <v>0.1111111111111111</v>
      </c>
    </row>
    <row r="41" spans="1:29" x14ac:dyDescent="0.25">
      <c r="A41">
        <v>2</v>
      </c>
      <c r="B41" t="s">
        <v>297</v>
      </c>
      <c r="C41">
        <v>19</v>
      </c>
      <c r="D41">
        <v>11</v>
      </c>
      <c r="E41">
        <v>2</v>
      </c>
      <c r="F41">
        <v>6</v>
      </c>
      <c r="G41">
        <v>25</v>
      </c>
      <c r="H41">
        <v>21</v>
      </c>
      <c r="I41">
        <v>4</v>
      </c>
      <c r="J41">
        <v>35</v>
      </c>
      <c r="L41">
        <v>184</v>
      </c>
      <c r="N41">
        <v>7</v>
      </c>
      <c r="O41">
        <v>2</v>
      </c>
      <c r="P41">
        <v>1</v>
      </c>
      <c r="Q41">
        <v>17</v>
      </c>
      <c r="R41">
        <v>7</v>
      </c>
      <c r="W41">
        <v>4</v>
      </c>
      <c r="X41">
        <v>0</v>
      </c>
      <c r="Y41">
        <v>5</v>
      </c>
      <c r="Z41">
        <v>8</v>
      </c>
      <c r="AA41">
        <v>14</v>
      </c>
      <c r="AB41" s="50">
        <f>Wide_table___Brazil[[#This Row],[Wh]]/(Wide_table___Brazil[[#This Row],[Wh]]+Wide_table___Brazil[[#This Row],[Dh]]+Wide_table___Brazil[[#This Row],[Lh]])</f>
        <v>0.7</v>
      </c>
      <c r="AC41" s="50">
        <f>Wide_table___Brazil[[#This Row],[Wa]]/(Wide_table___Brazil[[#This Row],[Wa]]+Wide_table___Brazil[[#This Row],[Da]]+Wide_table___Brazil[[#This Row],[La]])</f>
        <v>0.44444444444444442</v>
      </c>
    </row>
    <row r="42" spans="1:29" x14ac:dyDescent="0.25">
      <c r="A42">
        <v>13</v>
      </c>
      <c r="B42" t="s">
        <v>285</v>
      </c>
      <c r="C42">
        <v>16</v>
      </c>
      <c r="D42">
        <v>4</v>
      </c>
      <c r="E42">
        <v>4</v>
      </c>
      <c r="F42">
        <v>8</v>
      </c>
      <c r="G42">
        <v>22</v>
      </c>
      <c r="H42">
        <v>29</v>
      </c>
      <c r="I42">
        <v>-7</v>
      </c>
      <c r="J42">
        <v>16</v>
      </c>
      <c r="L42">
        <v>100</v>
      </c>
      <c r="N42">
        <v>2</v>
      </c>
      <c r="O42">
        <v>1</v>
      </c>
      <c r="P42">
        <v>6</v>
      </c>
      <c r="Q42">
        <v>14</v>
      </c>
      <c r="R42">
        <v>19</v>
      </c>
      <c r="W42">
        <v>2</v>
      </c>
      <c r="X42">
        <v>3</v>
      </c>
      <c r="Y42">
        <v>2</v>
      </c>
      <c r="Z42">
        <v>8</v>
      </c>
      <c r="AA42">
        <v>10</v>
      </c>
      <c r="AB42" s="50">
        <f>Wide_table___Brazil[[#This Row],[Wh]]/(Wide_table___Brazil[[#This Row],[Wh]]+Wide_table___Brazil[[#This Row],[Dh]]+Wide_table___Brazil[[#This Row],[Lh]])</f>
        <v>0.22222222222222221</v>
      </c>
      <c r="AC42" s="50">
        <f>Wide_table___Brazil[[#This Row],[Wa]]/(Wide_table___Brazil[[#This Row],[Wa]]+Wide_table___Brazil[[#This Row],[Da]]+Wide_table___Brazil[[#This Row],[La]])</f>
        <v>0.2857142857142857</v>
      </c>
    </row>
    <row r="43" spans="1:29" x14ac:dyDescent="0.25">
      <c r="A43">
        <v>18</v>
      </c>
      <c r="B43" t="s">
        <v>304</v>
      </c>
      <c r="C43">
        <v>19</v>
      </c>
      <c r="D43">
        <v>5</v>
      </c>
      <c r="E43">
        <v>5</v>
      </c>
      <c r="F43">
        <v>9</v>
      </c>
      <c r="G43">
        <v>21</v>
      </c>
      <c r="H43">
        <v>29</v>
      </c>
      <c r="I43">
        <v>-8</v>
      </c>
      <c r="J43">
        <v>20</v>
      </c>
      <c r="L43">
        <v>105</v>
      </c>
      <c r="N43">
        <v>4</v>
      </c>
      <c r="O43">
        <v>2</v>
      </c>
      <c r="P43">
        <v>3</v>
      </c>
      <c r="Q43">
        <v>13</v>
      </c>
      <c r="R43">
        <v>13</v>
      </c>
      <c r="W43">
        <v>1</v>
      </c>
      <c r="X43">
        <v>3</v>
      </c>
      <c r="Y43">
        <v>6</v>
      </c>
      <c r="Z43">
        <v>8</v>
      </c>
      <c r="AA43">
        <v>16</v>
      </c>
      <c r="AB43" s="50">
        <f>Wide_table___Brazil[[#This Row],[Wh]]/(Wide_table___Brazil[[#This Row],[Wh]]+Wide_table___Brazil[[#This Row],[Dh]]+Wide_table___Brazil[[#This Row],[Lh]])</f>
        <v>0.44444444444444442</v>
      </c>
      <c r="AC43" s="50">
        <f>Wide_table___Brazil[[#This Row],[Wa]]/(Wide_table___Brazil[[#This Row],[Wa]]+Wide_table___Brazil[[#This Row],[Da]]+Wide_table___Brazil[[#This Row],[La]])</f>
        <v>0.1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43"/>
  <sheetViews>
    <sheetView workbookViewId="0">
      <selection sqref="A1:N41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160</v>
      </c>
      <c r="B1" t="s">
        <v>0</v>
      </c>
      <c r="C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N1" t="s">
        <v>172</v>
      </c>
    </row>
    <row r="2" spans="1:14" x14ac:dyDescent="0.25">
      <c r="A2" t="s">
        <v>287</v>
      </c>
      <c r="B2">
        <v>16</v>
      </c>
      <c r="C2">
        <v>213</v>
      </c>
      <c r="D2">
        <v>0.94</v>
      </c>
      <c r="E2">
        <v>0.62</v>
      </c>
      <c r="F2">
        <v>0.25</v>
      </c>
      <c r="G2">
        <v>0.12</v>
      </c>
      <c r="H2">
        <v>0.06</v>
      </c>
      <c r="I2">
        <v>0.06</v>
      </c>
      <c r="J2">
        <v>0.44</v>
      </c>
      <c r="K2">
        <v>0.19</v>
      </c>
      <c r="L2">
        <v>0.44</v>
      </c>
      <c r="M2">
        <v>0.12</v>
      </c>
      <c r="N2">
        <v>0.38</v>
      </c>
    </row>
    <row r="3" spans="1:14" x14ac:dyDescent="0.25">
      <c r="A3" t="s">
        <v>301</v>
      </c>
      <c r="B3">
        <v>19</v>
      </c>
      <c r="C3">
        <v>274</v>
      </c>
      <c r="D3">
        <v>0.95</v>
      </c>
      <c r="E3">
        <v>0.89</v>
      </c>
      <c r="F3">
        <v>0.42</v>
      </c>
      <c r="G3">
        <v>0.21</v>
      </c>
      <c r="H3">
        <v>0.05</v>
      </c>
      <c r="I3">
        <v>0.05</v>
      </c>
      <c r="J3">
        <v>0.57999999999999996</v>
      </c>
      <c r="K3">
        <v>0.21</v>
      </c>
      <c r="L3">
        <v>0.26</v>
      </c>
      <c r="M3">
        <v>0.16</v>
      </c>
      <c r="N3">
        <v>0.21</v>
      </c>
    </row>
    <row r="4" spans="1:14" x14ac:dyDescent="0.25">
      <c r="A4" t="s">
        <v>311</v>
      </c>
      <c r="B4">
        <v>18</v>
      </c>
      <c r="C4">
        <v>261</v>
      </c>
      <c r="D4">
        <v>0.94</v>
      </c>
      <c r="E4">
        <v>0.94</v>
      </c>
      <c r="F4">
        <v>0.33</v>
      </c>
      <c r="G4">
        <v>0.28000000000000003</v>
      </c>
      <c r="H4">
        <v>0.06</v>
      </c>
      <c r="I4">
        <v>0.06</v>
      </c>
      <c r="J4">
        <v>0.39</v>
      </c>
      <c r="K4">
        <v>0.17</v>
      </c>
      <c r="L4">
        <v>0.5</v>
      </c>
      <c r="M4">
        <v>0.11</v>
      </c>
      <c r="N4">
        <v>0.44</v>
      </c>
    </row>
    <row r="5" spans="1:14" x14ac:dyDescent="0.25">
      <c r="A5" t="s">
        <v>290</v>
      </c>
      <c r="B5">
        <v>16</v>
      </c>
      <c r="C5">
        <v>350</v>
      </c>
      <c r="D5">
        <v>0.94</v>
      </c>
      <c r="E5">
        <v>0.88</v>
      </c>
      <c r="F5">
        <v>0.75</v>
      </c>
      <c r="G5">
        <v>0.44</v>
      </c>
      <c r="H5">
        <v>0.25</v>
      </c>
      <c r="I5">
        <v>0.19</v>
      </c>
      <c r="J5">
        <v>0.75</v>
      </c>
      <c r="K5">
        <v>0.06</v>
      </c>
      <c r="L5">
        <v>0.25</v>
      </c>
      <c r="M5">
        <v>0</v>
      </c>
      <c r="N5">
        <v>0.19</v>
      </c>
    </row>
    <row r="6" spans="1:14" x14ac:dyDescent="0.25">
      <c r="A6" t="s">
        <v>308</v>
      </c>
      <c r="B6">
        <v>19</v>
      </c>
      <c r="C6">
        <v>232</v>
      </c>
      <c r="D6">
        <v>0.89</v>
      </c>
      <c r="E6">
        <v>0.68</v>
      </c>
      <c r="F6">
        <v>0.37</v>
      </c>
      <c r="G6">
        <v>0.21</v>
      </c>
      <c r="H6">
        <v>0.11</v>
      </c>
      <c r="I6">
        <v>0.05</v>
      </c>
      <c r="J6">
        <v>0.37</v>
      </c>
      <c r="K6">
        <v>0.26</v>
      </c>
      <c r="L6">
        <v>0.47</v>
      </c>
      <c r="M6">
        <v>0.16</v>
      </c>
      <c r="N6">
        <v>0.37</v>
      </c>
    </row>
    <row r="7" spans="1:14" x14ac:dyDescent="0.25">
      <c r="A7" t="s">
        <v>274</v>
      </c>
      <c r="B7">
        <v>15</v>
      </c>
      <c r="C7">
        <v>320</v>
      </c>
      <c r="D7">
        <v>0.93</v>
      </c>
      <c r="E7">
        <v>0.87</v>
      </c>
      <c r="F7">
        <v>0.6</v>
      </c>
      <c r="G7">
        <v>0.4</v>
      </c>
      <c r="H7">
        <v>0.2</v>
      </c>
      <c r="I7">
        <v>0.13</v>
      </c>
      <c r="J7">
        <v>0.4</v>
      </c>
      <c r="K7">
        <v>0.4</v>
      </c>
      <c r="L7">
        <v>0.27</v>
      </c>
      <c r="M7">
        <v>0.33</v>
      </c>
      <c r="N7">
        <v>0.2</v>
      </c>
    </row>
    <row r="8" spans="1:14" x14ac:dyDescent="0.25">
      <c r="A8" t="s">
        <v>275</v>
      </c>
      <c r="B8">
        <v>15</v>
      </c>
      <c r="C8">
        <v>307</v>
      </c>
      <c r="D8">
        <v>0.93</v>
      </c>
      <c r="E8">
        <v>0.8</v>
      </c>
      <c r="F8">
        <v>0.73</v>
      </c>
      <c r="G8">
        <v>0.33</v>
      </c>
      <c r="H8">
        <v>0.13</v>
      </c>
      <c r="I8">
        <v>7.0000000000000007E-2</v>
      </c>
      <c r="J8">
        <v>0.53</v>
      </c>
      <c r="K8">
        <v>0.33</v>
      </c>
      <c r="L8">
        <v>0.2</v>
      </c>
      <c r="M8">
        <v>0.27</v>
      </c>
      <c r="N8">
        <v>0.13</v>
      </c>
    </row>
    <row r="9" spans="1:14" x14ac:dyDescent="0.25">
      <c r="A9" t="s">
        <v>302</v>
      </c>
      <c r="B9">
        <v>19</v>
      </c>
      <c r="C9">
        <v>247</v>
      </c>
      <c r="D9">
        <v>0.89</v>
      </c>
      <c r="E9">
        <v>0.68</v>
      </c>
      <c r="F9">
        <v>0.47</v>
      </c>
      <c r="G9">
        <v>0.21</v>
      </c>
      <c r="H9">
        <v>0.16</v>
      </c>
      <c r="I9">
        <v>0.05</v>
      </c>
      <c r="J9">
        <v>0.47</v>
      </c>
      <c r="K9">
        <v>0.37</v>
      </c>
      <c r="L9">
        <v>0.26</v>
      </c>
      <c r="M9">
        <v>0.26</v>
      </c>
      <c r="N9">
        <v>0.16</v>
      </c>
    </row>
    <row r="10" spans="1:14" x14ac:dyDescent="0.25">
      <c r="A10" t="s">
        <v>282</v>
      </c>
      <c r="B10">
        <v>16</v>
      </c>
      <c r="C10">
        <v>225</v>
      </c>
      <c r="D10">
        <v>0.94</v>
      </c>
      <c r="E10">
        <v>0.75</v>
      </c>
      <c r="F10">
        <v>0.31</v>
      </c>
      <c r="G10">
        <v>0.19</v>
      </c>
      <c r="H10">
        <v>0.06</v>
      </c>
      <c r="I10">
        <v>0</v>
      </c>
      <c r="J10">
        <v>0.5</v>
      </c>
      <c r="K10">
        <v>0.12</v>
      </c>
      <c r="L10">
        <v>0.44</v>
      </c>
      <c r="M10">
        <v>0.06</v>
      </c>
      <c r="N10">
        <v>0.38</v>
      </c>
    </row>
    <row r="11" spans="1:14" x14ac:dyDescent="0.25">
      <c r="A11" t="s">
        <v>312</v>
      </c>
      <c r="B11">
        <v>19</v>
      </c>
      <c r="C11">
        <v>237</v>
      </c>
      <c r="D11">
        <v>0.95</v>
      </c>
      <c r="E11">
        <v>0.74</v>
      </c>
      <c r="F11">
        <v>0.42</v>
      </c>
      <c r="G11">
        <v>0.16</v>
      </c>
      <c r="H11">
        <v>0.11</v>
      </c>
      <c r="I11">
        <v>0</v>
      </c>
      <c r="J11">
        <v>0.63</v>
      </c>
      <c r="K11">
        <v>0.11</v>
      </c>
      <c r="L11">
        <v>0.32</v>
      </c>
      <c r="M11">
        <v>0.05</v>
      </c>
      <c r="N11">
        <v>0.26</v>
      </c>
    </row>
    <row r="12" spans="1:14" x14ac:dyDescent="0.25">
      <c r="A12" t="s">
        <v>288</v>
      </c>
      <c r="B12">
        <v>15</v>
      </c>
      <c r="C12">
        <v>267</v>
      </c>
      <c r="D12">
        <v>0.93</v>
      </c>
      <c r="E12">
        <v>0.73</v>
      </c>
      <c r="F12">
        <v>0.4</v>
      </c>
      <c r="G12">
        <v>0.27</v>
      </c>
      <c r="H12">
        <v>0.2</v>
      </c>
      <c r="I12">
        <v>7.0000000000000007E-2</v>
      </c>
      <c r="J12">
        <v>0.6</v>
      </c>
      <c r="K12">
        <v>7.0000000000000007E-2</v>
      </c>
      <c r="L12">
        <v>0.4</v>
      </c>
      <c r="M12">
        <v>0</v>
      </c>
      <c r="N12">
        <v>0.33</v>
      </c>
    </row>
    <row r="13" spans="1:14" x14ac:dyDescent="0.25">
      <c r="A13" t="s">
        <v>298</v>
      </c>
      <c r="B13">
        <v>19</v>
      </c>
      <c r="C13">
        <v>305</v>
      </c>
      <c r="D13">
        <v>1</v>
      </c>
      <c r="E13">
        <v>0.84</v>
      </c>
      <c r="F13">
        <v>0.68</v>
      </c>
      <c r="G13">
        <v>0.37</v>
      </c>
      <c r="H13">
        <v>0.11</v>
      </c>
      <c r="I13">
        <v>0.05</v>
      </c>
      <c r="J13">
        <v>0.68</v>
      </c>
      <c r="K13">
        <v>0.11</v>
      </c>
      <c r="L13">
        <v>0.21</v>
      </c>
      <c r="M13">
        <v>0.11</v>
      </c>
      <c r="N13">
        <v>0.21</v>
      </c>
    </row>
    <row r="14" spans="1:14" x14ac:dyDescent="0.25">
      <c r="A14" t="s">
        <v>309</v>
      </c>
      <c r="B14">
        <v>19</v>
      </c>
      <c r="C14">
        <v>200</v>
      </c>
      <c r="D14">
        <v>0.95</v>
      </c>
      <c r="E14">
        <v>0.74</v>
      </c>
      <c r="F14">
        <v>0.26</v>
      </c>
      <c r="G14">
        <v>0.05</v>
      </c>
      <c r="H14">
        <v>0</v>
      </c>
      <c r="I14">
        <v>0</v>
      </c>
      <c r="J14">
        <v>0.42</v>
      </c>
      <c r="K14">
        <v>0.37</v>
      </c>
      <c r="L14">
        <v>0.26</v>
      </c>
      <c r="M14">
        <v>0.32</v>
      </c>
      <c r="N14">
        <v>0.21</v>
      </c>
    </row>
    <row r="15" spans="1:14" x14ac:dyDescent="0.25">
      <c r="A15" t="s">
        <v>303</v>
      </c>
      <c r="B15">
        <v>19</v>
      </c>
      <c r="C15">
        <v>268</v>
      </c>
      <c r="D15">
        <v>1</v>
      </c>
      <c r="E15">
        <v>0.84</v>
      </c>
      <c r="F15">
        <v>0.42</v>
      </c>
      <c r="G15">
        <v>0.32</v>
      </c>
      <c r="H15">
        <v>0.05</v>
      </c>
      <c r="I15">
        <v>0.05</v>
      </c>
      <c r="J15">
        <v>0.53</v>
      </c>
      <c r="K15">
        <v>0.21</v>
      </c>
      <c r="L15">
        <v>0.26</v>
      </c>
      <c r="M15">
        <v>0.21</v>
      </c>
      <c r="N15">
        <v>0.26</v>
      </c>
    </row>
    <row r="16" spans="1:14" x14ac:dyDescent="0.25">
      <c r="A16" t="s">
        <v>291</v>
      </c>
      <c r="B16">
        <v>19</v>
      </c>
      <c r="C16">
        <v>263</v>
      </c>
      <c r="D16">
        <v>1</v>
      </c>
      <c r="E16">
        <v>0.84</v>
      </c>
      <c r="F16">
        <v>0.32</v>
      </c>
      <c r="G16">
        <v>0.26</v>
      </c>
      <c r="H16">
        <v>0.16</v>
      </c>
      <c r="I16">
        <v>0.05</v>
      </c>
      <c r="J16">
        <v>0.42</v>
      </c>
      <c r="K16">
        <v>0.37</v>
      </c>
      <c r="L16">
        <v>0.21</v>
      </c>
      <c r="M16">
        <v>0.37</v>
      </c>
      <c r="N16">
        <v>0.21</v>
      </c>
    </row>
    <row r="17" spans="1:14" x14ac:dyDescent="0.25">
      <c r="A17" t="s">
        <v>307</v>
      </c>
      <c r="B17">
        <v>19</v>
      </c>
      <c r="C17">
        <v>221</v>
      </c>
      <c r="D17">
        <v>0.84</v>
      </c>
      <c r="E17">
        <v>0.53</v>
      </c>
      <c r="F17">
        <v>0.37</v>
      </c>
      <c r="G17">
        <v>0.26</v>
      </c>
      <c r="H17">
        <v>0.11</v>
      </c>
      <c r="I17">
        <v>0.05</v>
      </c>
      <c r="J17">
        <v>0.32</v>
      </c>
      <c r="K17">
        <v>0.42</v>
      </c>
      <c r="L17">
        <v>0.42</v>
      </c>
      <c r="M17">
        <v>0.26</v>
      </c>
      <c r="N17">
        <v>0.26</v>
      </c>
    </row>
    <row r="18" spans="1:14" x14ac:dyDescent="0.25">
      <c r="A18" t="s">
        <v>273</v>
      </c>
      <c r="B18">
        <v>16</v>
      </c>
      <c r="C18">
        <v>300</v>
      </c>
      <c r="D18">
        <v>0.94</v>
      </c>
      <c r="E18">
        <v>0.69</v>
      </c>
      <c r="F18">
        <v>0.56000000000000005</v>
      </c>
      <c r="G18">
        <v>0.38</v>
      </c>
      <c r="H18">
        <v>0.25</v>
      </c>
      <c r="I18">
        <v>0.12</v>
      </c>
      <c r="J18">
        <v>0.56000000000000005</v>
      </c>
      <c r="K18">
        <v>0.44</v>
      </c>
      <c r="L18">
        <v>0.06</v>
      </c>
      <c r="M18">
        <v>0.38</v>
      </c>
      <c r="N18">
        <v>0</v>
      </c>
    </row>
    <row r="19" spans="1:14" x14ac:dyDescent="0.25">
      <c r="A19" t="s">
        <v>281</v>
      </c>
      <c r="B19">
        <v>16</v>
      </c>
      <c r="C19">
        <v>238</v>
      </c>
      <c r="D19">
        <v>0.81</v>
      </c>
      <c r="E19">
        <v>0.62</v>
      </c>
      <c r="F19">
        <v>0.44</v>
      </c>
      <c r="G19">
        <v>0.25</v>
      </c>
      <c r="H19">
        <v>0.12</v>
      </c>
      <c r="I19">
        <v>0.06</v>
      </c>
      <c r="J19">
        <v>0.5</v>
      </c>
      <c r="K19">
        <v>0.38</v>
      </c>
      <c r="L19">
        <v>0.31</v>
      </c>
      <c r="M19">
        <v>0.19</v>
      </c>
      <c r="N19">
        <v>0.12</v>
      </c>
    </row>
    <row r="20" spans="1:14" x14ac:dyDescent="0.25">
      <c r="A20" t="s">
        <v>272</v>
      </c>
      <c r="B20">
        <v>16</v>
      </c>
      <c r="C20">
        <v>363</v>
      </c>
      <c r="D20">
        <v>1</v>
      </c>
      <c r="E20">
        <v>0.81</v>
      </c>
      <c r="F20">
        <v>0.69</v>
      </c>
      <c r="G20">
        <v>0.31</v>
      </c>
      <c r="H20">
        <v>0.31</v>
      </c>
      <c r="I20">
        <v>0.31</v>
      </c>
      <c r="J20">
        <v>0.69</v>
      </c>
      <c r="K20">
        <v>0.25</v>
      </c>
      <c r="L20">
        <v>0.06</v>
      </c>
      <c r="M20">
        <v>0.25</v>
      </c>
      <c r="N20">
        <v>0.06</v>
      </c>
    </row>
    <row r="21" spans="1:14" x14ac:dyDescent="0.25">
      <c r="A21" t="s">
        <v>289</v>
      </c>
      <c r="B21">
        <v>15</v>
      </c>
      <c r="C21">
        <v>360</v>
      </c>
      <c r="D21">
        <v>1</v>
      </c>
      <c r="E21">
        <v>0.87</v>
      </c>
      <c r="F21">
        <v>0.53</v>
      </c>
      <c r="G21">
        <v>0.53</v>
      </c>
      <c r="H21">
        <v>0.33</v>
      </c>
      <c r="I21">
        <v>0.2</v>
      </c>
      <c r="J21">
        <v>0.67</v>
      </c>
      <c r="K21">
        <v>0</v>
      </c>
      <c r="L21">
        <v>0.33</v>
      </c>
      <c r="M21">
        <v>0</v>
      </c>
      <c r="N21">
        <v>0.33</v>
      </c>
    </row>
    <row r="22" spans="1:14" x14ac:dyDescent="0.25">
      <c r="A22" t="s">
        <v>310</v>
      </c>
      <c r="B22">
        <v>19</v>
      </c>
      <c r="C22">
        <v>147</v>
      </c>
      <c r="D22">
        <v>0.89</v>
      </c>
      <c r="E22">
        <v>0.47</v>
      </c>
      <c r="F22">
        <v>0.05</v>
      </c>
      <c r="G22">
        <v>0.05</v>
      </c>
      <c r="H22">
        <v>0</v>
      </c>
      <c r="I22">
        <v>0</v>
      </c>
      <c r="J22">
        <v>0.26</v>
      </c>
      <c r="K22">
        <v>0.32</v>
      </c>
      <c r="L22">
        <v>0.53</v>
      </c>
      <c r="M22">
        <v>0.21</v>
      </c>
      <c r="N22">
        <v>0.42</v>
      </c>
    </row>
    <row r="23" spans="1:14" x14ac:dyDescent="0.25">
      <c r="A23" t="s">
        <v>286</v>
      </c>
      <c r="B23">
        <v>16</v>
      </c>
      <c r="C23">
        <v>169</v>
      </c>
      <c r="D23">
        <v>0.94</v>
      </c>
      <c r="E23">
        <v>0.5</v>
      </c>
      <c r="F23">
        <v>0.25</v>
      </c>
      <c r="G23">
        <v>0</v>
      </c>
      <c r="H23">
        <v>0</v>
      </c>
      <c r="I23">
        <v>0</v>
      </c>
      <c r="J23">
        <v>0.38</v>
      </c>
      <c r="K23">
        <v>0.25</v>
      </c>
      <c r="L23">
        <v>0.44</v>
      </c>
      <c r="M23">
        <v>0.19</v>
      </c>
      <c r="N23">
        <v>0.38</v>
      </c>
    </row>
    <row r="24" spans="1:14" x14ac:dyDescent="0.25">
      <c r="A24" t="s">
        <v>292</v>
      </c>
      <c r="B24">
        <v>19</v>
      </c>
      <c r="C24">
        <v>211</v>
      </c>
      <c r="D24">
        <v>0.95</v>
      </c>
      <c r="E24">
        <v>0.57999999999999996</v>
      </c>
      <c r="F24">
        <v>0.32</v>
      </c>
      <c r="G24">
        <v>0.16</v>
      </c>
      <c r="H24">
        <v>0.05</v>
      </c>
      <c r="I24">
        <v>0.05</v>
      </c>
      <c r="J24">
        <v>0.32</v>
      </c>
      <c r="K24">
        <v>0.47</v>
      </c>
      <c r="L24">
        <v>0.26</v>
      </c>
      <c r="M24">
        <v>0.42</v>
      </c>
      <c r="N24">
        <v>0.21</v>
      </c>
    </row>
    <row r="25" spans="1:14" x14ac:dyDescent="0.25">
      <c r="A25" t="s">
        <v>294</v>
      </c>
      <c r="B25">
        <v>19</v>
      </c>
      <c r="C25">
        <v>242</v>
      </c>
      <c r="D25">
        <v>0.84</v>
      </c>
      <c r="E25">
        <v>0.74</v>
      </c>
      <c r="F25">
        <v>0.37</v>
      </c>
      <c r="G25">
        <v>0.26</v>
      </c>
      <c r="H25">
        <v>0.16</v>
      </c>
      <c r="I25">
        <v>0.05</v>
      </c>
      <c r="J25">
        <v>0.53</v>
      </c>
      <c r="K25">
        <v>0.42</v>
      </c>
      <c r="L25">
        <v>0.21</v>
      </c>
      <c r="M25">
        <v>0.26</v>
      </c>
      <c r="N25">
        <v>0.05</v>
      </c>
    </row>
    <row r="26" spans="1:14" x14ac:dyDescent="0.25">
      <c r="A26" t="s">
        <v>284</v>
      </c>
      <c r="B26">
        <v>16</v>
      </c>
      <c r="C26">
        <v>213</v>
      </c>
      <c r="D26">
        <v>0.81</v>
      </c>
      <c r="E26">
        <v>0.5</v>
      </c>
      <c r="F26">
        <v>0.25</v>
      </c>
      <c r="G26">
        <v>0.25</v>
      </c>
      <c r="H26">
        <v>0.12</v>
      </c>
      <c r="I26">
        <v>0.06</v>
      </c>
      <c r="J26">
        <v>0.44</v>
      </c>
      <c r="K26">
        <v>0.31</v>
      </c>
      <c r="L26">
        <v>0.44</v>
      </c>
      <c r="M26">
        <v>0.12</v>
      </c>
      <c r="N26">
        <v>0.25</v>
      </c>
    </row>
    <row r="27" spans="1:14" x14ac:dyDescent="0.25">
      <c r="A27" t="s">
        <v>306</v>
      </c>
      <c r="B27">
        <v>19</v>
      </c>
      <c r="C27">
        <v>289</v>
      </c>
      <c r="D27">
        <v>0.89</v>
      </c>
      <c r="E27">
        <v>0.79</v>
      </c>
      <c r="F27">
        <v>0.63</v>
      </c>
      <c r="G27">
        <v>0.37</v>
      </c>
      <c r="H27">
        <v>0.11</v>
      </c>
      <c r="I27">
        <v>0.05</v>
      </c>
      <c r="J27">
        <v>0.57999999999999996</v>
      </c>
      <c r="K27">
        <v>0.26</v>
      </c>
      <c r="L27">
        <v>0.26</v>
      </c>
      <c r="M27">
        <v>0.16</v>
      </c>
      <c r="N27">
        <v>0.16</v>
      </c>
    </row>
    <row r="28" spans="1:14" x14ac:dyDescent="0.25">
      <c r="A28" t="s">
        <v>280</v>
      </c>
      <c r="B28">
        <v>16</v>
      </c>
      <c r="C28">
        <v>275</v>
      </c>
      <c r="D28">
        <v>0.94</v>
      </c>
      <c r="E28">
        <v>0.94</v>
      </c>
      <c r="F28">
        <v>0.44</v>
      </c>
      <c r="G28">
        <v>0.25</v>
      </c>
      <c r="H28">
        <v>0.12</v>
      </c>
      <c r="I28">
        <v>0.06</v>
      </c>
      <c r="J28">
        <v>0.56000000000000005</v>
      </c>
      <c r="K28">
        <v>0.25</v>
      </c>
      <c r="L28">
        <v>0.25</v>
      </c>
      <c r="M28">
        <v>0.19</v>
      </c>
      <c r="N28">
        <v>0.19</v>
      </c>
    </row>
    <row r="29" spans="1:14" x14ac:dyDescent="0.25">
      <c r="A29" t="s">
        <v>299</v>
      </c>
      <c r="B29">
        <v>19</v>
      </c>
      <c r="C29">
        <v>300</v>
      </c>
      <c r="D29">
        <v>0.89</v>
      </c>
      <c r="E29">
        <v>0.84</v>
      </c>
      <c r="F29">
        <v>0.57999999999999996</v>
      </c>
      <c r="G29">
        <v>0.42</v>
      </c>
      <c r="H29">
        <v>0.21</v>
      </c>
      <c r="I29">
        <v>0.05</v>
      </c>
      <c r="J29">
        <v>0.57999999999999996</v>
      </c>
      <c r="K29">
        <v>0.32</v>
      </c>
      <c r="L29">
        <v>0.21</v>
      </c>
      <c r="M29">
        <v>0.21</v>
      </c>
      <c r="N29">
        <v>0.11</v>
      </c>
    </row>
    <row r="30" spans="1:14" x14ac:dyDescent="0.25">
      <c r="A30" t="s">
        <v>300</v>
      </c>
      <c r="B30">
        <v>19</v>
      </c>
      <c r="C30">
        <v>247</v>
      </c>
      <c r="D30">
        <v>1</v>
      </c>
      <c r="E30">
        <v>0.68</v>
      </c>
      <c r="F30">
        <v>0.32</v>
      </c>
      <c r="G30">
        <v>0.21</v>
      </c>
      <c r="H30">
        <v>0.05</v>
      </c>
      <c r="I30">
        <v>0.05</v>
      </c>
      <c r="J30">
        <v>0.53</v>
      </c>
      <c r="K30">
        <v>0.26</v>
      </c>
      <c r="L30">
        <v>0.21</v>
      </c>
      <c r="M30">
        <v>0.26</v>
      </c>
      <c r="N30">
        <v>0.21</v>
      </c>
    </row>
    <row r="31" spans="1:14" x14ac:dyDescent="0.25">
      <c r="A31" t="s">
        <v>277</v>
      </c>
      <c r="B31">
        <v>15</v>
      </c>
      <c r="C31">
        <v>253</v>
      </c>
      <c r="D31">
        <v>0.87</v>
      </c>
      <c r="E31">
        <v>0.73</v>
      </c>
      <c r="F31">
        <v>0.4</v>
      </c>
      <c r="G31">
        <v>0.33</v>
      </c>
      <c r="H31">
        <v>7.0000000000000007E-2</v>
      </c>
      <c r="I31">
        <v>7.0000000000000007E-2</v>
      </c>
      <c r="J31">
        <v>0.4</v>
      </c>
      <c r="K31">
        <v>0.4</v>
      </c>
      <c r="L31">
        <v>0.33</v>
      </c>
      <c r="M31">
        <v>0.27</v>
      </c>
      <c r="N31">
        <v>0.2</v>
      </c>
    </row>
    <row r="32" spans="1:14" x14ac:dyDescent="0.25">
      <c r="A32" t="s">
        <v>278</v>
      </c>
      <c r="B32">
        <v>16</v>
      </c>
      <c r="C32">
        <v>225</v>
      </c>
      <c r="D32">
        <v>0.88</v>
      </c>
      <c r="E32">
        <v>0.75</v>
      </c>
      <c r="F32">
        <v>0.31</v>
      </c>
      <c r="G32">
        <v>0.12</v>
      </c>
      <c r="H32">
        <v>0.12</v>
      </c>
      <c r="I32">
        <v>0.06</v>
      </c>
      <c r="J32">
        <v>0.56000000000000005</v>
      </c>
      <c r="K32">
        <v>0.38</v>
      </c>
      <c r="L32">
        <v>0.19</v>
      </c>
      <c r="M32">
        <v>0.25</v>
      </c>
      <c r="N32">
        <v>0.06</v>
      </c>
    </row>
    <row r="33" spans="1:14" x14ac:dyDescent="0.25">
      <c r="A33" t="s">
        <v>271</v>
      </c>
      <c r="B33">
        <v>16</v>
      </c>
      <c r="C33">
        <v>275</v>
      </c>
      <c r="D33">
        <v>0.94</v>
      </c>
      <c r="E33">
        <v>0.88</v>
      </c>
      <c r="F33">
        <v>0.56000000000000005</v>
      </c>
      <c r="G33">
        <v>0.25</v>
      </c>
      <c r="H33">
        <v>0.06</v>
      </c>
      <c r="I33">
        <v>0.06</v>
      </c>
      <c r="J33">
        <v>0.5</v>
      </c>
      <c r="K33">
        <v>0.5</v>
      </c>
      <c r="L33">
        <v>0.06</v>
      </c>
      <c r="M33">
        <v>0.44</v>
      </c>
      <c r="N33">
        <v>0</v>
      </c>
    </row>
    <row r="34" spans="1:14" x14ac:dyDescent="0.25">
      <c r="A34" t="s">
        <v>305</v>
      </c>
      <c r="B34">
        <v>19</v>
      </c>
      <c r="C34">
        <v>168</v>
      </c>
      <c r="D34">
        <v>0.79</v>
      </c>
      <c r="E34">
        <v>0.53</v>
      </c>
      <c r="F34">
        <v>0.26</v>
      </c>
      <c r="G34">
        <v>0.11</v>
      </c>
      <c r="H34">
        <v>0</v>
      </c>
      <c r="I34">
        <v>0</v>
      </c>
      <c r="J34">
        <v>0.37</v>
      </c>
      <c r="K34">
        <v>0.42</v>
      </c>
      <c r="L34">
        <v>0.42</v>
      </c>
      <c r="M34">
        <v>0.21</v>
      </c>
      <c r="N34">
        <v>0.21</v>
      </c>
    </row>
    <row r="35" spans="1:14" x14ac:dyDescent="0.25">
      <c r="A35" t="s">
        <v>276</v>
      </c>
      <c r="B35">
        <v>16</v>
      </c>
      <c r="C35">
        <v>294</v>
      </c>
      <c r="D35">
        <v>0.94</v>
      </c>
      <c r="E35">
        <v>0.75</v>
      </c>
      <c r="F35">
        <v>0.56000000000000005</v>
      </c>
      <c r="G35">
        <v>0.25</v>
      </c>
      <c r="H35">
        <v>0.12</v>
      </c>
      <c r="I35">
        <v>0.12</v>
      </c>
      <c r="J35">
        <v>0.62</v>
      </c>
      <c r="K35">
        <v>0.31</v>
      </c>
      <c r="L35">
        <v>0.12</v>
      </c>
      <c r="M35">
        <v>0.25</v>
      </c>
      <c r="N35">
        <v>0.06</v>
      </c>
    </row>
    <row r="36" spans="1:14" x14ac:dyDescent="0.25">
      <c r="A36" t="s">
        <v>293</v>
      </c>
      <c r="B36">
        <v>19</v>
      </c>
      <c r="C36">
        <v>189</v>
      </c>
      <c r="D36">
        <v>0.95</v>
      </c>
      <c r="E36">
        <v>0.57999999999999996</v>
      </c>
      <c r="F36">
        <v>0.16</v>
      </c>
      <c r="G36">
        <v>0.16</v>
      </c>
      <c r="H36">
        <v>0.05</v>
      </c>
      <c r="I36">
        <v>0</v>
      </c>
      <c r="J36">
        <v>0.32</v>
      </c>
      <c r="K36">
        <v>0.37</v>
      </c>
      <c r="L36">
        <v>0.37</v>
      </c>
      <c r="M36">
        <v>0.32</v>
      </c>
      <c r="N36">
        <v>0.32</v>
      </c>
    </row>
    <row r="37" spans="1:14" x14ac:dyDescent="0.25">
      <c r="A37" t="s">
        <v>283</v>
      </c>
      <c r="B37">
        <v>15</v>
      </c>
      <c r="C37">
        <v>273</v>
      </c>
      <c r="D37">
        <v>0.93</v>
      </c>
      <c r="E37">
        <v>0.73</v>
      </c>
      <c r="F37">
        <v>0.47</v>
      </c>
      <c r="G37">
        <v>0.27</v>
      </c>
      <c r="H37">
        <v>0.13</v>
      </c>
      <c r="I37">
        <v>0.13</v>
      </c>
      <c r="J37">
        <v>0.73</v>
      </c>
      <c r="K37">
        <v>0.13</v>
      </c>
      <c r="L37">
        <v>0.2</v>
      </c>
      <c r="M37">
        <v>7.0000000000000007E-2</v>
      </c>
      <c r="N37">
        <v>0.13</v>
      </c>
    </row>
    <row r="38" spans="1:14" x14ac:dyDescent="0.25">
      <c r="A38" t="s">
        <v>296</v>
      </c>
      <c r="B38">
        <v>19</v>
      </c>
      <c r="C38">
        <v>205</v>
      </c>
      <c r="D38">
        <v>0.79</v>
      </c>
      <c r="E38">
        <v>0.68</v>
      </c>
      <c r="F38">
        <v>0.37</v>
      </c>
      <c r="G38">
        <v>0.16</v>
      </c>
      <c r="H38">
        <v>0.05</v>
      </c>
      <c r="I38">
        <v>0</v>
      </c>
      <c r="J38">
        <v>0.32</v>
      </c>
      <c r="K38">
        <v>0.53</v>
      </c>
      <c r="L38">
        <v>0.37</v>
      </c>
      <c r="M38">
        <v>0.32</v>
      </c>
      <c r="N38">
        <v>0.16</v>
      </c>
    </row>
    <row r="39" spans="1:14" x14ac:dyDescent="0.25">
      <c r="A39" t="s">
        <v>295</v>
      </c>
      <c r="B39">
        <v>18</v>
      </c>
      <c r="C39">
        <v>189</v>
      </c>
      <c r="D39">
        <v>0.94</v>
      </c>
      <c r="E39">
        <v>0.67</v>
      </c>
      <c r="F39">
        <v>0.28000000000000003</v>
      </c>
      <c r="G39">
        <v>0</v>
      </c>
      <c r="H39">
        <v>0</v>
      </c>
      <c r="I39">
        <v>0</v>
      </c>
      <c r="J39">
        <v>0.28000000000000003</v>
      </c>
      <c r="K39">
        <v>0.44</v>
      </c>
      <c r="L39">
        <v>0.33</v>
      </c>
      <c r="M39">
        <v>0.39</v>
      </c>
      <c r="N39">
        <v>0.28000000000000003</v>
      </c>
    </row>
    <row r="40" spans="1:14" x14ac:dyDescent="0.25">
      <c r="A40" t="s">
        <v>279</v>
      </c>
      <c r="B40">
        <v>16</v>
      </c>
      <c r="C40">
        <v>238</v>
      </c>
      <c r="D40">
        <v>0.94</v>
      </c>
      <c r="E40">
        <v>0.62</v>
      </c>
      <c r="F40">
        <v>0.5</v>
      </c>
      <c r="G40">
        <v>0.19</v>
      </c>
      <c r="H40">
        <v>0.06</v>
      </c>
      <c r="I40">
        <v>0.06</v>
      </c>
      <c r="J40">
        <v>0.44</v>
      </c>
      <c r="K40">
        <v>0.31</v>
      </c>
      <c r="L40">
        <v>0.31</v>
      </c>
      <c r="M40">
        <v>0.25</v>
      </c>
      <c r="N40">
        <v>0.25</v>
      </c>
    </row>
    <row r="41" spans="1:14" x14ac:dyDescent="0.25">
      <c r="A41" t="s">
        <v>297</v>
      </c>
      <c r="B41">
        <v>19</v>
      </c>
      <c r="C41">
        <v>242</v>
      </c>
      <c r="D41">
        <v>1</v>
      </c>
      <c r="E41">
        <v>0.74</v>
      </c>
      <c r="F41">
        <v>0.32</v>
      </c>
      <c r="G41">
        <v>0.16</v>
      </c>
      <c r="H41">
        <v>0.16</v>
      </c>
      <c r="I41">
        <v>0.05</v>
      </c>
      <c r="J41">
        <v>0.37</v>
      </c>
      <c r="K41">
        <v>0.42</v>
      </c>
      <c r="L41">
        <v>0.21</v>
      </c>
      <c r="M41">
        <v>0.42</v>
      </c>
      <c r="N41">
        <v>0.21</v>
      </c>
    </row>
    <row r="42" spans="1:14" x14ac:dyDescent="0.25">
      <c r="A42" t="s">
        <v>285</v>
      </c>
      <c r="B42">
        <v>16</v>
      </c>
      <c r="C42">
        <v>319</v>
      </c>
      <c r="D42">
        <v>0.94</v>
      </c>
      <c r="E42">
        <v>0.88</v>
      </c>
      <c r="F42">
        <v>0.69</v>
      </c>
      <c r="G42">
        <v>0.38</v>
      </c>
      <c r="H42">
        <v>0.19</v>
      </c>
      <c r="I42">
        <v>0.06</v>
      </c>
      <c r="J42">
        <v>0.81</v>
      </c>
      <c r="K42">
        <v>0.12</v>
      </c>
      <c r="L42">
        <v>0.12</v>
      </c>
      <c r="M42">
        <v>0.06</v>
      </c>
      <c r="N42">
        <v>0.06</v>
      </c>
    </row>
    <row r="43" spans="1:14" x14ac:dyDescent="0.25">
      <c r="A43" t="s">
        <v>304</v>
      </c>
      <c r="B43">
        <v>19</v>
      </c>
      <c r="C43">
        <v>263</v>
      </c>
      <c r="D43">
        <v>0.95</v>
      </c>
      <c r="E43">
        <v>0.74</v>
      </c>
      <c r="F43">
        <v>0.53</v>
      </c>
      <c r="G43">
        <v>0.37</v>
      </c>
      <c r="H43">
        <v>0.05</v>
      </c>
      <c r="I43">
        <v>0</v>
      </c>
      <c r="J43">
        <v>0.47</v>
      </c>
      <c r="K43">
        <v>0.16</v>
      </c>
      <c r="L43">
        <v>0.42</v>
      </c>
      <c r="M43">
        <v>0.11</v>
      </c>
      <c r="N43">
        <v>0.37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>
    <tabColor rgb="FF00B050"/>
  </sheetPr>
  <dimension ref="A1:O61"/>
  <sheetViews>
    <sheetView workbookViewId="0">
      <selection sqref="A1:M61"/>
    </sheetView>
  </sheetViews>
  <sheetFormatPr defaultRowHeight="15" x14ac:dyDescent="0.25"/>
  <cols>
    <col min="1" max="1" width="17.7109375" bestFit="1" customWidth="1"/>
    <col min="2" max="2" width="15" bestFit="1" customWidth="1"/>
    <col min="3" max="3" width="8.28515625" bestFit="1" customWidth="1"/>
    <col min="4" max="4" width="8.5703125" bestFit="1" customWidth="1"/>
    <col min="5" max="5" width="8.140625" bestFit="1" customWidth="1"/>
    <col min="6" max="6" width="6.7109375" bestFit="1" customWidth="1"/>
    <col min="7" max="11" width="7.7109375" bestFit="1" customWidth="1"/>
    <col min="12" max="12" width="10.7109375" bestFit="1" customWidth="1"/>
    <col min="13" max="13" width="9.85546875" bestFit="1" customWidth="1"/>
    <col min="14" max="14" width="6.7109375" bestFit="1" customWidth="1"/>
    <col min="15" max="15" width="5.140625" bestFit="1" customWidth="1"/>
  </cols>
  <sheetData>
    <row r="1" spans="1:15" x14ac:dyDescent="0.25">
      <c r="A1" t="s">
        <v>86</v>
      </c>
      <c r="B1" t="s">
        <v>12</v>
      </c>
      <c r="C1" t="s">
        <v>87</v>
      </c>
      <c r="D1" t="s">
        <v>10</v>
      </c>
      <c r="E1" t="s">
        <v>11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249</v>
      </c>
      <c r="O1" t="s">
        <v>255</v>
      </c>
    </row>
    <row r="2" spans="1:15" x14ac:dyDescent="0.25">
      <c r="A2" t="s">
        <v>96</v>
      </c>
      <c r="B2" t="s">
        <v>51</v>
      </c>
      <c r="C2">
        <v>14</v>
      </c>
      <c r="D2">
        <v>8</v>
      </c>
      <c r="E2">
        <v>6</v>
      </c>
      <c r="F2">
        <v>2</v>
      </c>
      <c r="G2">
        <v>2</v>
      </c>
      <c r="H2">
        <v>3</v>
      </c>
      <c r="I2">
        <v>3</v>
      </c>
      <c r="J2">
        <v>3</v>
      </c>
      <c r="K2">
        <v>1</v>
      </c>
      <c r="L2" s="21">
        <v>45201</v>
      </c>
      <c r="M2">
        <v>0.35</v>
      </c>
      <c r="N2" t="s">
        <v>250</v>
      </c>
      <c r="O2" t="s">
        <v>256</v>
      </c>
    </row>
    <row r="3" spans="1:15" x14ac:dyDescent="0.25">
      <c r="A3" t="s">
        <v>216</v>
      </c>
      <c r="B3" t="s">
        <v>76</v>
      </c>
      <c r="C3">
        <v>12</v>
      </c>
      <c r="D3">
        <v>9</v>
      </c>
      <c r="E3">
        <v>3</v>
      </c>
      <c r="F3">
        <v>2</v>
      </c>
      <c r="G3">
        <v>3</v>
      </c>
      <c r="H3">
        <v>1</v>
      </c>
      <c r="I3">
        <v>1</v>
      </c>
      <c r="J3">
        <v>2</v>
      </c>
      <c r="K3">
        <v>3</v>
      </c>
      <c r="L3" s="21">
        <v>45179</v>
      </c>
      <c r="M3">
        <v>0.28000000000000003</v>
      </c>
      <c r="N3" t="s">
        <v>83</v>
      </c>
      <c r="O3" t="s">
        <v>256</v>
      </c>
    </row>
    <row r="4" spans="1:15" x14ac:dyDescent="0.25">
      <c r="A4" t="s">
        <v>184</v>
      </c>
      <c r="B4" t="s">
        <v>62</v>
      </c>
      <c r="C4">
        <v>11</v>
      </c>
      <c r="D4">
        <v>9</v>
      </c>
      <c r="E4">
        <v>2</v>
      </c>
      <c r="F4">
        <v>1</v>
      </c>
      <c r="G4">
        <v>3</v>
      </c>
      <c r="H4">
        <v>1</v>
      </c>
      <c r="I4">
        <v>0</v>
      </c>
      <c r="J4">
        <v>3</v>
      </c>
      <c r="K4">
        <v>3</v>
      </c>
      <c r="L4" s="21">
        <v>45200</v>
      </c>
      <c r="M4">
        <v>0.41</v>
      </c>
      <c r="N4" t="s">
        <v>223</v>
      </c>
      <c r="O4" t="s">
        <v>256</v>
      </c>
    </row>
    <row r="5" spans="1:15" x14ac:dyDescent="0.25">
      <c r="A5" t="s">
        <v>101</v>
      </c>
      <c r="B5" t="s">
        <v>57</v>
      </c>
      <c r="C5">
        <v>11</v>
      </c>
      <c r="D5">
        <v>7</v>
      </c>
      <c r="E5">
        <v>4</v>
      </c>
      <c r="F5">
        <v>2</v>
      </c>
      <c r="G5">
        <v>2</v>
      </c>
      <c r="H5">
        <v>3</v>
      </c>
      <c r="I5">
        <v>0</v>
      </c>
      <c r="J5">
        <v>1</v>
      </c>
      <c r="K5">
        <v>3</v>
      </c>
      <c r="L5" s="21">
        <v>45171</v>
      </c>
      <c r="M5">
        <v>0.3</v>
      </c>
      <c r="N5" t="s">
        <v>251</v>
      </c>
      <c r="O5" t="s">
        <v>256</v>
      </c>
    </row>
    <row r="6" spans="1:15" x14ac:dyDescent="0.25">
      <c r="A6" t="s">
        <v>220</v>
      </c>
      <c r="B6" t="s">
        <v>54</v>
      </c>
      <c r="C6">
        <v>10</v>
      </c>
      <c r="D6">
        <v>8</v>
      </c>
      <c r="E6">
        <v>2</v>
      </c>
      <c r="F6">
        <v>2</v>
      </c>
      <c r="G6">
        <v>1</v>
      </c>
      <c r="H6">
        <v>2</v>
      </c>
      <c r="I6">
        <v>1</v>
      </c>
      <c r="J6">
        <v>1</v>
      </c>
      <c r="K6">
        <v>3</v>
      </c>
      <c r="L6" s="21">
        <v>45193</v>
      </c>
      <c r="M6">
        <v>0.34</v>
      </c>
      <c r="N6" t="s">
        <v>225</v>
      </c>
      <c r="O6" t="s">
        <v>256</v>
      </c>
    </row>
    <row r="7" spans="1:15" x14ac:dyDescent="0.25">
      <c r="A7" t="s">
        <v>109</v>
      </c>
      <c r="B7" t="s">
        <v>70</v>
      </c>
      <c r="C7">
        <v>10</v>
      </c>
      <c r="D7">
        <v>6</v>
      </c>
      <c r="E7">
        <v>4</v>
      </c>
      <c r="F7">
        <v>0</v>
      </c>
      <c r="G7">
        <v>2</v>
      </c>
      <c r="H7">
        <v>2</v>
      </c>
      <c r="I7">
        <v>3</v>
      </c>
      <c r="J7">
        <v>1</v>
      </c>
      <c r="K7">
        <v>2</v>
      </c>
      <c r="L7" s="21">
        <v>45130</v>
      </c>
      <c r="M7">
        <v>0.22</v>
      </c>
      <c r="O7" t="s">
        <v>256</v>
      </c>
    </row>
    <row r="8" spans="1:15" x14ac:dyDescent="0.25">
      <c r="A8" t="s">
        <v>112</v>
      </c>
      <c r="B8" t="s">
        <v>74</v>
      </c>
      <c r="C8">
        <v>10</v>
      </c>
      <c r="D8">
        <v>3</v>
      </c>
      <c r="E8">
        <v>7</v>
      </c>
      <c r="F8">
        <v>2</v>
      </c>
      <c r="G8">
        <v>2</v>
      </c>
      <c r="H8">
        <v>4</v>
      </c>
      <c r="I8">
        <v>1</v>
      </c>
      <c r="J8">
        <v>0</v>
      </c>
      <c r="K8">
        <v>1</v>
      </c>
      <c r="L8" s="21">
        <v>45188</v>
      </c>
      <c r="M8">
        <v>0.31</v>
      </c>
      <c r="N8" t="s">
        <v>240</v>
      </c>
      <c r="O8" t="s">
        <v>256</v>
      </c>
    </row>
    <row r="9" spans="1:15" x14ac:dyDescent="0.25">
      <c r="A9" t="s">
        <v>103</v>
      </c>
      <c r="B9" t="s">
        <v>58</v>
      </c>
      <c r="C9">
        <v>9</v>
      </c>
      <c r="D9">
        <v>6</v>
      </c>
      <c r="E9">
        <v>3</v>
      </c>
      <c r="F9">
        <v>2</v>
      </c>
      <c r="G9">
        <v>2</v>
      </c>
      <c r="H9">
        <v>4</v>
      </c>
      <c r="I9">
        <v>0</v>
      </c>
      <c r="J9">
        <v>0</v>
      </c>
      <c r="K9">
        <v>1</v>
      </c>
      <c r="L9" s="21">
        <v>45199</v>
      </c>
      <c r="M9">
        <v>0.28999999999999998</v>
      </c>
      <c r="N9" t="s">
        <v>84</v>
      </c>
      <c r="O9" t="s">
        <v>256</v>
      </c>
    </row>
    <row r="10" spans="1:15" x14ac:dyDescent="0.25">
      <c r="A10" t="s">
        <v>157</v>
      </c>
      <c r="B10" t="s">
        <v>63</v>
      </c>
      <c r="C10">
        <v>9</v>
      </c>
      <c r="D10">
        <v>4</v>
      </c>
      <c r="E10">
        <v>5</v>
      </c>
      <c r="F10">
        <v>0</v>
      </c>
      <c r="G10">
        <v>2</v>
      </c>
      <c r="H10">
        <v>2</v>
      </c>
      <c r="I10">
        <v>3</v>
      </c>
      <c r="J10">
        <v>0</v>
      </c>
      <c r="K10">
        <v>2</v>
      </c>
      <c r="L10" s="21">
        <v>45184</v>
      </c>
      <c r="M10">
        <v>0.35</v>
      </c>
      <c r="N10" t="s">
        <v>250</v>
      </c>
      <c r="O10" t="s">
        <v>256</v>
      </c>
    </row>
    <row r="11" spans="1:15" x14ac:dyDescent="0.25">
      <c r="A11" t="s">
        <v>118</v>
      </c>
      <c r="B11" t="s">
        <v>77</v>
      </c>
      <c r="C11">
        <v>9</v>
      </c>
      <c r="D11">
        <v>6</v>
      </c>
      <c r="E11">
        <v>3</v>
      </c>
      <c r="F11">
        <v>1</v>
      </c>
      <c r="G11">
        <v>2</v>
      </c>
      <c r="H11">
        <v>2</v>
      </c>
      <c r="I11">
        <v>2</v>
      </c>
      <c r="J11">
        <v>0</v>
      </c>
      <c r="K11">
        <v>2</v>
      </c>
      <c r="L11" s="21">
        <v>45199</v>
      </c>
      <c r="M11">
        <v>0.24</v>
      </c>
      <c r="N11" t="s">
        <v>240</v>
      </c>
      <c r="O11" t="s">
        <v>256</v>
      </c>
    </row>
    <row r="12" spans="1:15" x14ac:dyDescent="0.25">
      <c r="A12" t="s">
        <v>128</v>
      </c>
      <c r="B12" t="s">
        <v>56</v>
      </c>
      <c r="C12">
        <v>8</v>
      </c>
      <c r="D12">
        <v>6</v>
      </c>
      <c r="E12">
        <v>2</v>
      </c>
      <c r="F12">
        <v>1</v>
      </c>
      <c r="G12">
        <v>2</v>
      </c>
      <c r="H12">
        <v>0</v>
      </c>
      <c r="I12">
        <v>2</v>
      </c>
      <c r="J12">
        <v>2</v>
      </c>
      <c r="K12">
        <v>1</v>
      </c>
      <c r="L12" s="21">
        <v>45199</v>
      </c>
      <c r="M12">
        <v>0.2</v>
      </c>
      <c r="N12" t="s">
        <v>241</v>
      </c>
      <c r="O12" t="s">
        <v>256</v>
      </c>
    </row>
    <row r="13" spans="1:15" x14ac:dyDescent="0.25">
      <c r="A13" t="s">
        <v>98</v>
      </c>
      <c r="B13" t="s">
        <v>54</v>
      </c>
      <c r="C13">
        <v>8</v>
      </c>
      <c r="D13">
        <v>3</v>
      </c>
      <c r="E13">
        <v>5</v>
      </c>
      <c r="F13">
        <v>2</v>
      </c>
      <c r="G13">
        <v>2</v>
      </c>
      <c r="H13">
        <v>0</v>
      </c>
      <c r="I13">
        <v>1</v>
      </c>
      <c r="J13">
        <v>1</v>
      </c>
      <c r="K13">
        <v>2</v>
      </c>
      <c r="L13" s="21">
        <v>45200</v>
      </c>
      <c r="M13">
        <v>0.28000000000000003</v>
      </c>
      <c r="N13" t="s">
        <v>226</v>
      </c>
      <c r="O13" t="s">
        <v>256</v>
      </c>
    </row>
    <row r="14" spans="1:15" x14ac:dyDescent="0.25">
      <c r="A14" t="s">
        <v>139</v>
      </c>
      <c r="B14" t="s">
        <v>79</v>
      </c>
      <c r="C14">
        <v>8</v>
      </c>
      <c r="D14">
        <v>4</v>
      </c>
      <c r="E14">
        <v>4</v>
      </c>
      <c r="F14">
        <v>1</v>
      </c>
      <c r="G14">
        <v>0</v>
      </c>
      <c r="H14">
        <v>2</v>
      </c>
      <c r="I14">
        <v>2</v>
      </c>
      <c r="J14">
        <v>1</v>
      </c>
      <c r="K14">
        <v>2</v>
      </c>
      <c r="L14" s="21">
        <v>45164</v>
      </c>
      <c r="M14">
        <v>0.22</v>
      </c>
      <c r="N14" t="s">
        <v>252</v>
      </c>
      <c r="O14" t="s">
        <v>256</v>
      </c>
    </row>
    <row r="15" spans="1:15" x14ac:dyDescent="0.25">
      <c r="A15" t="s">
        <v>221</v>
      </c>
      <c r="B15" t="s">
        <v>69</v>
      </c>
      <c r="C15">
        <v>8</v>
      </c>
      <c r="D15">
        <v>5</v>
      </c>
      <c r="E15">
        <v>3</v>
      </c>
      <c r="F15">
        <v>1</v>
      </c>
      <c r="G15">
        <v>0</v>
      </c>
      <c r="H15">
        <v>1</v>
      </c>
      <c r="I15">
        <v>0</v>
      </c>
      <c r="J15">
        <v>3</v>
      </c>
      <c r="K15">
        <v>3</v>
      </c>
      <c r="L15" s="21">
        <v>45186</v>
      </c>
      <c r="M15">
        <v>0.19</v>
      </c>
      <c r="N15" t="s">
        <v>226</v>
      </c>
      <c r="O15" t="s">
        <v>256</v>
      </c>
    </row>
    <row r="16" spans="1:15" x14ac:dyDescent="0.25">
      <c r="A16" t="s">
        <v>140</v>
      </c>
      <c r="B16" t="s">
        <v>78</v>
      </c>
      <c r="C16">
        <v>8</v>
      </c>
      <c r="D16">
        <v>5</v>
      </c>
      <c r="E16">
        <v>3</v>
      </c>
      <c r="F16">
        <v>4</v>
      </c>
      <c r="G16">
        <v>2</v>
      </c>
      <c r="H16">
        <v>1</v>
      </c>
      <c r="I16">
        <v>0</v>
      </c>
      <c r="J16">
        <v>1</v>
      </c>
      <c r="K16">
        <v>0</v>
      </c>
      <c r="L16" s="21">
        <v>45189</v>
      </c>
      <c r="M16">
        <v>0.35</v>
      </c>
      <c r="N16" t="s">
        <v>252</v>
      </c>
      <c r="O16" t="s">
        <v>256</v>
      </c>
    </row>
    <row r="17" spans="1:15" x14ac:dyDescent="0.25">
      <c r="A17" t="s">
        <v>257</v>
      </c>
      <c r="B17" t="s">
        <v>76</v>
      </c>
      <c r="C17">
        <v>8</v>
      </c>
      <c r="D17">
        <v>3</v>
      </c>
      <c r="E17">
        <v>5</v>
      </c>
      <c r="F17">
        <v>1</v>
      </c>
      <c r="G17">
        <v>1</v>
      </c>
      <c r="H17">
        <v>2</v>
      </c>
      <c r="I17">
        <v>0</v>
      </c>
      <c r="J17">
        <v>3</v>
      </c>
      <c r="K17">
        <v>1</v>
      </c>
      <c r="L17" s="21">
        <v>45200</v>
      </c>
      <c r="M17">
        <v>0.19</v>
      </c>
      <c r="N17" t="s">
        <v>246</v>
      </c>
      <c r="O17" t="s">
        <v>256</v>
      </c>
    </row>
    <row r="18" spans="1:15" x14ac:dyDescent="0.25">
      <c r="A18" t="s">
        <v>261</v>
      </c>
      <c r="B18" t="s">
        <v>66</v>
      </c>
      <c r="C18">
        <v>7</v>
      </c>
      <c r="D18">
        <v>4</v>
      </c>
      <c r="E18">
        <v>3</v>
      </c>
      <c r="F18">
        <v>0</v>
      </c>
      <c r="G18">
        <v>0</v>
      </c>
      <c r="H18">
        <v>2</v>
      </c>
      <c r="I18">
        <v>2</v>
      </c>
      <c r="J18">
        <v>2</v>
      </c>
      <c r="K18">
        <v>1</v>
      </c>
      <c r="L18" s="21">
        <v>45200</v>
      </c>
      <c r="M18">
        <v>0.26</v>
      </c>
      <c r="N18" t="s">
        <v>252</v>
      </c>
      <c r="O18" t="s">
        <v>256</v>
      </c>
    </row>
    <row r="19" spans="1:15" x14ac:dyDescent="0.25">
      <c r="A19" t="s">
        <v>99</v>
      </c>
      <c r="B19" t="s">
        <v>52</v>
      </c>
      <c r="C19">
        <v>7</v>
      </c>
      <c r="D19">
        <v>5</v>
      </c>
      <c r="E19">
        <v>2</v>
      </c>
      <c r="F19">
        <v>0</v>
      </c>
      <c r="G19">
        <v>1</v>
      </c>
      <c r="H19">
        <v>2</v>
      </c>
      <c r="I19">
        <v>1</v>
      </c>
      <c r="J19">
        <v>1</v>
      </c>
      <c r="K19">
        <v>2</v>
      </c>
      <c r="L19" s="21">
        <v>45165</v>
      </c>
      <c r="M19">
        <v>0.18</v>
      </c>
      <c r="N19" t="s">
        <v>131</v>
      </c>
      <c r="O19" t="s">
        <v>256</v>
      </c>
    </row>
    <row r="20" spans="1:15" x14ac:dyDescent="0.25">
      <c r="A20" t="s">
        <v>97</v>
      </c>
      <c r="B20" t="s">
        <v>64</v>
      </c>
      <c r="C20">
        <v>7</v>
      </c>
      <c r="D20">
        <v>5</v>
      </c>
      <c r="E20">
        <v>2</v>
      </c>
      <c r="F20">
        <v>0</v>
      </c>
      <c r="G20">
        <v>1</v>
      </c>
      <c r="H20">
        <v>2</v>
      </c>
      <c r="I20">
        <v>1</v>
      </c>
      <c r="J20">
        <v>1</v>
      </c>
      <c r="K20">
        <v>2</v>
      </c>
      <c r="L20" s="21">
        <v>45136</v>
      </c>
      <c r="M20">
        <v>0.24</v>
      </c>
      <c r="N20" t="s">
        <v>246</v>
      </c>
      <c r="O20" t="s">
        <v>256</v>
      </c>
    </row>
    <row r="21" spans="1:15" x14ac:dyDescent="0.25">
      <c r="A21" t="s">
        <v>102</v>
      </c>
      <c r="B21" t="s">
        <v>61</v>
      </c>
      <c r="C21">
        <v>7</v>
      </c>
      <c r="D21">
        <v>4</v>
      </c>
      <c r="E21">
        <v>3</v>
      </c>
      <c r="F21">
        <v>1</v>
      </c>
      <c r="G21">
        <v>2</v>
      </c>
      <c r="H21">
        <v>1</v>
      </c>
      <c r="I21">
        <v>1</v>
      </c>
      <c r="J21">
        <v>2</v>
      </c>
      <c r="K21">
        <v>0</v>
      </c>
      <c r="L21" s="21">
        <v>45200</v>
      </c>
      <c r="M21">
        <v>0.2</v>
      </c>
      <c r="N21" t="s">
        <v>253</v>
      </c>
      <c r="O21" t="s">
        <v>256</v>
      </c>
    </row>
    <row r="22" spans="1:15" x14ac:dyDescent="0.25">
      <c r="A22" t="s">
        <v>183</v>
      </c>
      <c r="B22" t="s">
        <v>55</v>
      </c>
      <c r="C22">
        <v>7</v>
      </c>
      <c r="D22">
        <v>3</v>
      </c>
      <c r="E22">
        <v>4</v>
      </c>
      <c r="F22">
        <v>1</v>
      </c>
      <c r="G22">
        <v>2</v>
      </c>
      <c r="H22">
        <v>0</v>
      </c>
      <c r="I22">
        <v>2</v>
      </c>
      <c r="J22">
        <v>1</v>
      </c>
      <c r="K22">
        <v>1</v>
      </c>
      <c r="L22" s="21">
        <v>45157</v>
      </c>
      <c r="M22">
        <v>0.21</v>
      </c>
      <c r="N22" t="s">
        <v>252</v>
      </c>
      <c r="O22" t="s">
        <v>256</v>
      </c>
    </row>
    <row r="23" spans="1:15" x14ac:dyDescent="0.25">
      <c r="A23" t="s">
        <v>111</v>
      </c>
      <c r="B23" t="s">
        <v>70</v>
      </c>
      <c r="C23">
        <v>7</v>
      </c>
      <c r="D23">
        <v>5</v>
      </c>
      <c r="E23">
        <v>2</v>
      </c>
      <c r="F23">
        <v>1</v>
      </c>
      <c r="G23">
        <v>0</v>
      </c>
      <c r="H23">
        <v>2</v>
      </c>
      <c r="I23">
        <v>2</v>
      </c>
      <c r="J23">
        <v>2</v>
      </c>
      <c r="K23">
        <v>0</v>
      </c>
      <c r="L23" s="21">
        <v>45141</v>
      </c>
      <c r="M23">
        <v>0.15</v>
      </c>
      <c r="O23" t="s">
        <v>256</v>
      </c>
    </row>
    <row r="24" spans="1:15" x14ac:dyDescent="0.25">
      <c r="A24" t="s">
        <v>121</v>
      </c>
      <c r="B24" t="s">
        <v>79</v>
      </c>
      <c r="C24">
        <v>7</v>
      </c>
      <c r="D24">
        <v>4</v>
      </c>
      <c r="E24">
        <v>3</v>
      </c>
      <c r="F24">
        <v>0</v>
      </c>
      <c r="G24">
        <v>1</v>
      </c>
      <c r="H24">
        <v>5</v>
      </c>
      <c r="I24">
        <v>1</v>
      </c>
      <c r="J24">
        <v>0</v>
      </c>
      <c r="K24">
        <v>0</v>
      </c>
      <c r="L24" s="21">
        <v>45161</v>
      </c>
      <c r="M24">
        <v>0.19</v>
      </c>
      <c r="N24" t="s">
        <v>50</v>
      </c>
      <c r="O24" t="s">
        <v>256</v>
      </c>
    </row>
    <row r="25" spans="1:15" x14ac:dyDescent="0.25">
      <c r="A25" t="s">
        <v>113</v>
      </c>
      <c r="B25" t="s">
        <v>75</v>
      </c>
      <c r="C25">
        <v>7</v>
      </c>
      <c r="D25">
        <v>5</v>
      </c>
      <c r="E25">
        <v>2</v>
      </c>
      <c r="F25">
        <v>2</v>
      </c>
      <c r="G25">
        <v>0</v>
      </c>
      <c r="H25">
        <v>1</v>
      </c>
      <c r="I25">
        <v>2</v>
      </c>
      <c r="J25">
        <v>2</v>
      </c>
      <c r="K25">
        <v>0</v>
      </c>
      <c r="L25" s="21">
        <v>45160</v>
      </c>
      <c r="M25">
        <v>0.22</v>
      </c>
      <c r="N25" t="s">
        <v>126</v>
      </c>
      <c r="O25" t="s">
        <v>256</v>
      </c>
    </row>
    <row r="26" spans="1:15" x14ac:dyDescent="0.25">
      <c r="A26" t="s">
        <v>224</v>
      </c>
      <c r="B26" t="s">
        <v>81</v>
      </c>
      <c r="C26">
        <v>7</v>
      </c>
      <c r="D26">
        <v>6</v>
      </c>
      <c r="E26">
        <v>1</v>
      </c>
      <c r="F26">
        <v>1</v>
      </c>
      <c r="G26">
        <v>2</v>
      </c>
      <c r="H26">
        <v>2</v>
      </c>
      <c r="I26">
        <v>0</v>
      </c>
      <c r="J26">
        <v>1</v>
      </c>
      <c r="K26">
        <v>1</v>
      </c>
      <c r="L26" s="21">
        <v>45183</v>
      </c>
      <c r="M26">
        <v>0.28000000000000003</v>
      </c>
      <c r="N26" t="s">
        <v>254</v>
      </c>
      <c r="O26" t="s">
        <v>256</v>
      </c>
    </row>
    <row r="27" spans="1:15" x14ac:dyDescent="0.25">
      <c r="A27" t="s">
        <v>119</v>
      </c>
      <c r="B27" t="s">
        <v>80</v>
      </c>
      <c r="C27">
        <v>7</v>
      </c>
      <c r="D27">
        <v>2</v>
      </c>
      <c r="E27">
        <v>5</v>
      </c>
      <c r="F27">
        <v>0</v>
      </c>
      <c r="G27">
        <v>0</v>
      </c>
      <c r="H27">
        <v>0</v>
      </c>
      <c r="I27">
        <v>3</v>
      </c>
      <c r="J27">
        <v>1</v>
      </c>
      <c r="K27">
        <v>3</v>
      </c>
      <c r="L27" s="21">
        <v>45141</v>
      </c>
      <c r="M27">
        <v>0.26</v>
      </c>
      <c r="O27" t="s">
        <v>256</v>
      </c>
    </row>
    <row r="28" spans="1:15" x14ac:dyDescent="0.25">
      <c r="A28" t="s">
        <v>120</v>
      </c>
      <c r="B28" t="s">
        <v>71</v>
      </c>
      <c r="C28">
        <v>7</v>
      </c>
      <c r="D28">
        <v>1</v>
      </c>
      <c r="E28">
        <v>6</v>
      </c>
      <c r="F28">
        <v>2</v>
      </c>
      <c r="G28">
        <v>0</v>
      </c>
      <c r="H28">
        <v>2</v>
      </c>
      <c r="I28">
        <v>2</v>
      </c>
      <c r="J28">
        <v>0</v>
      </c>
      <c r="K28">
        <v>1</v>
      </c>
      <c r="L28" s="21">
        <v>45177</v>
      </c>
      <c r="M28">
        <v>0.22</v>
      </c>
      <c r="N28" t="s">
        <v>84</v>
      </c>
      <c r="O28" t="s">
        <v>256</v>
      </c>
    </row>
    <row r="29" spans="1:15" x14ac:dyDescent="0.25">
      <c r="A29" t="s">
        <v>117</v>
      </c>
      <c r="B29" t="s">
        <v>77</v>
      </c>
      <c r="C29">
        <v>7</v>
      </c>
      <c r="D29">
        <v>5</v>
      </c>
      <c r="E29">
        <v>2</v>
      </c>
      <c r="F29">
        <v>1</v>
      </c>
      <c r="G29">
        <v>1</v>
      </c>
      <c r="H29">
        <v>2</v>
      </c>
      <c r="I29">
        <v>0</v>
      </c>
      <c r="J29">
        <v>0</v>
      </c>
      <c r="K29">
        <v>3</v>
      </c>
      <c r="L29" s="21">
        <v>45157</v>
      </c>
      <c r="M29">
        <v>0.18</v>
      </c>
      <c r="N29" t="s">
        <v>127</v>
      </c>
      <c r="O29" t="s">
        <v>256</v>
      </c>
    </row>
    <row r="30" spans="1:15" x14ac:dyDescent="0.25">
      <c r="A30" t="s">
        <v>239</v>
      </c>
      <c r="B30" t="s">
        <v>77</v>
      </c>
      <c r="C30">
        <v>7</v>
      </c>
      <c r="D30">
        <v>6</v>
      </c>
      <c r="E30">
        <v>1</v>
      </c>
      <c r="F30">
        <v>4</v>
      </c>
      <c r="G30">
        <v>0</v>
      </c>
      <c r="H30">
        <v>1</v>
      </c>
      <c r="I30">
        <v>1</v>
      </c>
      <c r="J30">
        <v>0</v>
      </c>
      <c r="K30">
        <v>1</v>
      </c>
      <c r="L30" s="21">
        <v>45186</v>
      </c>
      <c r="M30">
        <v>0.18</v>
      </c>
      <c r="N30" t="s">
        <v>225</v>
      </c>
      <c r="O30" t="s">
        <v>256</v>
      </c>
    </row>
    <row r="31" spans="1:15" x14ac:dyDescent="0.25">
      <c r="A31" t="s">
        <v>100</v>
      </c>
      <c r="B31" t="s">
        <v>61</v>
      </c>
      <c r="C31">
        <v>6</v>
      </c>
      <c r="D31">
        <v>2</v>
      </c>
      <c r="E31">
        <v>4</v>
      </c>
      <c r="F31">
        <v>0</v>
      </c>
      <c r="G31">
        <v>0</v>
      </c>
      <c r="H31">
        <v>0</v>
      </c>
      <c r="I31">
        <v>2</v>
      </c>
      <c r="J31">
        <v>0</v>
      </c>
      <c r="K31">
        <v>4</v>
      </c>
      <c r="L31" s="21">
        <v>45165</v>
      </c>
      <c r="M31">
        <v>0.17</v>
      </c>
      <c r="N31" t="s">
        <v>9</v>
      </c>
      <c r="O31" t="s">
        <v>256</v>
      </c>
    </row>
    <row r="32" spans="1:15" x14ac:dyDescent="0.25">
      <c r="A32" t="s">
        <v>130</v>
      </c>
      <c r="B32" t="s">
        <v>56</v>
      </c>
      <c r="C32">
        <v>6</v>
      </c>
      <c r="D32">
        <v>3</v>
      </c>
      <c r="E32">
        <v>3</v>
      </c>
      <c r="F32">
        <v>2</v>
      </c>
      <c r="G32">
        <v>1</v>
      </c>
      <c r="H32">
        <v>2</v>
      </c>
      <c r="I32">
        <v>1</v>
      </c>
      <c r="J32">
        <v>0</v>
      </c>
      <c r="K32">
        <v>0</v>
      </c>
      <c r="L32" s="21">
        <v>45188</v>
      </c>
      <c r="M32">
        <v>0.15</v>
      </c>
      <c r="N32" t="s">
        <v>246</v>
      </c>
      <c r="O32" t="s">
        <v>256</v>
      </c>
    </row>
    <row r="33" spans="1:15" x14ac:dyDescent="0.25">
      <c r="A33" t="s">
        <v>105</v>
      </c>
      <c r="B33" t="s">
        <v>67</v>
      </c>
      <c r="C33">
        <v>6</v>
      </c>
      <c r="D33">
        <v>4</v>
      </c>
      <c r="E33">
        <v>2</v>
      </c>
      <c r="F33">
        <v>2</v>
      </c>
      <c r="G33">
        <v>1</v>
      </c>
      <c r="H33">
        <v>1</v>
      </c>
      <c r="I33">
        <v>1</v>
      </c>
      <c r="J33">
        <v>1</v>
      </c>
      <c r="K33">
        <v>0</v>
      </c>
      <c r="L33" s="21">
        <v>45158</v>
      </c>
      <c r="M33">
        <v>0.22</v>
      </c>
      <c r="N33" t="s">
        <v>250</v>
      </c>
      <c r="O33" t="s">
        <v>256</v>
      </c>
    </row>
    <row r="34" spans="1:15" x14ac:dyDescent="0.25">
      <c r="A34" t="s">
        <v>238</v>
      </c>
      <c r="B34" t="s">
        <v>53</v>
      </c>
      <c r="C34">
        <v>6</v>
      </c>
      <c r="D34">
        <v>5</v>
      </c>
      <c r="E34">
        <v>1</v>
      </c>
      <c r="F34">
        <v>1</v>
      </c>
      <c r="G34">
        <v>0</v>
      </c>
      <c r="H34">
        <v>1</v>
      </c>
      <c r="I34">
        <v>0</v>
      </c>
      <c r="J34">
        <v>2</v>
      </c>
      <c r="K34">
        <v>2</v>
      </c>
      <c r="L34" s="21">
        <v>45199</v>
      </c>
      <c r="M34">
        <v>0.16</v>
      </c>
      <c r="N34" t="s">
        <v>240</v>
      </c>
      <c r="O34" t="s">
        <v>256</v>
      </c>
    </row>
    <row r="35" spans="1:15" x14ac:dyDescent="0.25">
      <c r="A35" t="s">
        <v>260</v>
      </c>
      <c r="B35" t="s">
        <v>66</v>
      </c>
      <c r="C35">
        <v>6</v>
      </c>
      <c r="D35">
        <v>4</v>
      </c>
      <c r="E35">
        <v>2</v>
      </c>
      <c r="F35">
        <v>1</v>
      </c>
      <c r="G35">
        <v>0</v>
      </c>
      <c r="H35">
        <v>1</v>
      </c>
      <c r="I35">
        <v>0</v>
      </c>
      <c r="J35">
        <v>2</v>
      </c>
      <c r="K35">
        <v>2</v>
      </c>
      <c r="L35" s="21">
        <v>45190</v>
      </c>
      <c r="M35">
        <v>0.22</v>
      </c>
      <c r="N35" t="s">
        <v>245</v>
      </c>
      <c r="O35" t="s">
        <v>256</v>
      </c>
    </row>
    <row r="36" spans="1:15" x14ac:dyDescent="0.25">
      <c r="A36" t="s">
        <v>248</v>
      </c>
      <c r="B36" t="s">
        <v>60</v>
      </c>
      <c r="C36">
        <v>6</v>
      </c>
      <c r="D36">
        <v>3</v>
      </c>
      <c r="E36">
        <v>3</v>
      </c>
      <c r="F36">
        <v>0</v>
      </c>
      <c r="G36">
        <v>1</v>
      </c>
      <c r="H36">
        <v>3</v>
      </c>
      <c r="I36">
        <v>1</v>
      </c>
      <c r="J36">
        <v>0</v>
      </c>
      <c r="K36">
        <v>1</v>
      </c>
      <c r="L36" s="21">
        <v>45190</v>
      </c>
      <c r="M36">
        <v>0.2</v>
      </c>
      <c r="N36" t="s">
        <v>250</v>
      </c>
      <c r="O36" t="s">
        <v>256</v>
      </c>
    </row>
    <row r="37" spans="1:15" x14ac:dyDescent="0.25">
      <c r="A37" t="s">
        <v>270</v>
      </c>
      <c r="B37" t="s">
        <v>73</v>
      </c>
      <c r="C37">
        <v>6</v>
      </c>
      <c r="D37">
        <v>3</v>
      </c>
      <c r="E37">
        <v>3</v>
      </c>
      <c r="F37">
        <v>2</v>
      </c>
      <c r="G37">
        <v>2</v>
      </c>
      <c r="H37">
        <v>1</v>
      </c>
      <c r="I37">
        <v>0</v>
      </c>
      <c r="J37">
        <v>1</v>
      </c>
      <c r="K37">
        <v>0</v>
      </c>
      <c r="L37" s="21">
        <v>45202</v>
      </c>
      <c r="M37">
        <v>0.18</v>
      </c>
      <c r="N37" t="s">
        <v>84</v>
      </c>
      <c r="O37" t="s">
        <v>256</v>
      </c>
    </row>
    <row r="38" spans="1:15" x14ac:dyDescent="0.25">
      <c r="A38" t="s">
        <v>114</v>
      </c>
      <c r="B38" t="s">
        <v>82</v>
      </c>
      <c r="C38">
        <v>6</v>
      </c>
      <c r="D38">
        <v>3</v>
      </c>
      <c r="E38">
        <v>3</v>
      </c>
      <c r="F38">
        <v>0</v>
      </c>
      <c r="G38">
        <v>0</v>
      </c>
      <c r="H38">
        <v>1</v>
      </c>
      <c r="I38">
        <v>1</v>
      </c>
      <c r="J38">
        <v>2</v>
      </c>
      <c r="K38">
        <v>2</v>
      </c>
      <c r="L38" s="21">
        <v>45176</v>
      </c>
      <c r="M38">
        <v>0.2</v>
      </c>
      <c r="N38" t="s">
        <v>131</v>
      </c>
      <c r="O38" t="s">
        <v>256</v>
      </c>
    </row>
    <row r="39" spans="1:15" x14ac:dyDescent="0.25">
      <c r="A39" t="s">
        <v>259</v>
      </c>
      <c r="B39" t="s">
        <v>72</v>
      </c>
      <c r="C39">
        <v>6</v>
      </c>
      <c r="D39">
        <v>3</v>
      </c>
      <c r="E39">
        <v>3</v>
      </c>
      <c r="F39">
        <v>1</v>
      </c>
      <c r="G39">
        <v>0</v>
      </c>
      <c r="H39">
        <v>1</v>
      </c>
      <c r="I39">
        <v>1</v>
      </c>
      <c r="J39">
        <v>1</v>
      </c>
      <c r="K39">
        <v>2</v>
      </c>
      <c r="L39" s="21">
        <v>45192</v>
      </c>
      <c r="M39">
        <v>0.18</v>
      </c>
      <c r="N39" t="s">
        <v>226</v>
      </c>
      <c r="O39" t="s">
        <v>256</v>
      </c>
    </row>
    <row r="40" spans="1:15" x14ac:dyDescent="0.25">
      <c r="A40" t="s">
        <v>110</v>
      </c>
      <c r="B40" t="s">
        <v>75</v>
      </c>
      <c r="C40">
        <v>6</v>
      </c>
      <c r="D40">
        <v>2</v>
      </c>
      <c r="E40">
        <v>4</v>
      </c>
      <c r="F40">
        <v>0</v>
      </c>
      <c r="G40">
        <v>1</v>
      </c>
      <c r="H40">
        <v>2</v>
      </c>
      <c r="I40">
        <v>0</v>
      </c>
      <c r="J40">
        <v>0</v>
      </c>
      <c r="K40">
        <v>3</v>
      </c>
      <c r="L40" s="21">
        <v>45130</v>
      </c>
      <c r="M40">
        <v>0.19</v>
      </c>
      <c r="O40" t="s">
        <v>256</v>
      </c>
    </row>
    <row r="41" spans="1:15" x14ac:dyDescent="0.25">
      <c r="A41" t="s">
        <v>263</v>
      </c>
      <c r="B41" t="s">
        <v>68</v>
      </c>
      <c r="C41">
        <v>6</v>
      </c>
      <c r="D41">
        <v>4</v>
      </c>
      <c r="E41">
        <v>2</v>
      </c>
      <c r="F41">
        <v>3</v>
      </c>
      <c r="G41">
        <v>0</v>
      </c>
      <c r="H41">
        <v>2</v>
      </c>
      <c r="I41">
        <v>1</v>
      </c>
      <c r="J41">
        <v>0</v>
      </c>
      <c r="K41">
        <v>0</v>
      </c>
      <c r="L41" s="21">
        <v>45195</v>
      </c>
      <c r="M41">
        <v>0.15</v>
      </c>
      <c r="N41" t="s">
        <v>253</v>
      </c>
      <c r="O41" t="s">
        <v>256</v>
      </c>
    </row>
    <row r="42" spans="1:15" x14ac:dyDescent="0.25">
      <c r="A42" t="s">
        <v>244</v>
      </c>
      <c r="B42" t="s">
        <v>68</v>
      </c>
      <c r="C42">
        <v>6</v>
      </c>
      <c r="D42">
        <v>5</v>
      </c>
      <c r="E42">
        <v>1</v>
      </c>
      <c r="F42">
        <v>2</v>
      </c>
      <c r="G42">
        <v>0</v>
      </c>
      <c r="H42">
        <v>2</v>
      </c>
      <c r="I42">
        <v>0</v>
      </c>
      <c r="J42">
        <v>1</v>
      </c>
      <c r="K42">
        <v>1</v>
      </c>
      <c r="L42" s="21">
        <v>45168</v>
      </c>
      <c r="M42">
        <v>0.15</v>
      </c>
      <c r="N42" t="s">
        <v>250</v>
      </c>
      <c r="O42" t="s">
        <v>256</v>
      </c>
    </row>
    <row r="43" spans="1:15" x14ac:dyDescent="0.25">
      <c r="A43" t="s">
        <v>116</v>
      </c>
      <c r="B43" t="s">
        <v>71</v>
      </c>
      <c r="C43">
        <v>6</v>
      </c>
      <c r="D43">
        <v>4</v>
      </c>
      <c r="E43">
        <v>2</v>
      </c>
      <c r="F43">
        <v>1</v>
      </c>
      <c r="G43">
        <v>0</v>
      </c>
      <c r="H43">
        <v>2</v>
      </c>
      <c r="I43">
        <v>1</v>
      </c>
      <c r="J43">
        <v>0</v>
      </c>
      <c r="K43">
        <v>2</v>
      </c>
      <c r="L43" s="21">
        <v>45137</v>
      </c>
      <c r="M43">
        <v>0.19</v>
      </c>
      <c r="N43" t="s">
        <v>131</v>
      </c>
      <c r="O43" t="s">
        <v>256</v>
      </c>
    </row>
    <row r="44" spans="1:15" x14ac:dyDescent="0.25">
      <c r="A44" t="s">
        <v>129</v>
      </c>
      <c r="B44" t="s">
        <v>62</v>
      </c>
      <c r="C44">
        <v>5</v>
      </c>
      <c r="D44">
        <v>5</v>
      </c>
      <c r="E44">
        <v>0</v>
      </c>
      <c r="F44">
        <v>1</v>
      </c>
      <c r="G44">
        <v>1</v>
      </c>
      <c r="H44">
        <v>2</v>
      </c>
      <c r="I44">
        <v>0</v>
      </c>
      <c r="J44">
        <v>0</v>
      </c>
      <c r="K44">
        <v>1</v>
      </c>
      <c r="L44" s="21">
        <v>45116</v>
      </c>
      <c r="M44">
        <v>0.19</v>
      </c>
      <c r="N44" t="s">
        <v>253</v>
      </c>
      <c r="O44" t="s">
        <v>256</v>
      </c>
    </row>
    <row r="45" spans="1:15" x14ac:dyDescent="0.25">
      <c r="A45" t="s">
        <v>237</v>
      </c>
      <c r="B45" t="s">
        <v>64</v>
      </c>
      <c r="C45">
        <v>5</v>
      </c>
      <c r="D45">
        <v>4</v>
      </c>
      <c r="E45">
        <v>1</v>
      </c>
      <c r="F45">
        <v>0</v>
      </c>
      <c r="G45">
        <v>1</v>
      </c>
      <c r="H45">
        <v>1</v>
      </c>
      <c r="I45">
        <v>1</v>
      </c>
      <c r="J45">
        <v>1</v>
      </c>
      <c r="K45">
        <v>1</v>
      </c>
      <c r="L45" s="21">
        <v>45188</v>
      </c>
      <c r="M45">
        <v>0.17</v>
      </c>
      <c r="N45" t="s">
        <v>245</v>
      </c>
      <c r="O45" t="s">
        <v>256</v>
      </c>
    </row>
    <row r="46" spans="1:15" x14ac:dyDescent="0.25">
      <c r="A46" t="s">
        <v>106</v>
      </c>
      <c r="B46" t="s">
        <v>53</v>
      </c>
      <c r="C46">
        <v>5</v>
      </c>
      <c r="D46">
        <v>2</v>
      </c>
      <c r="E46">
        <v>3</v>
      </c>
      <c r="F46">
        <v>2</v>
      </c>
      <c r="G46">
        <v>2</v>
      </c>
      <c r="H46">
        <v>0</v>
      </c>
      <c r="I46">
        <v>1</v>
      </c>
      <c r="J46">
        <v>0</v>
      </c>
      <c r="K46">
        <v>0</v>
      </c>
      <c r="L46" s="21">
        <v>45158</v>
      </c>
      <c r="M46">
        <v>0.14000000000000001</v>
      </c>
      <c r="N46" t="s">
        <v>246</v>
      </c>
      <c r="O46" t="s">
        <v>256</v>
      </c>
    </row>
    <row r="47" spans="1:15" x14ac:dyDescent="0.25">
      <c r="A47" t="s">
        <v>265</v>
      </c>
      <c r="B47" t="s">
        <v>58</v>
      </c>
      <c r="C47">
        <v>5</v>
      </c>
      <c r="D47">
        <v>5</v>
      </c>
      <c r="E47">
        <v>0</v>
      </c>
      <c r="F47">
        <v>0</v>
      </c>
      <c r="G47">
        <v>1</v>
      </c>
      <c r="H47">
        <v>2</v>
      </c>
      <c r="I47">
        <v>1</v>
      </c>
      <c r="J47">
        <v>0</v>
      </c>
      <c r="K47">
        <v>1</v>
      </c>
      <c r="L47" s="21">
        <v>45196</v>
      </c>
      <c r="M47">
        <v>0.16</v>
      </c>
      <c r="N47" t="s">
        <v>84</v>
      </c>
      <c r="O47" t="s">
        <v>256</v>
      </c>
    </row>
    <row r="48" spans="1:15" x14ac:dyDescent="0.25">
      <c r="A48" t="s">
        <v>104</v>
      </c>
      <c r="B48" t="s">
        <v>52</v>
      </c>
      <c r="C48">
        <v>5</v>
      </c>
      <c r="D48">
        <v>2</v>
      </c>
      <c r="E48">
        <v>3</v>
      </c>
      <c r="F48">
        <v>1</v>
      </c>
      <c r="G48">
        <v>1</v>
      </c>
      <c r="H48">
        <v>0</v>
      </c>
      <c r="I48">
        <v>1</v>
      </c>
      <c r="J48">
        <v>2</v>
      </c>
      <c r="K48">
        <v>0</v>
      </c>
      <c r="L48" s="21">
        <v>45137</v>
      </c>
      <c r="M48">
        <v>0.13</v>
      </c>
      <c r="N48" t="s">
        <v>176</v>
      </c>
      <c r="O48" t="s">
        <v>256</v>
      </c>
    </row>
    <row r="49" spans="1:15" x14ac:dyDescent="0.25">
      <c r="A49" t="s">
        <v>266</v>
      </c>
      <c r="B49" t="s">
        <v>52</v>
      </c>
      <c r="C49">
        <v>5</v>
      </c>
      <c r="D49">
        <v>1</v>
      </c>
      <c r="E49">
        <v>4</v>
      </c>
      <c r="F49">
        <v>2</v>
      </c>
      <c r="G49">
        <v>1</v>
      </c>
      <c r="H49">
        <v>0</v>
      </c>
      <c r="I49">
        <v>0</v>
      </c>
      <c r="J49">
        <v>0</v>
      </c>
      <c r="K49">
        <v>2</v>
      </c>
      <c r="L49" s="21">
        <v>45200</v>
      </c>
      <c r="M49">
        <v>0.13</v>
      </c>
      <c r="N49" t="s">
        <v>267</v>
      </c>
      <c r="O49" t="s">
        <v>256</v>
      </c>
    </row>
    <row r="50" spans="1:15" x14ac:dyDescent="0.25">
      <c r="A50" t="s">
        <v>268</v>
      </c>
      <c r="B50" t="s">
        <v>70</v>
      </c>
      <c r="C50">
        <v>5</v>
      </c>
      <c r="D50">
        <v>4</v>
      </c>
      <c r="E50">
        <v>1</v>
      </c>
      <c r="F50">
        <v>1</v>
      </c>
      <c r="G50">
        <v>1</v>
      </c>
      <c r="H50">
        <v>3</v>
      </c>
      <c r="I50">
        <v>0</v>
      </c>
      <c r="J50">
        <v>0</v>
      </c>
      <c r="K50">
        <v>0</v>
      </c>
      <c r="L50" s="21">
        <v>45192</v>
      </c>
      <c r="M50">
        <v>0.11</v>
      </c>
      <c r="N50" t="s">
        <v>250</v>
      </c>
      <c r="O50" t="s">
        <v>256</v>
      </c>
    </row>
    <row r="51" spans="1:15" x14ac:dyDescent="0.25">
      <c r="A51" t="s">
        <v>138</v>
      </c>
      <c r="B51" t="s">
        <v>72</v>
      </c>
      <c r="C51">
        <v>5</v>
      </c>
      <c r="D51">
        <v>4</v>
      </c>
      <c r="E51">
        <v>1</v>
      </c>
      <c r="F51">
        <v>1</v>
      </c>
      <c r="G51">
        <v>2</v>
      </c>
      <c r="H51">
        <v>1</v>
      </c>
      <c r="I51">
        <v>0</v>
      </c>
      <c r="J51">
        <v>1</v>
      </c>
      <c r="K51">
        <v>0</v>
      </c>
      <c r="L51" s="21">
        <v>45161</v>
      </c>
      <c r="M51">
        <v>0.15</v>
      </c>
      <c r="N51" t="s">
        <v>240</v>
      </c>
      <c r="O51" t="s">
        <v>256</v>
      </c>
    </row>
    <row r="52" spans="1:15" x14ac:dyDescent="0.25">
      <c r="A52" t="s">
        <v>269</v>
      </c>
      <c r="B52" t="s">
        <v>81</v>
      </c>
      <c r="C52">
        <v>5</v>
      </c>
      <c r="D52">
        <v>4</v>
      </c>
      <c r="E52">
        <v>1</v>
      </c>
      <c r="F52">
        <v>0</v>
      </c>
      <c r="G52">
        <v>2</v>
      </c>
      <c r="H52">
        <v>1</v>
      </c>
      <c r="I52">
        <v>0</v>
      </c>
      <c r="J52">
        <v>0</v>
      </c>
      <c r="K52">
        <v>2</v>
      </c>
      <c r="L52" s="21">
        <v>45198</v>
      </c>
      <c r="M52">
        <v>0.2</v>
      </c>
      <c r="N52" t="s">
        <v>127</v>
      </c>
      <c r="O52" t="s">
        <v>256</v>
      </c>
    </row>
    <row r="53" spans="1:15" x14ac:dyDescent="0.25">
      <c r="A53" t="s">
        <v>258</v>
      </c>
      <c r="B53" t="s">
        <v>82</v>
      </c>
      <c r="C53">
        <v>5</v>
      </c>
      <c r="D53">
        <v>4</v>
      </c>
      <c r="E53">
        <v>1</v>
      </c>
      <c r="F53">
        <v>0</v>
      </c>
      <c r="G53">
        <v>1</v>
      </c>
      <c r="H53">
        <v>3</v>
      </c>
      <c r="I53">
        <v>0</v>
      </c>
      <c r="J53">
        <v>1</v>
      </c>
      <c r="K53">
        <v>0</v>
      </c>
      <c r="L53" s="21">
        <v>45176</v>
      </c>
      <c r="M53">
        <v>0.17</v>
      </c>
      <c r="N53" t="s">
        <v>241</v>
      </c>
      <c r="O53" t="s">
        <v>256</v>
      </c>
    </row>
    <row r="54" spans="1:15" x14ac:dyDescent="0.25">
      <c r="A54" t="s">
        <v>222</v>
      </c>
      <c r="B54" t="s">
        <v>72</v>
      </c>
      <c r="C54">
        <v>5</v>
      </c>
      <c r="D54">
        <v>3</v>
      </c>
      <c r="E54">
        <v>2</v>
      </c>
      <c r="F54">
        <v>3</v>
      </c>
      <c r="G54">
        <v>0</v>
      </c>
      <c r="H54">
        <v>1</v>
      </c>
      <c r="I54">
        <v>1</v>
      </c>
      <c r="J54">
        <v>0</v>
      </c>
      <c r="K54">
        <v>0</v>
      </c>
      <c r="L54" s="21">
        <v>45150</v>
      </c>
      <c r="M54">
        <v>0.15</v>
      </c>
      <c r="N54" t="s">
        <v>83</v>
      </c>
      <c r="O54" t="s">
        <v>256</v>
      </c>
    </row>
    <row r="55" spans="1:15" x14ac:dyDescent="0.25">
      <c r="A55" t="s">
        <v>115</v>
      </c>
      <c r="B55" t="s">
        <v>73</v>
      </c>
      <c r="C55">
        <v>5</v>
      </c>
      <c r="D55">
        <v>1</v>
      </c>
      <c r="E55">
        <v>4</v>
      </c>
      <c r="F55">
        <v>1</v>
      </c>
      <c r="G55">
        <v>0</v>
      </c>
      <c r="H55">
        <v>0</v>
      </c>
      <c r="I55">
        <v>0</v>
      </c>
      <c r="J55">
        <v>1</v>
      </c>
      <c r="K55">
        <v>3</v>
      </c>
      <c r="L55" s="21">
        <v>45126</v>
      </c>
      <c r="M55">
        <v>0.15</v>
      </c>
      <c r="N55" t="s">
        <v>50</v>
      </c>
      <c r="O55" t="s">
        <v>256</v>
      </c>
    </row>
    <row r="56" spans="1:15" x14ac:dyDescent="0.25">
      <c r="A56" t="s">
        <v>264</v>
      </c>
      <c r="B56" t="s">
        <v>68</v>
      </c>
      <c r="C56">
        <v>5</v>
      </c>
      <c r="D56">
        <v>2</v>
      </c>
      <c r="E56">
        <v>3</v>
      </c>
      <c r="F56">
        <v>0</v>
      </c>
      <c r="G56">
        <v>0</v>
      </c>
      <c r="H56">
        <v>3</v>
      </c>
      <c r="I56">
        <v>1</v>
      </c>
      <c r="J56">
        <v>1</v>
      </c>
      <c r="K56">
        <v>0</v>
      </c>
      <c r="L56" s="21">
        <v>45188</v>
      </c>
      <c r="M56">
        <v>0.13</v>
      </c>
      <c r="N56" t="s">
        <v>242</v>
      </c>
      <c r="O56" t="s">
        <v>256</v>
      </c>
    </row>
    <row r="57" spans="1:15" x14ac:dyDescent="0.25">
      <c r="A57" t="s">
        <v>247</v>
      </c>
      <c r="B57" t="s">
        <v>65</v>
      </c>
      <c r="C57">
        <v>4</v>
      </c>
      <c r="D57">
        <v>1</v>
      </c>
      <c r="E57">
        <v>3</v>
      </c>
      <c r="F57">
        <v>0</v>
      </c>
      <c r="G57">
        <v>0</v>
      </c>
      <c r="H57">
        <v>0</v>
      </c>
      <c r="I57">
        <v>2</v>
      </c>
      <c r="J57">
        <v>2</v>
      </c>
      <c r="K57">
        <v>0</v>
      </c>
      <c r="L57" s="21">
        <v>45165</v>
      </c>
      <c r="M57">
        <v>0.15</v>
      </c>
      <c r="N57" t="s">
        <v>84</v>
      </c>
      <c r="O57" t="s">
        <v>256</v>
      </c>
    </row>
    <row r="58" spans="1:15" x14ac:dyDescent="0.25">
      <c r="A58" t="s">
        <v>243</v>
      </c>
      <c r="B58" t="s">
        <v>53</v>
      </c>
      <c r="C58">
        <v>4</v>
      </c>
      <c r="D58">
        <v>1</v>
      </c>
      <c r="E58">
        <v>3</v>
      </c>
      <c r="F58">
        <v>0</v>
      </c>
      <c r="G58">
        <v>0</v>
      </c>
      <c r="H58">
        <v>1</v>
      </c>
      <c r="I58">
        <v>0</v>
      </c>
      <c r="J58">
        <v>1</v>
      </c>
      <c r="K58">
        <v>2</v>
      </c>
      <c r="L58" s="21">
        <v>45158</v>
      </c>
      <c r="M58">
        <v>0.11</v>
      </c>
      <c r="N58" t="s">
        <v>127</v>
      </c>
      <c r="O58" t="s">
        <v>256</v>
      </c>
    </row>
    <row r="59" spans="1:15" x14ac:dyDescent="0.25">
      <c r="A59" t="s">
        <v>219</v>
      </c>
      <c r="B59" t="s">
        <v>52</v>
      </c>
      <c r="C59">
        <v>4</v>
      </c>
      <c r="D59">
        <v>2</v>
      </c>
      <c r="E59">
        <v>2</v>
      </c>
      <c r="F59">
        <v>0</v>
      </c>
      <c r="G59">
        <v>1</v>
      </c>
      <c r="H59">
        <v>1</v>
      </c>
      <c r="I59">
        <v>1</v>
      </c>
      <c r="J59">
        <v>1</v>
      </c>
      <c r="K59">
        <v>0</v>
      </c>
      <c r="L59" s="21">
        <v>45137</v>
      </c>
      <c r="M59">
        <v>0.1</v>
      </c>
      <c r="N59" t="s">
        <v>131</v>
      </c>
      <c r="O59" t="s">
        <v>256</v>
      </c>
    </row>
    <row r="60" spans="1:15" x14ac:dyDescent="0.25">
      <c r="A60" t="s">
        <v>236</v>
      </c>
      <c r="B60" t="s">
        <v>56</v>
      </c>
      <c r="C60">
        <v>4</v>
      </c>
      <c r="D60">
        <v>3</v>
      </c>
      <c r="E60">
        <v>1</v>
      </c>
      <c r="F60">
        <v>0</v>
      </c>
      <c r="G60">
        <v>1</v>
      </c>
      <c r="H60">
        <v>1</v>
      </c>
      <c r="I60">
        <v>1</v>
      </c>
      <c r="J60">
        <v>1</v>
      </c>
      <c r="K60">
        <v>0</v>
      </c>
      <c r="L60" s="21">
        <v>45151</v>
      </c>
      <c r="M60">
        <v>0.1</v>
      </c>
      <c r="N60" t="s">
        <v>225</v>
      </c>
      <c r="O60" t="s">
        <v>256</v>
      </c>
    </row>
    <row r="61" spans="1:15" x14ac:dyDescent="0.25">
      <c r="A61" t="s">
        <v>262</v>
      </c>
      <c r="B61" t="s">
        <v>59</v>
      </c>
      <c r="C61">
        <v>4</v>
      </c>
      <c r="D61">
        <v>1</v>
      </c>
      <c r="E61">
        <v>3</v>
      </c>
      <c r="F61">
        <v>0</v>
      </c>
      <c r="G61">
        <v>1</v>
      </c>
      <c r="H61">
        <v>0</v>
      </c>
      <c r="I61">
        <v>0</v>
      </c>
      <c r="J61">
        <v>2</v>
      </c>
      <c r="K61">
        <v>1</v>
      </c>
      <c r="L61" s="21">
        <v>45183</v>
      </c>
      <c r="M61">
        <v>0.17</v>
      </c>
      <c r="N61" t="s">
        <v>240</v>
      </c>
      <c r="O61" t="s">
        <v>256</v>
      </c>
    </row>
  </sheetData>
  <sheetProtection selectLockedCells="1" selectUnlockedCell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/>
  <dimension ref="A1:O43"/>
  <sheetViews>
    <sheetView topLeftCell="A17" workbookViewId="0">
      <selection activeCell="A2" sqref="A2:A43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9" width="8" customWidth="1"/>
    <col min="10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10</v>
      </c>
      <c r="B1" t="s">
        <v>0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23</v>
      </c>
      <c r="L1" t="s">
        <v>38</v>
      </c>
      <c r="M1" t="s">
        <v>39</v>
      </c>
      <c r="N1" t="s">
        <v>40</v>
      </c>
      <c r="O1" t="s">
        <v>41</v>
      </c>
    </row>
    <row r="2" spans="1:15" x14ac:dyDescent="0.25">
      <c r="A2" t="s">
        <v>287</v>
      </c>
      <c r="B2" t="s">
        <v>314</v>
      </c>
      <c r="C2">
        <v>4</v>
      </c>
      <c r="D2">
        <v>26</v>
      </c>
      <c r="E2">
        <v>3</v>
      </c>
      <c r="F2">
        <v>0</v>
      </c>
      <c r="G2">
        <v>0</v>
      </c>
      <c r="H2">
        <v>0</v>
      </c>
      <c r="I2">
        <v>0</v>
      </c>
      <c r="J2">
        <v>1</v>
      </c>
      <c r="L2">
        <v>0.75</v>
      </c>
      <c r="M2" t="s">
        <v>42</v>
      </c>
      <c r="N2" t="s">
        <v>42</v>
      </c>
      <c r="O2">
        <v>0.25</v>
      </c>
    </row>
    <row r="3" spans="1:15" x14ac:dyDescent="0.25">
      <c r="A3" t="s">
        <v>290</v>
      </c>
      <c r="B3" t="s">
        <v>314</v>
      </c>
      <c r="C3">
        <v>2</v>
      </c>
      <c r="D3">
        <v>22</v>
      </c>
      <c r="E3">
        <v>1</v>
      </c>
      <c r="F3">
        <v>0</v>
      </c>
      <c r="G3">
        <v>1</v>
      </c>
      <c r="H3">
        <v>0</v>
      </c>
      <c r="I3">
        <v>0</v>
      </c>
      <c r="J3">
        <v>0</v>
      </c>
      <c r="L3">
        <v>1</v>
      </c>
      <c r="M3" t="s">
        <v>42</v>
      </c>
      <c r="N3" t="s">
        <v>42</v>
      </c>
      <c r="O3">
        <v>0</v>
      </c>
    </row>
    <row r="4" spans="1:15" x14ac:dyDescent="0.25">
      <c r="A4" t="s">
        <v>274</v>
      </c>
      <c r="B4" t="s">
        <v>314</v>
      </c>
      <c r="C4">
        <v>5</v>
      </c>
      <c r="D4">
        <v>27</v>
      </c>
      <c r="E4">
        <v>2</v>
      </c>
      <c r="F4">
        <v>1</v>
      </c>
      <c r="G4">
        <v>1</v>
      </c>
      <c r="H4">
        <v>0</v>
      </c>
      <c r="I4">
        <v>1</v>
      </c>
      <c r="J4">
        <v>0</v>
      </c>
      <c r="L4">
        <v>0.8</v>
      </c>
      <c r="M4" t="s">
        <v>42</v>
      </c>
      <c r="N4" t="s">
        <v>42</v>
      </c>
      <c r="O4">
        <v>0.2</v>
      </c>
    </row>
    <row r="5" spans="1:15" x14ac:dyDescent="0.25">
      <c r="A5" t="s">
        <v>275</v>
      </c>
      <c r="B5" t="s">
        <v>314</v>
      </c>
      <c r="C5">
        <v>6</v>
      </c>
      <c r="D5">
        <v>30</v>
      </c>
      <c r="E5">
        <v>1</v>
      </c>
      <c r="F5">
        <v>3</v>
      </c>
      <c r="G5">
        <v>1</v>
      </c>
      <c r="H5">
        <v>0</v>
      </c>
      <c r="I5">
        <v>1</v>
      </c>
      <c r="J5">
        <v>0</v>
      </c>
      <c r="L5">
        <v>0.83</v>
      </c>
      <c r="M5" t="s">
        <v>42</v>
      </c>
      <c r="N5" t="s">
        <v>42</v>
      </c>
      <c r="O5">
        <v>0.17</v>
      </c>
    </row>
    <row r="6" spans="1:15" x14ac:dyDescent="0.25">
      <c r="A6" t="s">
        <v>282</v>
      </c>
      <c r="B6" t="s">
        <v>314</v>
      </c>
      <c r="C6">
        <v>4</v>
      </c>
      <c r="D6">
        <v>23</v>
      </c>
      <c r="E6">
        <v>2</v>
      </c>
      <c r="F6">
        <v>1</v>
      </c>
      <c r="G6">
        <v>0</v>
      </c>
      <c r="H6">
        <v>1</v>
      </c>
      <c r="I6">
        <v>0</v>
      </c>
      <c r="J6">
        <v>0</v>
      </c>
      <c r="L6">
        <v>0.75</v>
      </c>
      <c r="M6" t="s">
        <v>42</v>
      </c>
      <c r="N6" t="s">
        <v>42</v>
      </c>
      <c r="O6">
        <v>0.25</v>
      </c>
    </row>
    <row r="7" spans="1:15" x14ac:dyDescent="0.25">
      <c r="A7" t="s">
        <v>288</v>
      </c>
      <c r="B7" t="s">
        <v>314</v>
      </c>
      <c r="C7">
        <v>2</v>
      </c>
      <c r="D7">
        <v>28</v>
      </c>
      <c r="E7">
        <v>0</v>
      </c>
      <c r="F7">
        <v>1</v>
      </c>
      <c r="G7">
        <v>1</v>
      </c>
      <c r="H7">
        <v>0</v>
      </c>
      <c r="I7">
        <v>0</v>
      </c>
      <c r="J7">
        <v>0</v>
      </c>
      <c r="L7">
        <v>1</v>
      </c>
      <c r="M7" t="s">
        <v>42</v>
      </c>
      <c r="N7" t="s">
        <v>42</v>
      </c>
      <c r="O7">
        <v>0</v>
      </c>
    </row>
    <row r="8" spans="1:15" x14ac:dyDescent="0.25">
      <c r="A8" t="s">
        <v>273</v>
      </c>
      <c r="B8" t="s">
        <v>323</v>
      </c>
      <c r="C8">
        <v>6</v>
      </c>
      <c r="D8">
        <v>50</v>
      </c>
      <c r="E8">
        <v>1</v>
      </c>
      <c r="F8">
        <v>2</v>
      </c>
      <c r="G8">
        <v>0</v>
      </c>
      <c r="H8">
        <v>0</v>
      </c>
      <c r="I8">
        <v>0</v>
      </c>
      <c r="J8">
        <v>3</v>
      </c>
      <c r="L8">
        <v>0.5</v>
      </c>
      <c r="M8" t="s">
        <v>42</v>
      </c>
      <c r="N8" t="s">
        <v>42</v>
      </c>
      <c r="O8">
        <v>0.5</v>
      </c>
    </row>
    <row r="9" spans="1:15" x14ac:dyDescent="0.25">
      <c r="A9" t="s">
        <v>281</v>
      </c>
      <c r="B9" t="s">
        <v>314</v>
      </c>
      <c r="C9">
        <v>4</v>
      </c>
      <c r="D9">
        <v>71</v>
      </c>
      <c r="E9">
        <v>0</v>
      </c>
      <c r="F9">
        <v>0</v>
      </c>
      <c r="G9">
        <v>1</v>
      </c>
      <c r="H9">
        <v>0</v>
      </c>
      <c r="I9">
        <v>0</v>
      </c>
      <c r="J9">
        <v>3</v>
      </c>
      <c r="L9">
        <v>0.25</v>
      </c>
      <c r="M9" t="s">
        <v>42</v>
      </c>
      <c r="N9" t="s">
        <v>42</v>
      </c>
      <c r="O9">
        <v>0.75</v>
      </c>
    </row>
    <row r="10" spans="1:15" x14ac:dyDescent="0.25">
      <c r="A10" t="s">
        <v>272</v>
      </c>
      <c r="B10" t="s">
        <v>314</v>
      </c>
      <c r="C10">
        <v>4</v>
      </c>
      <c r="D10">
        <v>61</v>
      </c>
      <c r="E10">
        <v>1</v>
      </c>
      <c r="F10">
        <v>0</v>
      </c>
      <c r="G10">
        <v>0</v>
      </c>
      <c r="H10">
        <v>1</v>
      </c>
      <c r="I10">
        <v>0</v>
      </c>
      <c r="J10">
        <v>2</v>
      </c>
      <c r="L10">
        <v>0.25</v>
      </c>
      <c r="M10" t="s">
        <v>42</v>
      </c>
      <c r="N10" t="s">
        <v>42</v>
      </c>
      <c r="O10">
        <v>0.75</v>
      </c>
    </row>
    <row r="11" spans="1:15" x14ac:dyDescent="0.25">
      <c r="A11" t="s">
        <v>289</v>
      </c>
      <c r="B11" t="s">
        <v>318</v>
      </c>
      <c r="C11">
        <v>2</v>
      </c>
      <c r="D11">
        <v>6</v>
      </c>
      <c r="E11">
        <v>2</v>
      </c>
      <c r="F11">
        <v>0</v>
      </c>
      <c r="G11">
        <v>0</v>
      </c>
      <c r="H11">
        <v>0</v>
      </c>
      <c r="I11">
        <v>0</v>
      </c>
      <c r="J11">
        <v>0</v>
      </c>
      <c r="L11">
        <v>1</v>
      </c>
      <c r="M11" t="s">
        <v>42</v>
      </c>
      <c r="N11" t="s">
        <v>42</v>
      </c>
      <c r="O11">
        <v>0</v>
      </c>
    </row>
    <row r="12" spans="1:15" x14ac:dyDescent="0.25">
      <c r="A12" t="s">
        <v>286</v>
      </c>
      <c r="B12" t="s">
        <v>318</v>
      </c>
      <c r="C12">
        <v>4</v>
      </c>
      <c r="D12">
        <v>53</v>
      </c>
      <c r="E12">
        <v>0</v>
      </c>
      <c r="F12">
        <v>1</v>
      </c>
      <c r="G12">
        <v>1</v>
      </c>
      <c r="H12">
        <v>1</v>
      </c>
      <c r="I12">
        <v>0</v>
      </c>
      <c r="J12">
        <v>1</v>
      </c>
      <c r="L12">
        <v>0.5</v>
      </c>
      <c r="M12" t="s">
        <v>42</v>
      </c>
      <c r="N12" t="s">
        <v>42</v>
      </c>
      <c r="O12">
        <v>0.5</v>
      </c>
    </row>
    <row r="13" spans="1:15" x14ac:dyDescent="0.25">
      <c r="A13" t="s">
        <v>284</v>
      </c>
      <c r="B13" t="s">
        <v>314</v>
      </c>
      <c r="C13">
        <v>3</v>
      </c>
      <c r="D13">
        <v>8</v>
      </c>
      <c r="E13">
        <v>3</v>
      </c>
      <c r="F13">
        <v>0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42</v>
      </c>
      <c r="N13" t="s">
        <v>42</v>
      </c>
      <c r="O13">
        <v>0</v>
      </c>
    </row>
    <row r="14" spans="1:15" x14ac:dyDescent="0.25">
      <c r="A14" t="s">
        <v>280</v>
      </c>
      <c r="B14" t="s">
        <v>314</v>
      </c>
      <c r="C14">
        <v>2</v>
      </c>
      <c r="D14">
        <v>6</v>
      </c>
      <c r="E14">
        <v>2</v>
      </c>
      <c r="F14">
        <v>0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42</v>
      </c>
      <c r="N14" t="s">
        <v>42</v>
      </c>
      <c r="O14">
        <v>0</v>
      </c>
    </row>
    <row r="15" spans="1:15" x14ac:dyDescent="0.25">
      <c r="A15" t="s">
        <v>277</v>
      </c>
      <c r="B15" t="s">
        <v>318</v>
      </c>
      <c r="C15">
        <v>5</v>
      </c>
      <c r="D15">
        <v>24</v>
      </c>
      <c r="E15">
        <v>2</v>
      </c>
      <c r="F15">
        <v>0</v>
      </c>
      <c r="G15">
        <v>3</v>
      </c>
      <c r="H15">
        <v>0</v>
      </c>
      <c r="I15">
        <v>0</v>
      </c>
      <c r="J15">
        <v>0</v>
      </c>
      <c r="L15">
        <v>1</v>
      </c>
      <c r="M15" t="s">
        <v>42</v>
      </c>
      <c r="N15" t="s">
        <v>42</v>
      </c>
      <c r="O15">
        <v>0</v>
      </c>
    </row>
    <row r="16" spans="1:15" x14ac:dyDescent="0.25">
      <c r="A16" t="s">
        <v>278</v>
      </c>
      <c r="B16" t="s">
        <v>314</v>
      </c>
      <c r="C16">
        <v>5</v>
      </c>
      <c r="D16">
        <v>33</v>
      </c>
      <c r="E16">
        <v>1</v>
      </c>
      <c r="F16">
        <v>1</v>
      </c>
      <c r="G16">
        <v>2</v>
      </c>
      <c r="H16">
        <v>1</v>
      </c>
      <c r="I16">
        <v>0</v>
      </c>
      <c r="J16">
        <v>0</v>
      </c>
      <c r="L16">
        <v>0.8</v>
      </c>
      <c r="M16" t="s">
        <v>42</v>
      </c>
      <c r="N16" t="s">
        <v>42</v>
      </c>
      <c r="O16">
        <v>0.2</v>
      </c>
    </row>
    <row r="17" spans="1:15" x14ac:dyDescent="0.25">
      <c r="A17" t="s">
        <v>271</v>
      </c>
      <c r="B17" t="s">
        <v>318</v>
      </c>
      <c r="C17">
        <v>4</v>
      </c>
      <c r="D17">
        <v>21</v>
      </c>
      <c r="E17">
        <v>2</v>
      </c>
      <c r="F17">
        <v>1</v>
      </c>
      <c r="G17">
        <v>1</v>
      </c>
      <c r="H17">
        <v>0</v>
      </c>
      <c r="I17">
        <v>0</v>
      </c>
      <c r="J17">
        <v>0</v>
      </c>
      <c r="L17">
        <v>1</v>
      </c>
      <c r="M17" t="s">
        <v>42</v>
      </c>
      <c r="N17" t="s">
        <v>42</v>
      </c>
      <c r="O17">
        <v>0</v>
      </c>
    </row>
    <row r="18" spans="1:15" x14ac:dyDescent="0.25">
      <c r="A18" t="s">
        <v>276</v>
      </c>
      <c r="B18" t="s">
        <v>314</v>
      </c>
      <c r="C18">
        <v>7</v>
      </c>
      <c r="D18">
        <v>19</v>
      </c>
      <c r="E18">
        <v>4</v>
      </c>
      <c r="F18">
        <v>2</v>
      </c>
      <c r="G18">
        <v>0</v>
      </c>
      <c r="H18">
        <v>0</v>
      </c>
      <c r="I18">
        <v>1</v>
      </c>
      <c r="J18">
        <v>0</v>
      </c>
      <c r="L18">
        <v>0.86</v>
      </c>
      <c r="M18" t="s">
        <v>42</v>
      </c>
      <c r="N18" t="s">
        <v>42</v>
      </c>
      <c r="O18">
        <v>0.14000000000000001</v>
      </c>
    </row>
    <row r="19" spans="1:15" x14ac:dyDescent="0.25">
      <c r="A19" t="s">
        <v>283</v>
      </c>
      <c r="B19" t="s">
        <v>314</v>
      </c>
      <c r="C19">
        <v>4</v>
      </c>
      <c r="D19">
        <v>57</v>
      </c>
      <c r="E19">
        <v>1</v>
      </c>
      <c r="F19">
        <v>0</v>
      </c>
      <c r="G19">
        <v>0</v>
      </c>
      <c r="H19">
        <v>0</v>
      </c>
      <c r="I19">
        <v>3</v>
      </c>
      <c r="J19">
        <v>0</v>
      </c>
      <c r="L19">
        <v>0.25</v>
      </c>
      <c r="M19" t="s">
        <v>42</v>
      </c>
      <c r="N19" t="s">
        <v>42</v>
      </c>
      <c r="O19">
        <v>0.75</v>
      </c>
    </row>
    <row r="20" spans="1:15" x14ac:dyDescent="0.25">
      <c r="A20" t="s">
        <v>279</v>
      </c>
      <c r="B20" t="s">
        <v>318</v>
      </c>
      <c r="C20">
        <v>4</v>
      </c>
      <c r="D20">
        <v>32</v>
      </c>
      <c r="E20">
        <v>2</v>
      </c>
      <c r="F20">
        <v>0</v>
      </c>
      <c r="G20">
        <v>1</v>
      </c>
      <c r="H20">
        <v>0</v>
      </c>
      <c r="I20">
        <v>1</v>
      </c>
      <c r="J20">
        <v>0</v>
      </c>
      <c r="L20">
        <v>0.75</v>
      </c>
      <c r="M20" t="s">
        <v>42</v>
      </c>
      <c r="N20" t="s">
        <v>42</v>
      </c>
      <c r="O20">
        <v>0.25</v>
      </c>
    </row>
    <row r="21" spans="1:15" x14ac:dyDescent="0.25">
      <c r="A21" t="s">
        <v>285</v>
      </c>
      <c r="B21" t="s">
        <v>323</v>
      </c>
      <c r="C21">
        <v>2</v>
      </c>
      <c r="D21">
        <v>53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L21">
        <v>0</v>
      </c>
      <c r="M21" t="s">
        <v>42</v>
      </c>
      <c r="N21" t="s">
        <v>42</v>
      </c>
      <c r="O21">
        <v>1</v>
      </c>
    </row>
    <row r="22" spans="1:15" x14ac:dyDescent="0.25">
      <c r="A22" t="s">
        <v>301</v>
      </c>
      <c r="B22" t="s">
        <v>322</v>
      </c>
      <c r="C22">
        <v>5</v>
      </c>
      <c r="D22">
        <v>39</v>
      </c>
      <c r="E22">
        <v>1</v>
      </c>
      <c r="F22">
        <v>1</v>
      </c>
      <c r="G22">
        <v>1</v>
      </c>
      <c r="H22">
        <v>1</v>
      </c>
      <c r="I22">
        <v>0</v>
      </c>
      <c r="J22">
        <v>1</v>
      </c>
      <c r="L22">
        <v>0.6</v>
      </c>
      <c r="M22" t="s">
        <v>42</v>
      </c>
      <c r="N22" t="s">
        <v>42</v>
      </c>
      <c r="O22">
        <v>0.4</v>
      </c>
    </row>
    <row r="23" spans="1:15" x14ac:dyDescent="0.25">
      <c r="A23" t="s">
        <v>311</v>
      </c>
      <c r="B23" t="s">
        <v>323</v>
      </c>
      <c r="C23">
        <v>3</v>
      </c>
      <c r="D23">
        <v>39</v>
      </c>
      <c r="E23">
        <v>2</v>
      </c>
      <c r="F23">
        <v>0</v>
      </c>
      <c r="G23">
        <v>0</v>
      </c>
      <c r="H23">
        <v>0</v>
      </c>
      <c r="I23">
        <v>0</v>
      </c>
      <c r="J23">
        <v>1</v>
      </c>
      <c r="L23">
        <v>0.67</v>
      </c>
      <c r="M23" t="s">
        <v>42</v>
      </c>
      <c r="N23" t="s">
        <v>42</v>
      </c>
      <c r="O23">
        <v>0.33</v>
      </c>
    </row>
    <row r="24" spans="1:15" x14ac:dyDescent="0.25">
      <c r="A24" t="s">
        <v>308</v>
      </c>
      <c r="B24" t="s">
        <v>323</v>
      </c>
      <c r="C24">
        <v>4</v>
      </c>
      <c r="D24">
        <v>20</v>
      </c>
      <c r="E24">
        <v>2</v>
      </c>
      <c r="F24">
        <v>1</v>
      </c>
      <c r="G24">
        <v>1</v>
      </c>
      <c r="H24">
        <v>0</v>
      </c>
      <c r="I24">
        <v>0</v>
      </c>
      <c r="J24">
        <v>0</v>
      </c>
      <c r="L24">
        <v>1</v>
      </c>
      <c r="M24" t="s">
        <v>42</v>
      </c>
      <c r="N24" t="s">
        <v>42</v>
      </c>
      <c r="O24">
        <v>0</v>
      </c>
    </row>
    <row r="25" spans="1:15" x14ac:dyDescent="0.25">
      <c r="A25" t="s">
        <v>302</v>
      </c>
      <c r="B25" t="s">
        <v>322</v>
      </c>
      <c r="C25">
        <v>5</v>
      </c>
      <c r="D25">
        <v>34</v>
      </c>
      <c r="E25">
        <v>2</v>
      </c>
      <c r="F25">
        <v>0</v>
      </c>
      <c r="G25">
        <v>1</v>
      </c>
      <c r="H25">
        <v>1</v>
      </c>
      <c r="I25">
        <v>1</v>
      </c>
      <c r="J25">
        <v>0</v>
      </c>
      <c r="L25">
        <v>0.6</v>
      </c>
      <c r="M25" t="s">
        <v>42</v>
      </c>
      <c r="N25" t="s">
        <v>42</v>
      </c>
      <c r="O25">
        <v>0.4</v>
      </c>
    </row>
    <row r="26" spans="1:15" x14ac:dyDescent="0.25">
      <c r="A26" t="s">
        <v>312</v>
      </c>
      <c r="B26" t="s">
        <v>323</v>
      </c>
      <c r="C26">
        <v>3</v>
      </c>
      <c r="D26">
        <v>44</v>
      </c>
      <c r="E26">
        <v>1</v>
      </c>
      <c r="F26">
        <v>0</v>
      </c>
      <c r="G26">
        <v>1</v>
      </c>
      <c r="H26">
        <v>0</v>
      </c>
      <c r="I26">
        <v>0</v>
      </c>
      <c r="J26">
        <v>1</v>
      </c>
      <c r="L26">
        <v>0.67</v>
      </c>
      <c r="M26" t="s">
        <v>42</v>
      </c>
      <c r="N26" t="s">
        <v>42</v>
      </c>
      <c r="O26">
        <v>0.33</v>
      </c>
    </row>
    <row r="27" spans="1:15" x14ac:dyDescent="0.25">
      <c r="A27" t="s">
        <v>298</v>
      </c>
      <c r="B27" t="s">
        <v>323</v>
      </c>
      <c r="C27">
        <v>5</v>
      </c>
      <c r="D27">
        <v>24</v>
      </c>
      <c r="E27">
        <v>2</v>
      </c>
      <c r="F27">
        <v>2</v>
      </c>
      <c r="G27">
        <v>0</v>
      </c>
      <c r="H27">
        <v>1</v>
      </c>
      <c r="I27">
        <v>0</v>
      </c>
      <c r="J27">
        <v>0</v>
      </c>
      <c r="L27">
        <v>0.8</v>
      </c>
      <c r="M27" t="s">
        <v>42</v>
      </c>
      <c r="N27" t="s">
        <v>42</v>
      </c>
      <c r="O27">
        <v>0.2</v>
      </c>
    </row>
    <row r="28" spans="1:15" x14ac:dyDescent="0.25">
      <c r="A28" t="s">
        <v>309</v>
      </c>
      <c r="B28" t="s">
        <v>322</v>
      </c>
      <c r="C28">
        <v>7</v>
      </c>
      <c r="D28">
        <v>37</v>
      </c>
      <c r="E28">
        <v>1</v>
      </c>
      <c r="F28">
        <v>3</v>
      </c>
      <c r="G28">
        <v>1</v>
      </c>
      <c r="H28">
        <v>0</v>
      </c>
      <c r="I28">
        <v>1</v>
      </c>
      <c r="J28">
        <v>1</v>
      </c>
      <c r="L28">
        <v>0.71</v>
      </c>
      <c r="M28" t="s">
        <v>42</v>
      </c>
      <c r="N28" t="s">
        <v>42</v>
      </c>
      <c r="O28">
        <v>0.28999999999999998</v>
      </c>
    </row>
    <row r="29" spans="1:15" x14ac:dyDescent="0.25">
      <c r="A29" t="s">
        <v>303</v>
      </c>
      <c r="B29" t="s">
        <v>323</v>
      </c>
      <c r="C29">
        <v>5</v>
      </c>
      <c r="D29">
        <v>29</v>
      </c>
      <c r="E29">
        <v>2</v>
      </c>
      <c r="F29">
        <v>1</v>
      </c>
      <c r="G29">
        <v>1</v>
      </c>
      <c r="H29">
        <v>1</v>
      </c>
      <c r="I29">
        <v>0</v>
      </c>
      <c r="J29">
        <v>0</v>
      </c>
      <c r="L29">
        <v>0.8</v>
      </c>
      <c r="M29" t="s">
        <v>42</v>
      </c>
      <c r="N29" t="s">
        <v>42</v>
      </c>
      <c r="O29">
        <v>0.2</v>
      </c>
    </row>
    <row r="30" spans="1:15" x14ac:dyDescent="0.25">
      <c r="A30" t="s">
        <v>291</v>
      </c>
      <c r="B30" t="s">
        <v>322</v>
      </c>
      <c r="C30">
        <v>6</v>
      </c>
      <c r="D30">
        <v>28</v>
      </c>
      <c r="E30">
        <v>3</v>
      </c>
      <c r="F30">
        <v>0</v>
      </c>
      <c r="G30">
        <v>2</v>
      </c>
      <c r="H30">
        <v>1</v>
      </c>
      <c r="I30">
        <v>0</v>
      </c>
      <c r="J30">
        <v>0</v>
      </c>
      <c r="L30">
        <v>0.83</v>
      </c>
      <c r="M30" t="s">
        <v>42</v>
      </c>
      <c r="N30" t="s">
        <v>42</v>
      </c>
      <c r="O30">
        <v>0.17</v>
      </c>
    </row>
    <row r="31" spans="1:15" x14ac:dyDescent="0.25">
      <c r="A31" t="s">
        <v>307</v>
      </c>
      <c r="B31" t="s">
        <v>323</v>
      </c>
      <c r="C31">
        <v>5</v>
      </c>
      <c r="D31">
        <v>73</v>
      </c>
      <c r="E31">
        <v>0</v>
      </c>
      <c r="F31">
        <v>0</v>
      </c>
      <c r="G31">
        <v>0</v>
      </c>
      <c r="H31">
        <v>1</v>
      </c>
      <c r="I31">
        <v>1</v>
      </c>
      <c r="J31">
        <v>3</v>
      </c>
      <c r="L31">
        <v>0</v>
      </c>
      <c r="M31" t="s">
        <v>42</v>
      </c>
      <c r="N31" t="s">
        <v>42</v>
      </c>
      <c r="O31">
        <v>1</v>
      </c>
    </row>
    <row r="32" spans="1:15" x14ac:dyDescent="0.25">
      <c r="A32" t="s">
        <v>310</v>
      </c>
      <c r="B32" t="s">
        <v>322</v>
      </c>
      <c r="C32">
        <v>2</v>
      </c>
      <c r="D32">
        <v>34</v>
      </c>
      <c r="E32">
        <v>1</v>
      </c>
      <c r="F32">
        <v>0</v>
      </c>
      <c r="G32">
        <v>0</v>
      </c>
      <c r="H32">
        <v>1</v>
      </c>
      <c r="I32">
        <v>0</v>
      </c>
      <c r="J32">
        <v>0</v>
      </c>
      <c r="L32">
        <v>0.5</v>
      </c>
      <c r="M32" t="s">
        <v>42</v>
      </c>
      <c r="N32" t="s">
        <v>42</v>
      </c>
      <c r="O32">
        <v>0.5</v>
      </c>
    </row>
    <row r="33" spans="1:15" x14ac:dyDescent="0.25">
      <c r="A33" t="s">
        <v>292</v>
      </c>
      <c r="B33" t="s">
        <v>322</v>
      </c>
      <c r="C33">
        <v>6</v>
      </c>
      <c r="D33">
        <v>33</v>
      </c>
      <c r="E33">
        <v>0</v>
      </c>
      <c r="F33">
        <v>3</v>
      </c>
      <c r="G33">
        <v>2</v>
      </c>
      <c r="H33">
        <v>1</v>
      </c>
      <c r="I33">
        <v>0</v>
      </c>
      <c r="J33">
        <v>0</v>
      </c>
      <c r="L33">
        <v>0.83</v>
      </c>
      <c r="M33" t="s">
        <v>42</v>
      </c>
      <c r="N33" t="s">
        <v>42</v>
      </c>
      <c r="O33">
        <v>0.17</v>
      </c>
    </row>
    <row r="34" spans="1:15" x14ac:dyDescent="0.25">
      <c r="A34" t="s">
        <v>294</v>
      </c>
      <c r="B34" t="s">
        <v>323</v>
      </c>
      <c r="C34">
        <v>5</v>
      </c>
      <c r="D34">
        <v>29</v>
      </c>
      <c r="E34">
        <v>2</v>
      </c>
      <c r="F34">
        <v>1</v>
      </c>
      <c r="G34">
        <v>1</v>
      </c>
      <c r="H34">
        <v>1</v>
      </c>
      <c r="I34">
        <v>0</v>
      </c>
      <c r="J34">
        <v>0</v>
      </c>
      <c r="L34">
        <v>0.8</v>
      </c>
      <c r="M34" t="s">
        <v>42</v>
      </c>
      <c r="N34" t="s">
        <v>42</v>
      </c>
      <c r="O34">
        <v>0.2</v>
      </c>
    </row>
    <row r="35" spans="1:15" x14ac:dyDescent="0.25">
      <c r="A35" t="s">
        <v>306</v>
      </c>
      <c r="B35" t="s">
        <v>322</v>
      </c>
      <c r="C35">
        <v>6</v>
      </c>
      <c r="D35">
        <v>30</v>
      </c>
      <c r="E35">
        <v>1</v>
      </c>
      <c r="F35">
        <v>2</v>
      </c>
      <c r="G35">
        <v>2</v>
      </c>
      <c r="H35">
        <v>0</v>
      </c>
      <c r="I35">
        <v>1</v>
      </c>
      <c r="J35">
        <v>0</v>
      </c>
      <c r="L35">
        <v>0.83</v>
      </c>
      <c r="M35" t="s">
        <v>42</v>
      </c>
      <c r="N35" t="s">
        <v>42</v>
      </c>
      <c r="O35">
        <v>0.17</v>
      </c>
    </row>
    <row r="36" spans="1:15" x14ac:dyDescent="0.25">
      <c r="A36" t="s">
        <v>299</v>
      </c>
      <c r="B36" t="s">
        <v>322</v>
      </c>
      <c r="C36">
        <v>7</v>
      </c>
      <c r="D36">
        <v>23</v>
      </c>
      <c r="E36">
        <v>1</v>
      </c>
      <c r="F36">
        <v>5</v>
      </c>
      <c r="G36">
        <v>1</v>
      </c>
      <c r="H36">
        <v>0</v>
      </c>
      <c r="I36">
        <v>0</v>
      </c>
      <c r="J36">
        <v>0</v>
      </c>
      <c r="L36">
        <v>1</v>
      </c>
      <c r="M36" t="s">
        <v>42</v>
      </c>
      <c r="N36" t="s">
        <v>42</v>
      </c>
      <c r="O36">
        <v>0</v>
      </c>
    </row>
    <row r="37" spans="1:15" x14ac:dyDescent="0.25">
      <c r="A37" t="s">
        <v>300</v>
      </c>
      <c r="B37" t="s">
        <v>323</v>
      </c>
      <c r="C37">
        <v>6</v>
      </c>
      <c r="D37">
        <v>48</v>
      </c>
      <c r="E37">
        <v>1</v>
      </c>
      <c r="F37">
        <v>0</v>
      </c>
      <c r="G37">
        <v>1</v>
      </c>
      <c r="H37">
        <v>3</v>
      </c>
      <c r="I37">
        <v>1</v>
      </c>
      <c r="J37">
        <v>0</v>
      </c>
      <c r="L37">
        <v>0.33</v>
      </c>
      <c r="M37" t="s">
        <v>42</v>
      </c>
      <c r="N37" t="s">
        <v>42</v>
      </c>
      <c r="O37">
        <v>0.67</v>
      </c>
    </row>
    <row r="38" spans="1:15" x14ac:dyDescent="0.25">
      <c r="A38" t="s">
        <v>305</v>
      </c>
      <c r="B38" t="s">
        <v>323</v>
      </c>
      <c r="C38">
        <v>4</v>
      </c>
      <c r="D38">
        <v>52</v>
      </c>
      <c r="E38">
        <v>0</v>
      </c>
      <c r="F38">
        <v>0</v>
      </c>
      <c r="G38">
        <v>2</v>
      </c>
      <c r="H38">
        <v>1</v>
      </c>
      <c r="I38">
        <v>0</v>
      </c>
      <c r="J38">
        <v>1</v>
      </c>
      <c r="L38">
        <v>0.5</v>
      </c>
      <c r="M38" t="s">
        <v>42</v>
      </c>
      <c r="N38" t="s">
        <v>42</v>
      </c>
      <c r="O38">
        <v>0.5</v>
      </c>
    </row>
    <row r="39" spans="1:15" x14ac:dyDescent="0.25">
      <c r="A39" t="s">
        <v>293</v>
      </c>
      <c r="B39" t="s">
        <v>322</v>
      </c>
      <c r="C39">
        <v>5</v>
      </c>
      <c r="D39">
        <v>41</v>
      </c>
      <c r="E39">
        <v>0</v>
      </c>
      <c r="F39">
        <v>0</v>
      </c>
      <c r="G39">
        <v>4</v>
      </c>
      <c r="H39">
        <v>1</v>
      </c>
      <c r="I39">
        <v>0</v>
      </c>
      <c r="J39">
        <v>0</v>
      </c>
      <c r="L39">
        <v>0.8</v>
      </c>
      <c r="M39" t="s">
        <v>42</v>
      </c>
      <c r="N39" t="s">
        <v>42</v>
      </c>
      <c r="O39">
        <v>0.2</v>
      </c>
    </row>
    <row r="40" spans="1:15" x14ac:dyDescent="0.25">
      <c r="A40" t="s">
        <v>296</v>
      </c>
      <c r="B40" t="s">
        <v>323</v>
      </c>
      <c r="C40">
        <v>6</v>
      </c>
      <c r="D40">
        <v>30</v>
      </c>
      <c r="E40">
        <v>1</v>
      </c>
      <c r="F40">
        <v>2</v>
      </c>
      <c r="G40">
        <v>2</v>
      </c>
      <c r="H40">
        <v>0</v>
      </c>
      <c r="I40">
        <v>1</v>
      </c>
      <c r="J40">
        <v>0</v>
      </c>
      <c r="L40">
        <v>0.83</v>
      </c>
      <c r="M40" t="s">
        <v>42</v>
      </c>
      <c r="N40" t="s">
        <v>42</v>
      </c>
      <c r="O40">
        <v>0.17</v>
      </c>
    </row>
    <row r="41" spans="1:15" x14ac:dyDescent="0.25">
      <c r="A41" t="s">
        <v>295</v>
      </c>
      <c r="B41" t="s">
        <v>323</v>
      </c>
      <c r="C41">
        <v>5</v>
      </c>
      <c r="D41">
        <v>36</v>
      </c>
      <c r="E41">
        <v>0</v>
      </c>
      <c r="F41">
        <v>3</v>
      </c>
      <c r="G41">
        <v>0</v>
      </c>
      <c r="H41">
        <v>0</v>
      </c>
      <c r="I41">
        <v>2</v>
      </c>
      <c r="J41">
        <v>0</v>
      </c>
      <c r="L41">
        <v>0.6</v>
      </c>
      <c r="M41" t="s">
        <v>42</v>
      </c>
      <c r="N41" t="s">
        <v>42</v>
      </c>
      <c r="O41">
        <v>0.4</v>
      </c>
    </row>
    <row r="42" spans="1:15" x14ac:dyDescent="0.25">
      <c r="A42" t="s">
        <v>297</v>
      </c>
      <c r="B42" t="s">
        <v>322</v>
      </c>
      <c r="C42">
        <v>7</v>
      </c>
      <c r="D42">
        <v>36</v>
      </c>
      <c r="E42">
        <v>2</v>
      </c>
      <c r="F42">
        <v>2</v>
      </c>
      <c r="G42">
        <v>1</v>
      </c>
      <c r="H42">
        <v>0</v>
      </c>
      <c r="I42">
        <v>1</v>
      </c>
      <c r="J42">
        <v>1</v>
      </c>
      <c r="L42">
        <v>0.71</v>
      </c>
      <c r="M42" t="s">
        <v>42</v>
      </c>
      <c r="N42" t="s">
        <v>42</v>
      </c>
      <c r="O42">
        <v>0.28999999999999998</v>
      </c>
    </row>
    <row r="43" spans="1:15" x14ac:dyDescent="0.25">
      <c r="A43" t="s">
        <v>304</v>
      </c>
      <c r="B43" t="s">
        <v>323</v>
      </c>
      <c r="C43">
        <v>5</v>
      </c>
      <c r="D43">
        <v>29</v>
      </c>
      <c r="E43">
        <v>3</v>
      </c>
      <c r="F43">
        <v>0</v>
      </c>
      <c r="G43">
        <v>1</v>
      </c>
      <c r="H43">
        <v>0</v>
      </c>
      <c r="I43">
        <v>0</v>
      </c>
      <c r="J43">
        <v>1</v>
      </c>
      <c r="L43">
        <v>0.8</v>
      </c>
      <c r="M43" t="s">
        <v>42</v>
      </c>
      <c r="N43" t="s">
        <v>42</v>
      </c>
      <c r="O43">
        <v>0.2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5"/>
  <dimension ref="A1:O43"/>
  <sheetViews>
    <sheetView workbookViewId="0">
      <selection sqref="A1:N41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11</v>
      </c>
      <c r="B1" t="s">
        <v>0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37</v>
      </c>
      <c r="K1" s="2" t="s">
        <v>23</v>
      </c>
      <c r="L1" s="2" t="s">
        <v>38</v>
      </c>
      <c r="M1" s="2" t="s">
        <v>39</v>
      </c>
      <c r="N1" s="2" t="s">
        <v>40</v>
      </c>
      <c r="O1" s="2" t="s">
        <v>41</v>
      </c>
    </row>
    <row r="2" spans="1:15" x14ac:dyDescent="0.25">
      <c r="A2" s="2" t="s">
        <v>287</v>
      </c>
      <c r="B2" t="s">
        <v>314</v>
      </c>
      <c r="C2" s="2">
        <v>2</v>
      </c>
      <c r="D2" s="2" t="s">
        <v>176</v>
      </c>
      <c r="E2" s="2">
        <v>1</v>
      </c>
      <c r="F2" s="2">
        <v>0</v>
      </c>
      <c r="G2" s="2">
        <v>0</v>
      </c>
      <c r="H2" s="2">
        <v>1</v>
      </c>
      <c r="I2" s="2">
        <v>0</v>
      </c>
      <c r="J2" s="2">
        <v>0</v>
      </c>
      <c r="K2" s="2"/>
      <c r="L2" s="2">
        <v>0.5</v>
      </c>
      <c r="M2" s="2" t="s">
        <v>42</v>
      </c>
      <c r="N2" s="2" t="s">
        <v>42</v>
      </c>
      <c r="O2" s="2">
        <v>0.5</v>
      </c>
    </row>
    <row r="3" spans="1:15" x14ac:dyDescent="0.25">
      <c r="A3" s="2" t="s">
        <v>290</v>
      </c>
      <c r="B3" t="s">
        <v>314</v>
      </c>
      <c r="C3" s="2">
        <v>3</v>
      </c>
      <c r="D3" s="2" t="s">
        <v>320</v>
      </c>
      <c r="E3" s="2">
        <v>2</v>
      </c>
      <c r="F3" s="2">
        <v>0</v>
      </c>
      <c r="G3" s="2">
        <v>1</v>
      </c>
      <c r="H3" s="2">
        <v>0</v>
      </c>
      <c r="I3" s="2">
        <v>0</v>
      </c>
      <c r="J3" s="2">
        <v>0</v>
      </c>
      <c r="K3" s="2"/>
      <c r="L3" s="2">
        <v>1</v>
      </c>
      <c r="M3" s="2" t="s">
        <v>42</v>
      </c>
      <c r="N3" s="2" t="s">
        <v>42</v>
      </c>
      <c r="O3" s="2">
        <v>0</v>
      </c>
    </row>
    <row r="4" spans="1:15" x14ac:dyDescent="0.25">
      <c r="A4" s="2" t="s">
        <v>274</v>
      </c>
      <c r="B4" t="s">
        <v>318</v>
      </c>
      <c r="C4" s="2">
        <v>3</v>
      </c>
      <c r="D4" s="2" t="s">
        <v>322</v>
      </c>
      <c r="E4" s="2">
        <v>2</v>
      </c>
      <c r="F4" s="2">
        <v>1</v>
      </c>
      <c r="G4" s="2">
        <v>0</v>
      </c>
      <c r="H4" s="2">
        <v>0</v>
      </c>
      <c r="I4" s="2">
        <v>0</v>
      </c>
      <c r="J4" s="2">
        <v>0</v>
      </c>
      <c r="K4" s="2"/>
      <c r="L4" s="2">
        <v>1</v>
      </c>
      <c r="M4" s="2" t="s">
        <v>42</v>
      </c>
      <c r="N4" s="2" t="s">
        <v>42</v>
      </c>
      <c r="O4" s="2">
        <v>0</v>
      </c>
    </row>
    <row r="5" spans="1:15" x14ac:dyDescent="0.25">
      <c r="A5" s="2" t="s">
        <v>275</v>
      </c>
      <c r="B5" t="s">
        <v>318</v>
      </c>
      <c r="C5" s="2">
        <v>3</v>
      </c>
      <c r="D5" s="2" t="s">
        <v>251</v>
      </c>
      <c r="E5" s="2">
        <v>1</v>
      </c>
      <c r="F5" s="2">
        <v>2</v>
      </c>
      <c r="G5" s="2">
        <v>0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42</v>
      </c>
      <c r="N5" s="2" t="s">
        <v>42</v>
      </c>
      <c r="O5" s="2">
        <v>0</v>
      </c>
    </row>
    <row r="6" spans="1:15" x14ac:dyDescent="0.25">
      <c r="A6" s="2" t="s">
        <v>282</v>
      </c>
      <c r="B6" t="s">
        <v>314</v>
      </c>
      <c r="C6" s="2">
        <v>4</v>
      </c>
      <c r="D6" s="2" t="s">
        <v>9</v>
      </c>
      <c r="E6" s="2">
        <v>2</v>
      </c>
      <c r="F6" s="2">
        <v>1</v>
      </c>
      <c r="G6" s="2">
        <v>1</v>
      </c>
      <c r="H6" s="2">
        <v>0</v>
      </c>
      <c r="I6" s="2">
        <v>0</v>
      </c>
      <c r="J6" s="2">
        <v>0</v>
      </c>
      <c r="K6" s="2"/>
      <c r="L6" s="2">
        <v>1</v>
      </c>
      <c r="M6" s="2" t="s">
        <v>42</v>
      </c>
      <c r="N6" s="2" t="s">
        <v>42</v>
      </c>
      <c r="O6" s="2">
        <v>0</v>
      </c>
    </row>
    <row r="7" spans="1:15" x14ac:dyDescent="0.25">
      <c r="A7" s="2" t="s">
        <v>288</v>
      </c>
      <c r="B7" t="s">
        <v>318</v>
      </c>
      <c r="C7" s="2">
        <v>4</v>
      </c>
      <c r="D7" s="2" t="s">
        <v>252</v>
      </c>
      <c r="E7" s="2">
        <v>0</v>
      </c>
      <c r="F7" s="2">
        <v>3</v>
      </c>
      <c r="G7" s="2">
        <v>0</v>
      </c>
      <c r="H7" s="2">
        <v>0</v>
      </c>
      <c r="I7" s="2">
        <v>1</v>
      </c>
      <c r="J7" s="2">
        <v>0</v>
      </c>
      <c r="K7" s="2"/>
      <c r="L7" s="2">
        <v>0.75</v>
      </c>
      <c r="M7" s="2" t="s">
        <v>42</v>
      </c>
      <c r="N7" s="2" t="s">
        <v>42</v>
      </c>
      <c r="O7" s="2">
        <v>0.25</v>
      </c>
    </row>
    <row r="8" spans="1:15" x14ac:dyDescent="0.25">
      <c r="A8" s="2" t="s">
        <v>273</v>
      </c>
      <c r="B8" t="s">
        <v>318</v>
      </c>
      <c r="C8" s="2">
        <v>3</v>
      </c>
      <c r="D8" s="2" t="s">
        <v>324</v>
      </c>
      <c r="E8" s="2">
        <v>1</v>
      </c>
      <c r="F8" s="2">
        <v>0</v>
      </c>
      <c r="G8" s="2">
        <v>1</v>
      </c>
      <c r="H8" s="2">
        <v>0</v>
      </c>
      <c r="I8" s="2">
        <v>0</v>
      </c>
      <c r="J8" s="2">
        <v>1</v>
      </c>
      <c r="K8" s="2"/>
      <c r="L8" s="2">
        <v>0.67</v>
      </c>
      <c r="M8" s="2" t="s">
        <v>42</v>
      </c>
      <c r="N8" s="2" t="s">
        <v>42</v>
      </c>
      <c r="O8" s="2">
        <v>0.33</v>
      </c>
    </row>
    <row r="9" spans="1:15" x14ac:dyDescent="0.25">
      <c r="A9" s="2" t="s">
        <v>281</v>
      </c>
      <c r="B9" t="s">
        <v>314</v>
      </c>
      <c r="C9" s="2">
        <v>3</v>
      </c>
      <c r="D9" s="2" t="s">
        <v>316</v>
      </c>
      <c r="E9" s="2">
        <v>3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42</v>
      </c>
      <c r="N9" s="2" t="s">
        <v>42</v>
      </c>
      <c r="O9" s="2">
        <v>0</v>
      </c>
    </row>
    <row r="10" spans="1:15" x14ac:dyDescent="0.25">
      <c r="A10" s="2" t="s">
        <v>272</v>
      </c>
      <c r="B10" t="s">
        <v>314</v>
      </c>
      <c r="C10" s="2">
        <v>5</v>
      </c>
      <c r="D10" s="2" t="s">
        <v>240</v>
      </c>
      <c r="E10" s="2">
        <v>1</v>
      </c>
      <c r="F10" s="2">
        <v>3</v>
      </c>
      <c r="G10" s="2">
        <v>0</v>
      </c>
      <c r="H10" s="2">
        <v>1</v>
      </c>
      <c r="I10" s="2">
        <v>0</v>
      </c>
      <c r="J10" s="2">
        <v>0</v>
      </c>
      <c r="K10" s="2"/>
      <c r="L10" s="2">
        <v>0.8</v>
      </c>
      <c r="M10" s="2" t="s">
        <v>42</v>
      </c>
      <c r="N10" s="2" t="s">
        <v>42</v>
      </c>
      <c r="O10" s="2">
        <v>0.2</v>
      </c>
    </row>
    <row r="11" spans="1:15" x14ac:dyDescent="0.25">
      <c r="A11" s="2" t="s">
        <v>289</v>
      </c>
      <c r="B11" t="s">
        <v>314</v>
      </c>
      <c r="C11" s="2">
        <v>0</v>
      </c>
      <c r="D11" s="2" t="s">
        <v>313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/>
      <c r="L11" s="2">
        <v>0</v>
      </c>
      <c r="M11" s="2" t="s">
        <v>42</v>
      </c>
      <c r="N11" s="2" t="s">
        <v>42</v>
      </c>
      <c r="O11" s="2">
        <v>0</v>
      </c>
    </row>
    <row r="12" spans="1:15" x14ac:dyDescent="0.25">
      <c r="A12" s="2" t="s">
        <v>286</v>
      </c>
      <c r="B12" t="s">
        <v>323</v>
      </c>
      <c r="C12" s="2">
        <v>4</v>
      </c>
      <c r="D12" s="2" t="s">
        <v>158</v>
      </c>
      <c r="E12" s="2">
        <v>0</v>
      </c>
      <c r="F12" s="2">
        <v>1</v>
      </c>
      <c r="G12" s="2">
        <v>2</v>
      </c>
      <c r="H12" s="2">
        <v>0</v>
      </c>
      <c r="I12" s="2">
        <v>1</v>
      </c>
      <c r="J12" s="2">
        <v>0</v>
      </c>
      <c r="K12" s="2"/>
      <c r="L12" s="2">
        <v>0.75</v>
      </c>
      <c r="M12" s="2" t="s">
        <v>42</v>
      </c>
      <c r="N12" s="2" t="s">
        <v>42</v>
      </c>
      <c r="O12" s="2">
        <v>0.25</v>
      </c>
    </row>
    <row r="13" spans="1:15" x14ac:dyDescent="0.25">
      <c r="A13" s="2" t="s">
        <v>284</v>
      </c>
      <c r="B13" t="s">
        <v>314</v>
      </c>
      <c r="C13" s="2">
        <v>2</v>
      </c>
      <c r="D13" s="2" t="s">
        <v>315</v>
      </c>
      <c r="E13" s="2">
        <v>1</v>
      </c>
      <c r="F13" s="2">
        <v>0</v>
      </c>
      <c r="G13" s="2">
        <v>0</v>
      </c>
      <c r="H13" s="2">
        <v>0</v>
      </c>
      <c r="I13" s="2">
        <v>0</v>
      </c>
      <c r="J13" s="2">
        <v>1</v>
      </c>
      <c r="K13" s="2"/>
      <c r="L13" s="2">
        <v>0.5</v>
      </c>
      <c r="M13" s="2" t="s">
        <v>42</v>
      </c>
      <c r="N13" s="2" t="s">
        <v>42</v>
      </c>
      <c r="O13" s="2">
        <v>0.5</v>
      </c>
    </row>
    <row r="14" spans="1:15" x14ac:dyDescent="0.25">
      <c r="A14" s="2" t="s">
        <v>280</v>
      </c>
      <c r="B14" t="s">
        <v>314</v>
      </c>
      <c r="C14" s="2">
        <v>3</v>
      </c>
      <c r="D14" s="2" t="s">
        <v>127</v>
      </c>
      <c r="E14" s="2">
        <v>0</v>
      </c>
      <c r="F14" s="2">
        <v>2</v>
      </c>
      <c r="G14" s="2">
        <v>1</v>
      </c>
      <c r="H14" s="2">
        <v>0</v>
      </c>
      <c r="I14" s="2">
        <v>0</v>
      </c>
      <c r="J14" s="2">
        <v>0</v>
      </c>
      <c r="K14" s="2"/>
      <c r="L14" s="2">
        <v>1</v>
      </c>
      <c r="M14" s="2" t="s">
        <v>42</v>
      </c>
      <c r="N14" s="2" t="s">
        <v>42</v>
      </c>
      <c r="O14" s="2">
        <v>0</v>
      </c>
    </row>
    <row r="15" spans="1:15" x14ac:dyDescent="0.25">
      <c r="A15" s="2" t="s">
        <v>277</v>
      </c>
      <c r="B15" t="s">
        <v>314</v>
      </c>
      <c r="C15" s="2">
        <v>4</v>
      </c>
      <c r="D15" s="2" t="s">
        <v>319</v>
      </c>
      <c r="E15" s="2">
        <v>0</v>
      </c>
      <c r="F15" s="2">
        <v>2</v>
      </c>
      <c r="G15" s="2">
        <v>0</v>
      </c>
      <c r="H15" s="2">
        <v>0</v>
      </c>
      <c r="I15" s="2">
        <v>1</v>
      </c>
      <c r="J15" s="2">
        <v>1</v>
      </c>
      <c r="K15" s="2"/>
      <c r="L15" s="2">
        <v>0.5</v>
      </c>
      <c r="M15" s="2" t="s">
        <v>42</v>
      </c>
      <c r="N15" s="2" t="s">
        <v>42</v>
      </c>
      <c r="O15" s="2">
        <v>0.5</v>
      </c>
    </row>
    <row r="16" spans="1:15" x14ac:dyDescent="0.25">
      <c r="A16" s="2" t="s">
        <v>278</v>
      </c>
      <c r="B16" t="s">
        <v>314</v>
      </c>
      <c r="C16" s="2">
        <v>6</v>
      </c>
      <c r="D16" s="2" t="s">
        <v>253</v>
      </c>
      <c r="E16" s="2">
        <v>2</v>
      </c>
      <c r="F16" s="2">
        <v>1</v>
      </c>
      <c r="G16" s="2">
        <v>1</v>
      </c>
      <c r="H16" s="2">
        <v>1</v>
      </c>
      <c r="I16" s="2">
        <v>1</v>
      </c>
      <c r="J16" s="2">
        <v>0</v>
      </c>
      <c r="K16" s="2"/>
      <c r="L16" s="2">
        <v>0.67</v>
      </c>
      <c r="M16" s="2" t="s">
        <v>42</v>
      </c>
      <c r="N16" s="2" t="s">
        <v>42</v>
      </c>
      <c r="O16" s="2">
        <v>0.33</v>
      </c>
    </row>
    <row r="17" spans="1:15" x14ac:dyDescent="0.25">
      <c r="A17" s="2" t="s">
        <v>271</v>
      </c>
      <c r="B17" t="s">
        <v>323</v>
      </c>
      <c r="C17" s="2">
        <v>5</v>
      </c>
      <c r="D17" s="2" t="s">
        <v>330</v>
      </c>
      <c r="E17" s="2">
        <v>1</v>
      </c>
      <c r="F17" s="2">
        <v>2</v>
      </c>
      <c r="G17" s="2">
        <v>0</v>
      </c>
      <c r="H17" s="2">
        <v>1</v>
      </c>
      <c r="I17" s="2">
        <v>0</v>
      </c>
      <c r="J17" s="2">
        <v>1</v>
      </c>
      <c r="K17" s="2"/>
      <c r="L17" s="2">
        <v>0.6</v>
      </c>
      <c r="M17" s="2" t="s">
        <v>42</v>
      </c>
      <c r="N17" s="2" t="s">
        <v>42</v>
      </c>
      <c r="O17" s="2">
        <v>0.4</v>
      </c>
    </row>
    <row r="18" spans="1:15" x14ac:dyDescent="0.25">
      <c r="A18" s="2" t="s">
        <v>276</v>
      </c>
      <c r="B18" t="s">
        <v>314</v>
      </c>
      <c r="C18" s="2">
        <v>4</v>
      </c>
      <c r="D18" s="2" t="s">
        <v>252</v>
      </c>
      <c r="E18" s="2">
        <v>1</v>
      </c>
      <c r="F18" s="2">
        <v>0</v>
      </c>
      <c r="G18" s="2">
        <v>2</v>
      </c>
      <c r="H18" s="2">
        <v>0</v>
      </c>
      <c r="I18" s="2">
        <v>1</v>
      </c>
      <c r="J18" s="2">
        <v>0</v>
      </c>
      <c r="K18" s="2"/>
      <c r="L18" s="2">
        <v>0.75</v>
      </c>
      <c r="M18" s="2" t="s">
        <v>42</v>
      </c>
      <c r="N18" s="2" t="s">
        <v>42</v>
      </c>
      <c r="O18" s="2">
        <v>0.25</v>
      </c>
    </row>
    <row r="19" spans="1:15" x14ac:dyDescent="0.25">
      <c r="A19" s="2" t="s">
        <v>283</v>
      </c>
      <c r="B19" t="s">
        <v>318</v>
      </c>
      <c r="C19" s="2">
        <v>0</v>
      </c>
      <c r="D19" s="2" t="s">
        <v>313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/>
      <c r="L19" s="2">
        <v>0</v>
      </c>
      <c r="M19" s="2" t="s">
        <v>42</v>
      </c>
      <c r="N19" s="2" t="s">
        <v>42</v>
      </c>
      <c r="O19" s="2">
        <v>0</v>
      </c>
    </row>
    <row r="20" spans="1:15" x14ac:dyDescent="0.25">
      <c r="A20" s="2" t="s">
        <v>279</v>
      </c>
      <c r="B20" t="s">
        <v>323</v>
      </c>
      <c r="C20" s="2">
        <v>3</v>
      </c>
      <c r="D20" s="2" t="s">
        <v>325</v>
      </c>
      <c r="E20" s="2">
        <v>1</v>
      </c>
      <c r="F20" s="2">
        <v>0</v>
      </c>
      <c r="G20" s="2">
        <v>0</v>
      </c>
      <c r="H20" s="2">
        <v>2</v>
      </c>
      <c r="I20" s="2">
        <v>0</v>
      </c>
      <c r="J20" s="2">
        <v>0</v>
      </c>
      <c r="K20" s="2"/>
      <c r="L20" s="2">
        <v>0.33</v>
      </c>
      <c r="M20" s="2" t="s">
        <v>42</v>
      </c>
      <c r="N20" s="2" t="s">
        <v>42</v>
      </c>
      <c r="O20" s="2">
        <v>0.67</v>
      </c>
    </row>
    <row r="21" spans="1:15" x14ac:dyDescent="0.25">
      <c r="A21" s="2" t="s">
        <v>285</v>
      </c>
      <c r="B21" t="s">
        <v>318</v>
      </c>
      <c r="C21" s="2">
        <v>5</v>
      </c>
      <c r="D21" s="2" t="s">
        <v>240</v>
      </c>
      <c r="E21" s="2">
        <v>2</v>
      </c>
      <c r="F21" s="2">
        <v>2</v>
      </c>
      <c r="G21" s="2">
        <v>0</v>
      </c>
      <c r="H21" s="2">
        <v>0</v>
      </c>
      <c r="I21" s="2">
        <v>1</v>
      </c>
      <c r="J21" s="2">
        <v>0</v>
      </c>
      <c r="K21" s="2"/>
      <c r="L21" s="2">
        <v>0.8</v>
      </c>
      <c r="M21" s="2" t="s">
        <v>42</v>
      </c>
      <c r="N21" s="2" t="s">
        <v>42</v>
      </c>
      <c r="O21" s="2">
        <v>0.2</v>
      </c>
    </row>
    <row r="22" spans="1:15" x14ac:dyDescent="0.25">
      <c r="A22" s="2" t="s">
        <v>301</v>
      </c>
      <c r="B22" t="s">
        <v>323</v>
      </c>
      <c r="C22" s="2">
        <v>2</v>
      </c>
      <c r="D22" s="2">
        <v>16</v>
      </c>
      <c r="E22" s="2">
        <v>1</v>
      </c>
      <c r="F22" s="2">
        <v>1</v>
      </c>
      <c r="G22" s="2">
        <v>0</v>
      </c>
      <c r="H22" s="2">
        <v>0</v>
      </c>
      <c r="I22" s="2">
        <v>0</v>
      </c>
      <c r="J22" s="2">
        <v>0</v>
      </c>
      <c r="K22" s="2"/>
      <c r="L22" s="2">
        <v>1</v>
      </c>
      <c r="M22" s="2" t="s">
        <v>42</v>
      </c>
      <c r="N22" s="2" t="s">
        <v>42</v>
      </c>
      <c r="O22" s="2">
        <v>0</v>
      </c>
    </row>
    <row r="23" spans="1:15" x14ac:dyDescent="0.25">
      <c r="A23" s="2" t="s">
        <v>311</v>
      </c>
      <c r="B23" t="s">
        <v>323</v>
      </c>
      <c r="C23" s="2">
        <v>4</v>
      </c>
      <c r="D23" s="2">
        <v>24</v>
      </c>
      <c r="E23" s="2">
        <v>1</v>
      </c>
      <c r="F23" s="2">
        <v>1</v>
      </c>
      <c r="G23" s="2">
        <v>2</v>
      </c>
      <c r="H23" s="2">
        <v>0</v>
      </c>
      <c r="I23" s="2">
        <v>0</v>
      </c>
      <c r="J23" s="2">
        <v>0</v>
      </c>
      <c r="K23" s="2"/>
      <c r="L23" s="2">
        <v>1</v>
      </c>
      <c r="M23" s="2" t="s">
        <v>42</v>
      </c>
      <c r="N23" s="2" t="s">
        <v>42</v>
      </c>
      <c r="O23" s="2">
        <v>0</v>
      </c>
    </row>
    <row r="24" spans="1:15" x14ac:dyDescent="0.25">
      <c r="A24" s="2" t="s">
        <v>308</v>
      </c>
      <c r="B24" t="s">
        <v>322</v>
      </c>
      <c r="C24" s="2">
        <v>3</v>
      </c>
      <c r="D24" s="2">
        <v>28</v>
      </c>
      <c r="E24" s="2">
        <v>1</v>
      </c>
      <c r="F24" s="2">
        <v>0</v>
      </c>
      <c r="G24" s="2">
        <v>2</v>
      </c>
      <c r="H24" s="2">
        <v>0</v>
      </c>
      <c r="I24" s="2">
        <v>0</v>
      </c>
      <c r="J24" s="2">
        <v>0</v>
      </c>
      <c r="K24" s="2"/>
      <c r="L24" s="2">
        <v>1</v>
      </c>
      <c r="M24" s="2" t="s">
        <v>42</v>
      </c>
      <c r="N24" s="2" t="s">
        <v>42</v>
      </c>
      <c r="O24" s="2">
        <v>0</v>
      </c>
    </row>
    <row r="25" spans="1:15" x14ac:dyDescent="0.25">
      <c r="A25" s="2" t="s">
        <v>302</v>
      </c>
      <c r="B25" t="s">
        <v>323</v>
      </c>
      <c r="C25" s="2">
        <v>1</v>
      </c>
      <c r="D25" s="2">
        <v>44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0</v>
      </c>
      <c r="K25" s="2"/>
      <c r="L25" s="2">
        <v>1</v>
      </c>
      <c r="M25" s="2" t="s">
        <v>42</v>
      </c>
      <c r="N25" s="2" t="s">
        <v>42</v>
      </c>
      <c r="O25" s="2">
        <v>0</v>
      </c>
    </row>
    <row r="26" spans="1:15" x14ac:dyDescent="0.25">
      <c r="A26" s="2" t="s">
        <v>312</v>
      </c>
      <c r="B26" t="s">
        <v>322</v>
      </c>
      <c r="C26" s="2">
        <v>3</v>
      </c>
      <c r="D26" s="2">
        <v>28</v>
      </c>
      <c r="E26" s="2">
        <v>1</v>
      </c>
      <c r="F26" s="2">
        <v>0</v>
      </c>
      <c r="G26" s="2">
        <v>2</v>
      </c>
      <c r="H26" s="2">
        <v>0</v>
      </c>
      <c r="I26" s="2">
        <v>0</v>
      </c>
      <c r="J26" s="2">
        <v>0</v>
      </c>
      <c r="K26" s="2"/>
      <c r="L26" s="2">
        <v>1</v>
      </c>
      <c r="M26" s="2" t="s">
        <v>42</v>
      </c>
      <c r="N26" s="2" t="s">
        <v>42</v>
      </c>
      <c r="O26" s="2">
        <v>0</v>
      </c>
    </row>
    <row r="27" spans="1:15" x14ac:dyDescent="0.25">
      <c r="A27" s="2" t="s">
        <v>298</v>
      </c>
      <c r="B27" t="s">
        <v>322</v>
      </c>
      <c r="C27" s="2">
        <v>4</v>
      </c>
      <c r="D27" s="2">
        <v>26</v>
      </c>
      <c r="E27" s="2">
        <v>1</v>
      </c>
      <c r="F27" s="2">
        <v>1</v>
      </c>
      <c r="G27" s="2">
        <v>2</v>
      </c>
      <c r="H27" s="2">
        <v>0</v>
      </c>
      <c r="I27" s="2">
        <v>0</v>
      </c>
      <c r="J27" s="2">
        <v>0</v>
      </c>
      <c r="K27" s="2"/>
      <c r="L27" s="2">
        <v>1</v>
      </c>
      <c r="M27" s="2" t="s">
        <v>42</v>
      </c>
      <c r="N27" s="2" t="s">
        <v>42</v>
      </c>
      <c r="O27" s="2">
        <v>0</v>
      </c>
    </row>
    <row r="28" spans="1:15" x14ac:dyDescent="0.25">
      <c r="A28" s="2" t="s">
        <v>309</v>
      </c>
      <c r="B28" t="s">
        <v>323</v>
      </c>
      <c r="C28" s="2">
        <v>3</v>
      </c>
      <c r="D28" s="2">
        <v>24</v>
      </c>
      <c r="E28" s="2">
        <v>1</v>
      </c>
      <c r="F28" s="2">
        <v>1</v>
      </c>
      <c r="G28" s="2">
        <v>0</v>
      </c>
      <c r="H28" s="2">
        <v>1</v>
      </c>
      <c r="I28" s="2">
        <v>0</v>
      </c>
      <c r="J28" s="2">
        <v>0</v>
      </c>
      <c r="K28" s="2"/>
      <c r="L28" s="2">
        <v>0.67</v>
      </c>
      <c r="M28" s="2" t="s">
        <v>42</v>
      </c>
      <c r="N28" s="2" t="s">
        <v>42</v>
      </c>
      <c r="O28" s="2">
        <v>0.33</v>
      </c>
    </row>
    <row r="29" spans="1:15" x14ac:dyDescent="0.25">
      <c r="A29" s="2" t="s">
        <v>303</v>
      </c>
      <c r="B29" t="s">
        <v>322</v>
      </c>
      <c r="C29" s="2">
        <v>4</v>
      </c>
      <c r="D29" s="2">
        <v>36</v>
      </c>
      <c r="E29" s="2">
        <v>2</v>
      </c>
      <c r="F29" s="2">
        <v>0</v>
      </c>
      <c r="G29" s="2">
        <v>1</v>
      </c>
      <c r="H29" s="2">
        <v>0</v>
      </c>
      <c r="I29" s="2">
        <v>0</v>
      </c>
      <c r="J29" s="2">
        <v>1</v>
      </c>
      <c r="K29" s="2"/>
      <c r="L29" s="2">
        <v>0.75</v>
      </c>
      <c r="M29" s="2" t="s">
        <v>42</v>
      </c>
      <c r="N29" s="2" t="s">
        <v>42</v>
      </c>
      <c r="O29" s="2">
        <v>0.25</v>
      </c>
    </row>
    <row r="30" spans="1:15" x14ac:dyDescent="0.25">
      <c r="A30" s="2" t="s">
        <v>291</v>
      </c>
      <c r="B30" t="s">
        <v>323</v>
      </c>
      <c r="C30" s="2">
        <v>5</v>
      </c>
      <c r="D30" s="2">
        <v>37</v>
      </c>
      <c r="E30" s="2">
        <v>1</v>
      </c>
      <c r="F30" s="2">
        <v>1</v>
      </c>
      <c r="G30" s="2">
        <v>1</v>
      </c>
      <c r="H30" s="2">
        <v>2</v>
      </c>
      <c r="I30" s="2">
        <v>0</v>
      </c>
      <c r="J30" s="2">
        <v>0</v>
      </c>
      <c r="K30" s="2"/>
      <c r="L30" s="2">
        <v>0.6</v>
      </c>
      <c r="M30" s="2" t="s">
        <v>42</v>
      </c>
      <c r="N30" s="2" t="s">
        <v>42</v>
      </c>
      <c r="O30" s="2">
        <v>0.4</v>
      </c>
    </row>
    <row r="31" spans="1:15" x14ac:dyDescent="0.25">
      <c r="A31" s="2" t="s">
        <v>307</v>
      </c>
      <c r="B31" t="s">
        <v>322</v>
      </c>
      <c r="C31" s="2">
        <v>2</v>
      </c>
      <c r="D31" s="2">
        <v>17</v>
      </c>
      <c r="E31" s="2">
        <v>1</v>
      </c>
      <c r="F31" s="2">
        <v>1</v>
      </c>
      <c r="G31" s="2">
        <v>0</v>
      </c>
      <c r="H31" s="2">
        <v>0</v>
      </c>
      <c r="I31" s="2">
        <v>0</v>
      </c>
      <c r="J31" s="2">
        <v>0</v>
      </c>
      <c r="K31" s="2"/>
      <c r="L31" s="2">
        <v>1</v>
      </c>
      <c r="M31" s="2" t="s">
        <v>42</v>
      </c>
      <c r="N31" s="2" t="s">
        <v>42</v>
      </c>
      <c r="O31" s="2">
        <v>0</v>
      </c>
    </row>
    <row r="32" spans="1:15" x14ac:dyDescent="0.25">
      <c r="A32" s="2" t="s">
        <v>310</v>
      </c>
      <c r="B32" t="s">
        <v>323</v>
      </c>
      <c r="C32" s="2">
        <v>5</v>
      </c>
      <c r="D32" s="2">
        <v>29</v>
      </c>
      <c r="E32" s="2">
        <v>2</v>
      </c>
      <c r="F32" s="2">
        <v>1</v>
      </c>
      <c r="G32" s="2">
        <v>1</v>
      </c>
      <c r="H32" s="2">
        <v>1</v>
      </c>
      <c r="I32" s="2">
        <v>0</v>
      </c>
      <c r="J32" s="2">
        <v>0</v>
      </c>
      <c r="K32" s="2"/>
      <c r="L32" s="2">
        <v>0.8</v>
      </c>
      <c r="M32" s="2" t="s">
        <v>42</v>
      </c>
      <c r="N32" s="2" t="s">
        <v>42</v>
      </c>
      <c r="O32" s="2">
        <v>0.2</v>
      </c>
    </row>
    <row r="33" spans="1:15" x14ac:dyDescent="0.25">
      <c r="A33" s="2" t="s">
        <v>292</v>
      </c>
      <c r="B33" t="s">
        <v>323</v>
      </c>
      <c r="C33" s="2">
        <v>4</v>
      </c>
      <c r="D33" s="2">
        <v>45</v>
      </c>
      <c r="E33" s="2">
        <v>0</v>
      </c>
      <c r="F33" s="2">
        <v>0</v>
      </c>
      <c r="G33" s="2">
        <v>1</v>
      </c>
      <c r="H33" s="2">
        <v>3</v>
      </c>
      <c r="I33" s="2">
        <v>0</v>
      </c>
      <c r="J33" s="2">
        <v>0</v>
      </c>
      <c r="K33" s="2"/>
      <c r="L33" s="2">
        <v>0.25</v>
      </c>
      <c r="M33" s="2" t="s">
        <v>42</v>
      </c>
      <c r="N33" s="2" t="s">
        <v>42</v>
      </c>
      <c r="O33" s="2">
        <v>0.75</v>
      </c>
    </row>
    <row r="34" spans="1:15" x14ac:dyDescent="0.25">
      <c r="A34" s="2" t="s">
        <v>294</v>
      </c>
      <c r="B34" t="s">
        <v>322</v>
      </c>
      <c r="C34" s="2">
        <v>6</v>
      </c>
      <c r="D34" s="2">
        <v>26</v>
      </c>
      <c r="E34" s="2">
        <v>1</v>
      </c>
      <c r="F34" s="2">
        <v>3</v>
      </c>
      <c r="G34" s="2">
        <v>2</v>
      </c>
      <c r="H34" s="2">
        <v>0</v>
      </c>
      <c r="I34" s="2">
        <v>0</v>
      </c>
      <c r="J34" s="2">
        <v>0</v>
      </c>
      <c r="K34" s="2"/>
      <c r="L34" s="2">
        <v>1</v>
      </c>
      <c r="M34" s="2" t="s">
        <v>42</v>
      </c>
      <c r="N34" s="2" t="s">
        <v>42</v>
      </c>
      <c r="O34" s="2">
        <v>0</v>
      </c>
    </row>
    <row r="35" spans="1:15" x14ac:dyDescent="0.25">
      <c r="A35" s="2" t="s">
        <v>306</v>
      </c>
      <c r="B35" t="s">
        <v>323</v>
      </c>
      <c r="C35" s="2">
        <v>5</v>
      </c>
      <c r="D35" s="2">
        <v>43</v>
      </c>
      <c r="E35" s="2">
        <v>1</v>
      </c>
      <c r="F35" s="2">
        <v>1</v>
      </c>
      <c r="G35" s="2">
        <v>1</v>
      </c>
      <c r="H35" s="2">
        <v>1</v>
      </c>
      <c r="I35" s="2">
        <v>0</v>
      </c>
      <c r="J35" s="2">
        <v>1</v>
      </c>
      <c r="K35" s="2"/>
      <c r="L35" s="2">
        <v>0.6</v>
      </c>
      <c r="M35" s="2" t="s">
        <v>42</v>
      </c>
      <c r="N35" s="2" t="s">
        <v>42</v>
      </c>
      <c r="O35" s="2">
        <v>0.4</v>
      </c>
    </row>
    <row r="36" spans="1:15" x14ac:dyDescent="0.25">
      <c r="A36" s="2" t="s">
        <v>299</v>
      </c>
      <c r="B36" t="s">
        <v>323</v>
      </c>
      <c r="C36" s="2">
        <v>1</v>
      </c>
      <c r="D36" s="2">
        <v>40</v>
      </c>
      <c r="E36" s="2">
        <v>0</v>
      </c>
      <c r="F36" s="2">
        <v>0</v>
      </c>
      <c r="G36" s="2">
        <v>1</v>
      </c>
      <c r="H36" s="2">
        <v>0</v>
      </c>
      <c r="I36" s="2">
        <v>0</v>
      </c>
      <c r="J36" s="2">
        <v>0</v>
      </c>
      <c r="K36" s="2"/>
      <c r="L36" s="2">
        <v>1</v>
      </c>
      <c r="M36" s="2" t="s">
        <v>42</v>
      </c>
      <c r="N36" s="2" t="s">
        <v>42</v>
      </c>
      <c r="O36" s="2">
        <v>0</v>
      </c>
    </row>
    <row r="37" spans="1:15" x14ac:dyDescent="0.25">
      <c r="A37" s="2" t="s">
        <v>300</v>
      </c>
      <c r="B37" t="s">
        <v>322</v>
      </c>
      <c r="C37" s="2">
        <v>4</v>
      </c>
      <c r="D37" s="2">
        <v>30</v>
      </c>
      <c r="E37" s="2">
        <v>1</v>
      </c>
      <c r="F37" s="2">
        <v>1</v>
      </c>
      <c r="G37" s="2">
        <v>1</v>
      </c>
      <c r="H37" s="2">
        <v>1</v>
      </c>
      <c r="I37" s="2">
        <v>0</v>
      </c>
      <c r="J37" s="2">
        <v>0</v>
      </c>
      <c r="K37" s="2"/>
      <c r="L37" s="2">
        <v>0.75</v>
      </c>
      <c r="M37" s="2" t="s">
        <v>42</v>
      </c>
      <c r="N37" s="2" t="s">
        <v>42</v>
      </c>
      <c r="O37" s="2">
        <v>0.25</v>
      </c>
    </row>
    <row r="38" spans="1:15" x14ac:dyDescent="0.25">
      <c r="A38" s="2" t="s">
        <v>305</v>
      </c>
      <c r="B38" t="s">
        <v>322</v>
      </c>
      <c r="C38" s="2">
        <v>3</v>
      </c>
      <c r="D38" s="2">
        <v>24</v>
      </c>
      <c r="E38" s="2">
        <v>1</v>
      </c>
      <c r="F38" s="2">
        <v>1</v>
      </c>
      <c r="G38" s="2">
        <v>0</v>
      </c>
      <c r="H38" s="2">
        <v>1</v>
      </c>
      <c r="I38" s="2">
        <v>0</v>
      </c>
      <c r="J38" s="2">
        <v>0</v>
      </c>
      <c r="K38" s="2"/>
      <c r="L38" s="2">
        <v>0.67</v>
      </c>
      <c r="M38" s="2" t="s">
        <v>42</v>
      </c>
      <c r="N38" s="2" t="s">
        <v>42</v>
      </c>
      <c r="O38" s="2">
        <v>0.33</v>
      </c>
    </row>
    <row r="39" spans="1:15" x14ac:dyDescent="0.25">
      <c r="A39" s="2" t="s">
        <v>293</v>
      </c>
      <c r="B39" t="s">
        <v>323</v>
      </c>
      <c r="C39" s="2">
        <v>5</v>
      </c>
      <c r="D39" s="2">
        <v>41</v>
      </c>
      <c r="E39" s="2">
        <v>0</v>
      </c>
      <c r="F39" s="2">
        <v>1</v>
      </c>
      <c r="G39" s="2">
        <v>3</v>
      </c>
      <c r="H39" s="2">
        <v>0</v>
      </c>
      <c r="I39" s="2">
        <v>1</v>
      </c>
      <c r="J39" s="2">
        <v>0</v>
      </c>
      <c r="K39" s="2"/>
      <c r="L39" s="2">
        <v>0.8</v>
      </c>
      <c r="M39" s="2" t="s">
        <v>42</v>
      </c>
      <c r="N39" s="2" t="s">
        <v>42</v>
      </c>
      <c r="O39" s="2">
        <v>0.2</v>
      </c>
    </row>
    <row r="40" spans="1:15" x14ac:dyDescent="0.25">
      <c r="A40" s="2" t="s">
        <v>296</v>
      </c>
      <c r="B40" t="s">
        <v>322</v>
      </c>
      <c r="C40" s="2">
        <v>3</v>
      </c>
      <c r="D40" s="2">
        <v>29</v>
      </c>
      <c r="E40" s="2">
        <v>1</v>
      </c>
      <c r="F40" s="2">
        <v>0</v>
      </c>
      <c r="G40" s="2">
        <v>1</v>
      </c>
      <c r="H40" s="2">
        <v>1</v>
      </c>
      <c r="I40" s="2">
        <v>0</v>
      </c>
      <c r="J40" s="2">
        <v>0</v>
      </c>
      <c r="K40" s="2"/>
      <c r="L40" s="2">
        <v>0.67</v>
      </c>
      <c r="M40" s="2" t="s">
        <v>42</v>
      </c>
      <c r="N40" s="2" t="s">
        <v>42</v>
      </c>
      <c r="O40" s="2">
        <v>0.33</v>
      </c>
    </row>
    <row r="41" spans="1:15" x14ac:dyDescent="0.25">
      <c r="A41" s="2" t="s">
        <v>295</v>
      </c>
      <c r="B41" t="s">
        <v>323</v>
      </c>
      <c r="C41" s="2">
        <v>5</v>
      </c>
      <c r="D41" s="2">
        <v>40</v>
      </c>
      <c r="E41" s="2">
        <v>2</v>
      </c>
      <c r="F41" s="2">
        <v>0</v>
      </c>
      <c r="G41" s="2">
        <v>1</v>
      </c>
      <c r="H41" s="2">
        <v>1</v>
      </c>
      <c r="I41" s="2">
        <v>0</v>
      </c>
      <c r="J41" s="2">
        <v>1</v>
      </c>
      <c r="K41" s="2"/>
      <c r="L41" s="2">
        <v>0.6</v>
      </c>
      <c r="M41" s="2" t="s">
        <v>42</v>
      </c>
      <c r="N41" s="2" t="s">
        <v>42</v>
      </c>
      <c r="O41" s="2">
        <v>0.4</v>
      </c>
    </row>
    <row r="42" spans="1:15" x14ac:dyDescent="0.25">
      <c r="A42" s="2" t="s">
        <v>297</v>
      </c>
      <c r="B42" t="s">
        <v>323</v>
      </c>
      <c r="C42" s="2">
        <v>4</v>
      </c>
      <c r="D42" s="2">
        <v>50</v>
      </c>
      <c r="E42" s="2">
        <v>0</v>
      </c>
      <c r="F42" s="2">
        <v>2</v>
      </c>
      <c r="G42" s="2">
        <v>0</v>
      </c>
      <c r="H42" s="2">
        <v>1</v>
      </c>
      <c r="I42" s="2">
        <v>0</v>
      </c>
      <c r="J42" s="2">
        <v>1</v>
      </c>
      <c r="K42" s="2"/>
      <c r="L42" s="2">
        <v>0.5</v>
      </c>
      <c r="M42" s="2" t="s">
        <v>42</v>
      </c>
      <c r="N42" s="2" t="s">
        <v>42</v>
      </c>
      <c r="O42" s="2">
        <v>0.5</v>
      </c>
    </row>
    <row r="43" spans="1:15" x14ac:dyDescent="0.25">
      <c r="A43" s="2" t="s">
        <v>304</v>
      </c>
      <c r="B43" t="s">
        <v>322</v>
      </c>
      <c r="C43" s="2">
        <v>4</v>
      </c>
      <c r="D43" s="2">
        <v>32</v>
      </c>
      <c r="E43" s="2">
        <v>1</v>
      </c>
      <c r="F43" s="2">
        <v>1</v>
      </c>
      <c r="G43" s="2">
        <v>1</v>
      </c>
      <c r="H43" s="2">
        <v>0</v>
      </c>
      <c r="I43" s="2">
        <v>1</v>
      </c>
      <c r="J43" s="2">
        <v>0</v>
      </c>
      <c r="K43" s="2"/>
      <c r="L43" s="2">
        <v>0.75</v>
      </c>
      <c r="M43" s="2" t="s">
        <v>42</v>
      </c>
      <c r="N43" s="2" t="s">
        <v>42</v>
      </c>
      <c r="O43" s="2">
        <v>0.25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6"/>
  <dimension ref="A1:AD591"/>
  <sheetViews>
    <sheetView workbookViewId="0">
      <selection sqref="A1:N41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10</v>
      </c>
      <c r="B1" t="s">
        <v>0</v>
      </c>
      <c r="C1" t="s">
        <v>43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23</v>
      </c>
      <c r="L1" t="s">
        <v>38</v>
      </c>
      <c r="M1" t="s">
        <v>39</v>
      </c>
      <c r="N1" t="s">
        <v>40</v>
      </c>
      <c r="O1" t="s">
        <v>41</v>
      </c>
      <c r="Q1" s="1" t="s">
        <v>44</v>
      </c>
      <c r="AD1"/>
    </row>
    <row r="2" spans="1:30" x14ac:dyDescent="0.25">
      <c r="A2" t="s">
        <v>287</v>
      </c>
      <c r="B2" t="s">
        <v>314</v>
      </c>
      <c r="C2">
        <v>4</v>
      </c>
      <c r="D2" t="s">
        <v>84</v>
      </c>
      <c r="E2">
        <v>0</v>
      </c>
      <c r="F2">
        <v>1</v>
      </c>
      <c r="G2">
        <v>3</v>
      </c>
      <c r="H2">
        <v>0</v>
      </c>
      <c r="I2">
        <v>0</v>
      </c>
      <c r="J2">
        <v>0</v>
      </c>
      <c r="L2">
        <v>1</v>
      </c>
      <c r="M2" t="s">
        <v>42</v>
      </c>
      <c r="N2" t="s">
        <v>42</v>
      </c>
      <c r="O2">
        <v>0</v>
      </c>
      <c r="Q2" s="1">
        <f>SUM(OGC_Home__Brazil[[#This Row],[0-15]:[31-45]])</f>
        <v>4</v>
      </c>
      <c r="AD2"/>
    </row>
    <row r="3" spans="1:30" x14ac:dyDescent="0.25">
      <c r="A3" t="s">
        <v>290</v>
      </c>
      <c r="B3" t="s">
        <v>314</v>
      </c>
      <c r="C3">
        <v>5</v>
      </c>
      <c r="D3" t="s">
        <v>84</v>
      </c>
      <c r="E3">
        <v>1</v>
      </c>
      <c r="F3">
        <v>3</v>
      </c>
      <c r="G3">
        <v>0</v>
      </c>
      <c r="H3">
        <v>0</v>
      </c>
      <c r="I3">
        <v>1</v>
      </c>
      <c r="J3">
        <v>0</v>
      </c>
      <c r="L3">
        <v>0.8</v>
      </c>
      <c r="M3" t="s">
        <v>42</v>
      </c>
      <c r="N3" t="s">
        <v>42</v>
      </c>
      <c r="O3">
        <v>0.2</v>
      </c>
      <c r="Q3" s="1">
        <f>SUM(OGC_Home__Brazil[[#This Row],[0-15]:[31-45]])</f>
        <v>4</v>
      </c>
      <c r="AD3"/>
    </row>
    <row r="4" spans="1:30" x14ac:dyDescent="0.25">
      <c r="A4" t="s">
        <v>274</v>
      </c>
      <c r="B4" t="s">
        <v>314</v>
      </c>
      <c r="C4">
        <v>3</v>
      </c>
      <c r="D4" t="s">
        <v>320</v>
      </c>
      <c r="E4">
        <v>1</v>
      </c>
      <c r="F4">
        <v>2</v>
      </c>
      <c r="G4">
        <v>0</v>
      </c>
      <c r="H4">
        <v>0</v>
      </c>
      <c r="I4">
        <v>0</v>
      </c>
      <c r="J4">
        <v>0</v>
      </c>
      <c r="L4">
        <v>1</v>
      </c>
      <c r="M4" t="s">
        <v>42</v>
      </c>
      <c r="N4" t="s">
        <v>42</v>
      </c>
      <c r="O4">
        <v>0</v>
      </c>
      <c r="Q4" s="1">
        <f>SUM(OGC_Home__Brazil[[#This Row],[0-15]:[31-45]])</f>
        <v>3</v>
      </c>
      <c r="AD4"/>
    </row>
    <row r="5" spans="1:30" x14ac:dyDescent="0.25">
      <c r="A5" t="s">
        <v>275</v>
      </c>
      <c r="B5" t="s">
        <v>314</v>
      </c>
      <c r="C5">
        <v>2</v>
      </c>
      <c r="D5" t="s">
        <v>267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42</v>
      </c>
      <c r="N5" t="s">
        <v>42</v>
      </c>
      <c r="O5">
        <v>0</v>
      </c>
      <c r="Q5" s="1">
        <f>SUM(OGC_Home__Brazil[[#This Row],[0-15]:[31-45]])</f>
        <v>2</v>
      </c>
      <c r="AD5"/>
    </row>
    <row r="6" spans="1:30" x14ac:dyDescent="0.25">
      <c r="A6" t="s">
        <v>282</v>
      </c>
      <c r="B6" t="s">
        <v>314</v>
      </c>
      <c r="C6">
        <v>3</v>
      </c>
      <c r="D6" t="s">
        <v>127</v>
      </c>
      <c r="E6">
        <v>2</v>
      </c>
      <c r="F6">
        <v>0</v>
      </c>
      <c r="G6">
        <v>0</v>
      </c>
      <c r="H6">
        <v>1</v>
      </c>
      <c r="I6">
        <v>0</v>
      </c>
      <c r="J6">
        <v>0</v>
      </c>
      <c r="L6">
        <v>0.67</v>
      </c>
      <c r="M6" t="s">
        <v>42</v>
      </c>
      <c r="N6" t="s">
        <v>42</v>
      </c>
      <c r="O6">
        <v>0.33</v>
      </c>
      <c r="Q6" s="1">
        <f>SUM(OGC_Home__Brazil[[#This Row],[0-15]:[31-45]])</f>
        <v>2</v>
      </c>
      <c r="AD6"/>
    </row>
    <row r="7" spans="1:30" x14ac:dyDescent="0.25">
      <c r="A7" t="s">
        <v>288</v>
      </c>
      <c r="B7" t="s">
        <v>314</v>
      </c>
      <c r="C7">
        <v>6</v>
      </c>
      <c r="D7" t="s">
        <v>326</v>
      </c>
      <c r="E7">
        <v>1</v>
      </c>
      <c r="F7">
        <v>3</v>
      </c>
      <c r="G7">
        <v>0</v>
      </c>
      <c r="H7">
        <v>0</v>
      </c>
      <c r="I7">
        <v>0</v>
      </c>
      <c r="J7">
        <v>2</v>
      </c>
      <c r="L7">
        <v>0.67</v>
      </c>
      <c r="M7" t="s">
        <v>42</v>
      </c>
      <c r="N7" t="s">
        <v>42</v>
      </c>
      <c r="O7">
        <v>0.33</v>
      </c>
      <c r="Q7" s="1">
        <f>SUM(OGC_Home__Brazil[[#This Row],[0-15]:[31-45]])</f>
        <v>4</v>
      </c>
      <c r="AD7"/>
    </row>
    <row r="8" spans="1:30" x14ac:dyDescent="0.25">
      <c r="A8" t="s">
        <v>273</v>
      </c>
      <c r="B8" t="s">
        <v>323</v>
      </c>
      <c r="C8">
        <v>3</v>
      </c>
      <c r="D8" t="s">
        <v>328</v>
      </c>
      <c r="E8">
        <v>2</v>
      </c>
      <c r="F8">
        <v>1</v>
      </c>
      <c r="G8">
        <v>0</v>
      </c>
      <c r="H8">
        <v>0</v>
      </c>
      <c r="I8">
        <v>0</v>
      </c>
      <c r="J8">
        <v>0</v>
      </c>
      <c r="L8">
        <v>1</v>
      </c>
      <c r="M8" t="s">
        <v>42</v>
      </c>
      <c r="N8" t="s">
        <v>42</v>
      </c>
      <c r="O8">
        <v>0</v>
      </c>
      <c r="Q8" s="1">
        <f>SUM(OGC_Home__Brazil[[#This Row],[0-15]:[31-45]])</f>
        <v>3</v>
      </c>
      <c r="AD8"/>
    </row>
    <row r="9" spans="1:30" x14ac:dyDescent="0.25">
      <c r="A9" t="s">
        <v>281</v>
      </c>
      <c r="B9" t="s">
        <v>314</v>
      </c>
      <c r="C9">
        <v>2</v>
      </c>
      <c r="D9" t="s">
        <v>317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42</v>
      </c>
      <c r="N9" t="s">
        <v>42</v>
      </c>
      <c r="O9">
        <v>0</v>
      </c>
      <c r="Q9" s="1">
        <f>SUM(OGC_Home__Brazil[[#This Row],[0-15]:[31-45]])</f>
        <v>2</v>
      </c>
      <c r="AD9"/>
    </row>
    <row r="10" spans="1:30" x14ac:dyDescent="0.25">
      <c r="A10" t="s">
        <v>272</v>
      </c>
      <c r="B10" t="s">
        <v>314</v>
      </c>
      <c r="C10">
        <v>4</v>
      </c>
      <c r="D10" t="s">
        <v>9</v>
      </c>
      <c r="E10">
        <v>2</v>
      </c>
      <c r="F10">
        <v>1</v>
      </c>
      <c r="G10">
        <v>0</v>
      </c>
      <c r="H10">
        <v>1</v>
      </c>
      <c r="I10">
        <v>0</v>
      </c>
      <c r="J10">
        <v>0</v>
      </c>
      <c r="L10">
        <v>0.75</v>
      </c>
      <c r="M10" t="s">
        <v>42</v>
      </c>
      <c r="N10" t="s">
        <v>42</v>
      </c>
      <c r="O10">
        <v>0.25</v>
      </c>
      <c r="Q10" s="1">
        <f>SUM(OGC_Home__Brazil[[#This Row],[0-15]:[31-45]])</f>
        <v>3</v>
      </c>
      <c r="AD10"/>
    </row>
    <row r="11" spans="1:30" x14ac:dyDescent="0.25">
      <c r="A11" t="s">
        <v>289</v>
      </c>
      <c r="B11" t="s">
        <v>318</v>
      </c>
      <c r="C11">
        <v>5</v>
      </c>
      <c r="D11" t="s">
        <v>252</v>
      </c>
      <c r="E11">
        <v>1</v>
      </c>
      <c r="F11">
        <v>2</v>
      </c>
      <c r="G11">
        <v>0</v>
      </c>
      <c r="H11">
        <v>1</v>
      </c>
      <c r="I11">
        <v>1</v>
      </c>
      <c r="J11">
        <v>0</v>
      </c>
      <c r="L11">
        <v>0.6</v>
      </c>
      <c r="M11" t="s">
        <v>42</v>
      </c>
      <c r="N11" t="s">
        <v>42</v>
      </c>
      <c r="O11">
        <v>0.4</v>
      </c>
      <c r="Q11" s="1">
        <f>SUM(OGC_Home__Brazil[[#This Row],[0-15]:[31-45]])</f>
        <v>3</v>
      </c>
      <c r="AD11"/>
    </row>
    <row r="12" spans="1:30" x14ac:dyDescent="0.25">
      <c r="A12" t="s">
        <v>286</v>
      </c>
      <c r="B12" t="s">
        <v>318</v>
      </c>
      <c r="C12">
        <v>2</v>
      </c>
      <c r="D12" t="s">
        <v>321</v>
      </c>
      <c r="E12">
        <v>0</v>
      </c>
      <c r="F12">
        <v>0</v>
      </c>
      <c r="G12">
        <v>0</v>
      </c>
      <c r="H12">
        <v>0</v>
      </c>
      <c r="I12">
        <v>1</v>
      </c>
      <c r="J12">
        <v>1</v>
      </c>
      <c r="L12">
        <v>0</v>
      </c>
      <c r="M12" t="s">
        <v>42</v>
      </c>
      <c r="N12" t="s">
        <v>42</v>
      </c>
      <c r="O12">
        <v>1</v>
      </c>
      <c r="Q12" s="1">
        <f>SUM(OGC_Home__Brazil[[#This Row],[0-15]:[31-45]])</f>
        <v>0</v>
      </c>
      <c r="AD12"/>
    </row>
    <row r="13" spans="1:30" x14ac:dyDescent="0.25">
      <c r="A13" t="s">
        <v>284</v>
      </c>
      <c r="B13" t="s">
        <v>314</v>
      </c>
      <c r="C13">
        <v>2</v>
      </c>
      <c r="D13" t="s">
        <v>254</v>
      </c>
      <c r="E13">
        <v>1</v>
      </c>
      <c r="F13">
        <v>0</v>
      </c>
      <c r="G13">
        <v>0</v>
      </c>
      <c r="H13">
        <v>0</v>
      </c>
      <c r="I13">
        <v>1</v>
      </c>
      <c r="J13">
        <v>0</v>
      </c>
      <c r="L13">
        <v>0.5</v>
      </c>
      <c r="M13" t="s">
        <v>42</v>
      </c>
      <c r="N13" t="s">
        <v>42</v>
      </c>
      <c r="O13">
        <v>0.5</v>
      </c>
      <c r="Q13" s="1">
        <f>SUM(OGC_Home__Brazil[[#This Row],[0-15]:[31-45]])</f>
        <v>1</v>
      </c>
      <c r="AD13"/>
    </row>
    <row r="14" spans="1:30" x14ac:dyDescent="0.25">
      <c r="A14" t="s">
        <v>280</v>
      </c>
      <c r="B14" t="s">
        <v>314</v>
      </c>
      <c r="C14">
        <v>5</v>
      </c>
      <c r="D14" t="s">
        <v>50</v>
      </c>
      <c r="E14">
        <v>1</v>
      </c>
      <c r="F14">
        <v>2</v>
      </c>
      <c r="G14">
        <v>1</v>
      </c>
      <c r="H14">
        <v>0</v>
      </c>
      <c r="I14">
        <v>1</v>
      </c>
      <c r="J14">
        <v>0</v>
      </c>
      <c r="L14">
        <v>0.8</v>
      </c>
      <c r="M14" t="s">
        <v>42</v>
      </c>
      <c r="N14" t="s">
        <v>42</v>
      </c>
      <c r="O14">
        <v>0.2</v>
      </c>
      <c r="Q14" s="1">
        <f>SUM(OGC_Home__Brazil[[#This Row],[0-15]:[31-45]])</f>
        <v>4</v>
      </c>
      <c r="AD14"/>
    </row>
    <row r="15" spans="1:30" x14ac:dyDescent="0.25">
      <c r="A15" t="s">
        <v>277</v>
      </c>
      <c r="B15" t="s">
        <v>318</v>
      </c>
      <c r="C15">
        <v>2</v>
      </c>
      <c r="D15" t="s">
        <v>314</v>
      </c>
      <c r="E15">
        <v>2</v>
      </c>
      <c r="F15">
        <v>0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42</v>
      </c>
      <c r="N15" t="s">
        <v>42</v>
      </c>
      <c r="O15">
        <v>0</v>
      </c>
      <c r="Q15" s="1">
        <f>SUM(OGC_Home__Brazil[[#This Row],[0-15]:[31-45]])</f>
        <v>2</v>
      </c>
      <c r="AD15"/>
    </row>
    <row r="16" spans="1:30" x14ac:dyDescent="0.25">
      <c r="A16" t="s">
        <v>278</v>
      </c>
      <c r="B16" t="s">
        <v>314</v>
      </c>
      <c r="C16">
        <v>2</v>
      </c>
      <c r="D16" t="s">
        <v>329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  <c r="L16">
        <v>0.5</v>
      </c>
      <c r="M16" t="s">
        <v>42</v>
      </c>
      <c r="N16" t="s">
        <v>42</v>
      </c>
      <c r="O16">
        <v>0.5</v>
      </c>
      <c r="Q16" s="1">
        <f>SUM(OGC_Home__Brazil[[#This Row],[0-15]:[31-45]])</f>
        <v>1</v>
      </c>
      <c r="AD16"/>
    </row>
    <row r="17" spans="1:30" x14ac:dyDescent="0.25">
      <c r="A17" t="s">
        <v>271</v>
      </c>
      <c r="B17" t="s">
        <v>318</v>
      </c>
      <c r="C17">
        <v>2</v>
      </c>
      <c r="D17" t="s">
        <v>314</v>
      </c>
      <c r="E17">
        <v>2</v>
      </c>
      <c r="F17">
        <v>0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42</v>
      </c>
      <c r="N17" t="s">
        <v>42</v>
      </c>
      <c r="O17">
        <v>0</v>
      </c>
      <c r="Q17" s="1">
        <f>SUM(OGC_Home__Brazil[[#This Row],[0-15]:[31-45]])</f>
        <v>2</v>
      </c>
      <c r="AD17"/>
    </row>
    <row r="18" spans="1:30" x14ac:dyDescent="0.25">
      <c r="A18" t="s">
        <v>276</v>
      </c>
      <c r="B18" t="s">
        <v>314</v>
      </c>
      <c r="C18">
        <v>1</v>
      </c>
      <c r="D18" t="s">
        <v>327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L18">
        <v>0</v>
      </c>
      <c r="M18" t="s">
        <v>42</v>
      </c>
      <c r="N18" t="s">
        <v>42</v>
      </c>
      <c r="O18">
        <v>1</v>
      </c>
      <c r="Q18" s="1">
        <f>SUM(OGC_Home__Brazil[[#This Row],[0-15]:[31-45]])</f>
        <v>0</v>
      </c>
      <c r="AD18"/>
    </row>
    <row r="19" spans="1:30" x14ac:dyDescent="0.25">
      <c r="A19" t="s">
        <v>283</v>
      </c>
      <c r="B19" t="s">
        <v>314</v>
      </c>
      <c r="C19">
        <v>4</v>
      </c>
      <c r="D19" t="s">
        <v>158</v>
      </c>
      <c r="E19">
        <v>0</v>
      </c>
      <c r="F19">
        <v>2</v>
      </c>
      <c r="G19">
        <v>0</v>
      </c>
      <c r="H19">
        <v>1</v>
      </c>
      <c r="I19">
        <v>1</v>
      </c>
      <c r="J19">
        <v>0</v>
      </c>
      <c r="L19">
        <v>0.5</v>
      </c>
      <c r="M19" t="s">
        <v>42</v>
      </c>
      <c r="N19" t="s">
        <v>42</v>
      </c>
      <c r="O19">
        <v>0.5</v>
      </c>
      <c r="Q19" s="1">
        <f>SUM(OGC_Home__Brazil[[#This Row],[0-15]:[31-45]])</f>
        <v>2</v>
      </c>
      <c r="AD19"/>
    </row>
    <row r="20" spans="1:30" x14ac:dyDescent="0.25">
      <c r="A20" t="s">
        <v>279</v>
      </c>
      <c r="B20" t="s">
        <v>318</v>
      </c>
      <c r="C20">
        <v>2</v>
      </c>
      <c r="D20" t="s">
        <v>127</v>
      </c>
      <c r="E20">
        <v>0</v>
      </c>
      <c r="F20">
        <v>1</v>
      </c>
      <c r="G20">
        <v>1</v>
      </c>
      <c r="H20">
        <v>0</v>
      </c>
      <c r="I20">
        <v>0</v>
      </c>
      <c r="J20">
        <v>0</v>
      </c>
      <c r="L20">
        <v>1</v>
      </c>
      <c r="M20" t="s">
        <v>42</v>
      </c>
      <c r="N20" t="s">
        <v>42</v>
      </c>
      <c r="O20">
        <v>0</v>
      </c>
      <c r="Q20" s="1">
        <f>SUM(OGC_Home__Brazil[[#This Row],[0-15]:[31-45]])</f>
        <v>2</v>
      </c>
      <c r="AD20"/>
    </row>
    <row r="21" spans="1:30" x14ac:dyDescent="0.25">
      <c r="A21" t="s">
        <v>285</v>
      </c>
      <c r="B21" t="s">
        <v>323</v>
      </c>
      <c r="C21">
        <v>7</v>
      </c>
      <c r="D21" t="s">
        <v>253</v>
      </c>
      <c r="E21">
        <v>2</v>
      </c>
      <c r="F21">
        <v>1</v>
      </c>
      <c r="G21">
        <v>3</v>
      </c>
      <c r="H21">
        <v>1</v>
      </c>
      <c r="I21">
        <v>0</v>
      </c>
      <c r="J21">
        <v>0</v>
      </c>
      <c r="L21">
        <v>0.86</v>
      </c>
      <c r="M21" t="s">
        <v>42</v>
      </c>
      <c r="N21" t="s">
        <v>42</v>
      </c>
      <c r="O21">
        <v>0.14000000000000001</v>
      </c>
      <c r="Q21" s="1">
        <f>SUM(OGC_Home__Brazil[[#This Row],[0-15]:[31-45]])</f>
        <v>6</v>
      </c>
      <c r="AD21"/>
    </row>
    <row r="22" spans="1:30" x14ac:dyDescent="0.25">
      <c r="A22" t="s">
        <v>301</v>
      </c>
      <c r="B22" t="s">
        <v>322</v>
      </c>
      <c r="C22">
        <v>5</v>
      </c>
      <c r="D22">
        <v>30</v>
      </c>
      <c r="E22">
        <v>1</v>
      </c>
      <c r="F22">
        <v>1</v>
      </c>
      <c r="G22">
        <v>2</v>
      </c>
      <c r="H22">
        <v>1</v>
      </c>
      <c r="I22">
        <v>0</v>
      </c>
      <c r="J22">
        <v>0</v>
      </c>
      <c r="L22">
        <v>0.8</v>
      </c>
      <c r="M22" t="s">
        <v>42</v>
      </c>
      <c r="N22" t="s">
        <v>42</v>
      </c>
      <c r="O22">
        <v>0.2</v>
      </c>
      <c r="Q22" s="1">
        <f>SUM(OGC_Home__Brazil[[#This Row],[0-15]:[31-45]])</f>
        <v>4</v>
      </c>
      <c r="AD22"/>
    </row>
    <row r="23" spans="1:30" x14ac:dyDescent="0.25">
      <c r="A23" t="s">
        <v>311</v>
      </c>
      <c r="B23" t="s">
        <v>323</v>
      </c>
      <c r="C23">
        <v>5</v>
      </c>
      <c r="D23">
        <v>30</v>
      </c>
      <c r="E23">
        <v>0</v>
      </c>
      <c r="F23">
        <v>3</v>
      </c>
      <c r="G23">
        <v>1</v>
      </c>
      <c r="H23">
        <v>1</v>
      </c>
      <c r="I23">
        <v>0</v>
      </c>
      <c r="J23">
        <v>0</v>
      </c>
      <c r="L23">
        <v>0.8</v>
      </c>
      <c r="M23" t="s">
        <v>42</v>
      </c>
      <c r="N23" t="s">
        <v>42</v>
      </c>
      <c r="O23">
        <v>0.2</v>
      </c>
      <c r="Q23" s="1">
        <f>SUM(OGC_Home__Brazil[[#This Row],[0-15]:[31-45]])</f>
        <v>4</v>
      </c>
      <c r="AD23"/>
    </row>
    <row r="24" spans="1:30" x14ac:dyDescent="0.25">
      <c r="A24" t="s">
        <v>308</v>
      </c>
      <c r="B24" t="s">
        <v>323</v>
      </c>
      <c r="C24">
        <v>3</v>
      </c>
      <c r="D24">
        <v>45</v>
      </c>
      <c r="E24">
        <v>0</v>
      </c>
      <c r="F24">
        <v>1</v>
      </c>
      <c r="G24">
        <v>1</v>
      </c>
      <c r="H24">
        <v>1</v>
      </c>
      <c r="I24">
        <v>0</v>
      </c>
      <c r="J24">
        <v>0</v>
      </c>
      <c r="L24">
        <v>0.67</v>
      </c>
      <c r="M24" t="s">
        <v>42</v>
      </c>
      <c r="N24" t="s">
        <v>42</v>
      </c>
      <c r="O24">
        <v>0.33</v>
      </c>
      <c r="Q24" s="1">
        <f>SUM(OGC_Home__Brazil[[#This Row],[0-15]:[31-45]])</f>
        <v>2</v>
      </c>
      <c r="AD24"/>
    </row>
    <row r="25" spans="1:30" x14ac:dyDescent="0.25">
      <c r="A25" t="s">
        <v>302</v>
      </c>
      <c r="B25" t="s">
        <v>322</v>
      </c>
      <c r="C25">
        <v>3</v>
      </c>
      <c r="D25">
        <v>19</v>
      </c>
      <c r="E25">
        <v>2</v>
      </c>
      <c r="F25">
        <v>0</v>
      </c>
      <c r="G25">
        <v>1</v>
      </c>
      <c r="H25">
        <v>0</v>
      </c>
      <c r="I25">
        <v>0</v>
      </c>
      <c r="J25">
        <v>0</v>
      </c>
      <c r="L25">
        <v>1</v>
      </c>
      <c r="M25" t="s">
        <v>42</v>
      </c>
      <c r="N25" t="s">
        <v>42</v>
      </c>
      <c r="O25">
        <v>0</v>
      </c>
      <c r="Q25" s="1">
        <f>SUM(OGC_Home__Brazil[[#This Row],[0-15]:[31-45]])</f>
        <v>3</v>
      </c>
      <c r="AD25"/>
    </row>
    <row r="26" spans="1:30" x14ac:dyDescent="0.25">
      <c r="A26" t="s">
        <v>312</v>
      </c>
      <c r="B26" t="s">
        <v>323</v>
      </c>
      <c r="C26">
        <v>6</v>
      </c>
      <c r="D26">
        <v>29</v>
      </c>
      <c r="E26">
        <v>0</v>
      </c>
      <c r="F26">
        <v>4</v>
      </c>
      <c r="G26">
        <v>1</v>
      </c>
      <c r="H26">
        <v>1</v>
      </c>
      <c r="I26">
        <v>0</v>
      </c>
      <c r="J26">
        <v>0</v>
      </c>
      <c r="L26">
        <v>0.83</v>
      </c>
      <c r="M26" t="s">
        <v>42</v>
      </c>
      <c r="N26" t="s">
        <v>42</v>
      </c>
      <c r="O26">
        <v>0.17</v>
      </c>
      <c r="Q26" s="1">
        <f>SUM(OGC_Home__Brazil[[#This Row],[0-15]:[31-45]])</f>
        <v>5</v>
      </c>
      <c r="AD26"/>
    </row>
    <row r="27" spans="1:30" x14ac:dyDescent="0.25">
      <c r="A27" t="s">
        <v>298</v>
      </c>
      <c r="B27" t="s">
        <v>323</v>
      </c>
      <c r="C27">
        <v>4</v>
      </c>
      <c r="D27">
        <v>27</v>
      </c>
      <c r="E27">
        <v>1</v>
      </c>
      <c r="F27">
        <v>0</v>
      </c>
      <c r="G27">
        <v>3</v>
      </c>
      <c r="H27">
        <v>0</v>
      </c>
      <c r="I27">
        <v>0</v>
      </c>
      <c r="J27">
        <v>0</v>
      </c>
      <c r="L27">
        <v>1</v>
      </c>
      <c r="M27" t="s">
        <v>42</v>
      </c>
      <c r="N27" t="s">
        <v>42</v>
      </c>
      <c r="O27">
        <v>0</v>
      </c>
      <c r="Q27" s="1">
        <f>SUM(OGC_Home__Brazil[[#This Row],[0-15]:[31-45]])</f>
        <v>4</v>
      </c>
      <c r="AD27"/>
    </row>
    <row r="28" spans="1:30" x14ac:dyDescent="0.25">
      <c r="A28" t="s">
        <v>309</v>
      </c>
      <c r="B28" t="s">
        <v>322</v>
      </c>
      <c r="C28">
        <v>2</v>
      </c>
      <c r="D28">
        <v>52</v>
      </c>
      <c r="E28">
        <v>0</v>
      </c>
      <c r="F28">
        <v>0</v>
      </c>
      <c r="G28">
        <v>0</v>
      </c>
      <c r="H28">
        <v>2</v>
      </c>
      <c r="I28">
        <v>0</v>
      </c>
      <c r="J28">
        <v>0</v>
      </c>
      <c r="L28">
        <v>0</v>
      </c>
      <c r="M28" t="s">
        <v>42</v>
      </c>
      <c r="N28" t="s">
        <v>42</v>
      </c>
      <c r="O28">
        <v>1</v>
      </c>
      <c r="Q28" s="1">
        <f>SUM(OGC_Home__Brazil[[#This Row],[0-15]:[31-45]])</f>
        <v>0</v>
      </c>
      <c r="AD28"/>
    </row>
    <row r="29" spans="1:30" x14ac:dyDescent="0.25">
      <c r="A29" t="s">
        <v>303</v>
      </c>
      <c r="B29" t="s">
        <v>323</v>
      </c>
      <c r="C29">
        <v>4</v>
      </c>
      <c r="D29">
        <v>26</v>
      </c>
      <c r="E29">
        <v>1</v>
      </c>
      <c r="F29">
        <v>2</v>
      </c>
      <c r="G29">
        <v>1</v>
      </c>
      <c r="H29">
        <v>0</v>
      </c>
      <c r="I29">
        <v>0</v>
      </c>
      <c r="J29">
        <v>0</v>
      </c>
      <c r="L29">
        <v>1</v>
      </c>
      <c r="M29" t="s">
        <v>42</v>
      </c>
      <c r="N29" t="s">
        <v>42</v>
      </c>
      <c r="O29">
        <v>0</v>
      </c>
      <c r="Q29" s="1">
        <f>SUM(OGC_Home__Brazil[[#This Row],[0-15]:[31-45]])</f>
        <v>4</v>
      </c>
      <c r="AD29"/>
    </row>
    <row r="30" spans="1:30" x14ac:dyDescent="0.25">
      <c r="A30" t="s">
        <v>291</v>
      </c>
      <c r="B30" t="s">
        <v>322</v>
      </c>
      <c r="C30">
        <v>4</v>
      </c>
      <c r="D30">
        <v>27</v>
      </c>
      <c r="E30">
        <v>2</v>
      </c>
      <c r="F30">
        <v>0</v>
      </c>
      <c r="G30">
        <v>1</v>
      </c>
      <c r="H30">
        <v>1</v>
      </c>
      <c r="I30">
        <v>0</v>
      </c>
      <c r="J30">
        <v>0</v>
      </c>
      <c r="L30">
        <v>0.75</v>
      </c>
      <c r="M30" t="s">
        <v>42</v>
      </c>
      <c r="N30" t="s">
        <v>42</v>
      </c>
      <c r="O30">
        <v>0.25</v>
      </c>
      <c r="Q30" s="1">
        <f>SUM(OGC_Home__Brazil[[#This Row],[0-15]:[31-45]])</f>
        <v>3</v>
      </c>
      <c r="AD30"/>
    </row>
    <row r="31" spans="1:30" x14ac:dyDescent="0.25">
      <c r="A31" t="s">
        <v>307</v>
      </c>
      <c r="B31" t="s">
        <v>323</v>
      </c>
      <c r="C31">
        <v>3</v>
      </c>
      <c r="D31">
        <v>39</v>
      </c>
      <c r="E31">
        <v>1</v>
      </c>
      <c r="F31">
        <v>0</v>
      </c>
      <c r="G31">
        <v>1</v>
      </c>
      <c r="H31">
        <v>0</v>
      </c>
      <c r="I31">
        <v>0</v>
      </c>
      <c r="J31">
        <v>1</v>
      </c>
      <c r="L31">
        <v>0.67</v>
      </c>
      <c r="M31" t="s">
        <v>42</v>
      </c>
      <c r="N31" t="s">
        <v>42</v>
      </c>
      <c r="O31">
        <v>0.33</v>
      </c>
      <c r="Q31" s="1">
        <f>SUM(OGC_Home__Brazil[[#This Row],[0-15]:[31-45]])</f>
        <v>2</v>
      </c>
      <c r="AD31"/>
    </row>
    <row r="32" spans="1:30" x14ac:dyDescent="0.25">
      <c r="A32" t="s">
        <v>310</v>
      </c>
      <c r="B32" t="s">
        <v>322</v>
      </c>
      <c r="C32">
        <v>7</v>
      </c>
      <c r="D32">
        <v>41</v>
      </c>
      <c r="E32">
        <v>3</v>
      </c>
      <c r="F32">
        <v>0</v>
      </c>
      <c r="G32">
        <v>0</v>
      </c>
      <c r="H32">
        <v>3</v>
      </c>
      <c r="I32">
        <v>0</v>
      </c>
      <c r="J32">
        <v>1</v>
      </c>
      <c r="L32">
        <v>0.43</v>
      </c>
      <c r="M32" t="s">
        <v>42</v>
      </c>
      <c r="N32" t="s">
        <v>42</v>
      </c>
      <c r="O32">
        <v>0.56999999999999995</v>
      </c>
      <c r="Q32" s="1">
        <f>SUM(OGC_Home__Brazil[[#This Row],[0-15]:[31-45]])</f>
        <v>3</v>
      </c>
      <c r="AD32"/>
    </row>
    <row r="33" spans="1:30" x14ac:dyDescent="0.25">
      <c r="A33" t="s">
        <v>292</v>
      </c>
      <c r="B33" t="s">
        <v>322</v>
      </c>
      <c r="C33">
        <v>3</v>
      </c>
      <c r="D33">
        <v>17</v>
      </c>
      <c r="E33">
        <v>2</v>
      </c>
      <c r="F33">
        <v>1</v>
      </c>
      <c r="G33">
        <v>0</v>
      </c>
      <c r="H33">
        <v>0</v>
      </c>
      <c r="I33">
        <v>0</v>
      </c>
      <c r="J33">
        <v>0</v>
      </c>
      <c r="L33">
        <v>1</v>
      </c>
      <c r="M33" t="s">
        <v>42</v>
      </c>
      <c r="N33" t="s">
        <v>42</v>
      </c>
      <c r="O33">
        <v>0</v>
      </c>
      <c r="Q33" s="1">
        <f>SUM(OGC_Home__Brazil[[#This Row],[0-15]:[31-45]])</f>
        <v>3</v>
      </c>
      <c r="AD33"/>
    </row>
    <row r="34" spans="1:30" x14ac:dyDescent="0.25">
      <c r="A34" t="s">
        <v>294</v>
      </c>
      <c r="B34" t="s">
        <v>323</v>
      </c>
      <c r="C34">
        <v>4</v>
      </c>
      <c r="D34">
        <v>34</v>
      </c>
      <c r="E34">
        <v>2</v>
      </c>
      <c r="F34">
        <v>0</v>
      </c>
      <c r="G34">
        <v>0</v>
      </c>
      <c r="H34">
        <v>1</v>
      </c>
      <c r="I34">
        <v>1</v>
      </c>
      <c r="J34">
        <v>0</v>
      </c>
      <c r="L34">
        <v>0.5</v>
      </c>
      <c r="M34" t="s">
        <v>42</v>
      </c>
      <c r="N34" t="s">
        <v>42</v>
      </c>
      <c r="O34">
        <v>0.5</v>
      </c>
      <c r="Q34" s="1">
        <f>SUM(OGC_Home__Brazil[[#This Row],[0-15]:[31-45]])</f>
        <v>2</v>
      </c>
      <c r="AD34"/>
    </row>
    <row r="35" spans="1:30" x14ac:dyDescent="0.25">
      <c r="A35" t="s">
        <v>306</v>
      </c>
      <c r="B35" t="s">
        <v>322</v>
      </c>
      <c r="C35">
        <v>3</v>
      </c>
      <c r="D35">
        <v>38</v>
      </c>
      <c r="E35">
        <v>0</v>
      </c>
      <c r="F35">
        <v>1</v>
      </c>
      <c r="G35">
        <v>1</v>
      </c>
      <c r="H35">
        <v>1</v>
      </c>
      <c r="I35">
        <v>0</v>
      </c>
      <c r="J35">
        <v>0</v>
      </c>
      <c r="L35">
        <v>0.67</v>
      </c>
      <c r="M35" t="s">
        <v>42</v>
      </c>
      <c r="N35" t="s">
        <v>42</v>
      </c>
      <c r="O35">
        <v>0.33</v>
      </c>
      <c r="Q35" s="1">
        <f>SUM(OGC_Home__Brazil[[#This Row],[0-15]:[31-45]])</f>
        <v>2</v>
      </c>
      <c r="AD35"/>
    </row>
    <row r="36" spans="1:30" x14ac:dyDescent="0.25">
      <c r="A36" t="s">
        <v>299</v>
      </c>
      <c r="B36" t="s">
        <v>322</v>
      </c>
      <c r="C36">
        <v>2</v>
      </c>
      <c r="D36">
        <v>22</v>
      </c>
      <c r="E36">
        <v>0</v>
      </c>
      <c r="F36">
        <v>2</v>
      </c>
      <c r="G36">
        <v>0</v>
      </c>
      <c r="H36">
        <v>0</v>
      </c>
      <c r="I36">
        <v>0</v>
      </c>
      <c r="J36">
        <v>0</v>
      </c>
      <c r="L36">
        <v>1</v>
      </c>
      <c r="M36" t="s">
        <v>42</v>
      </c>
      <c r="N36" t="s">
        <v>42</v>
      </c>
      <c r="O36">
        <v>0</v>
      </c>
      <c r="Q36" s="1">
        <f>SUM(OGC_Home__Brazil[[#This Row],[0-15]:[31-45]])</f>
        <v>2</v>
      </c>
      <c r="AD36"/>
    </row>
    <row r="37" spans="1:30" x14ac:dyDescent="0.25">
      <c r="A37" t="s">
        <v>300</v>
      </c>
      <c r="B37" t="s">
        <v>323</v>
      </c>
      <c r="C37">
        <v>3</v>
      </c>
      <c r="D37">
        <v>25</v>
      </c>
      <c r="E37">
        <v>1</v>
      </c>
      <c r="F37">
        <v>0</v>
      </c>
      <c r="G37">
        <v>2</v>
      </c>
      <c r="H37">
        <v>0</v>
      </c>
      <c r="I37">
        <v>0</v>
      </c>
      <c r="J37">
        <v>0</v>
      </c>
      <c r="L37">
        <v>1</v>
      </c>
      <c r="M37" t="s">
        <v>42</v>
      </c>
      <c r="N37" t="s">
        <v>42</v>
      </c>
      <c r="O37">
        <v>0</v>
      </c>
      <c r="Q37" s="1">
        <f>SUM(OGC_Home__Brazil[[#This Row],[0-15]:[31-45]])</f>
        <v>3</v>
      </c>
      <c r="AD37"/>
    </row>
    <row r="38" spans="1:30" x14ac:dyDescent="0.25">
      <c r="A38" t="s">
        <v>305</v>
      </c>
      <c r="B38" t="s">
        <v>323</v>
      </c>
      <c r="C38">
        <v>4</v>
      </c>
      <c r="D38">
        <v>42</v>
      </c>
      <c r="E38">
        <v>1</v>
      </c>
      <c r="F38">
        <v>0</v>
      </c>
      <c r="G38">
        <v>2</v>
      </c>
      <c r="H38">
        <v>0</v>
      </c>
      <c r="I38">
        <v>0</v>
      </c>
      <c r="J38">
        <v>1</v>
      </c>
      <c r="L38">
        <v>0.75</v>
      </c>
      <c r="M38" t="s">
        <v>42</v>
      </c>
      <c r="N38" t="s">
        <v>42</v>
      </c>
      <c r="O38">
        <v>0.25</v>
      </c>
      <c r="Q38" s="1">
        <f>SUM(OGC_Home__Brazil[[#This Row],[0-15]:[31-45]])</f>
        <v>3</v>
      </c>
      <c r="AD38"/>
    </row>
    <row r="39" spans="1:30" x14ac:dyDescent="0.25">
      <c r="A39" t="s">
        <v>293</v>
      </c>
      <c r="B39" t="s">
        <v>322</v>
      </c>
      <c r="C39">
        <v>4</v>
      </c>
      <c r="D39">
        <v>45</v>
      </c>
      <c r="E39">
        <v>1</v>
      </c>
      <c r="F39">
        <v>0</v>
      </c>
      <c r="G39">
        <v>2</v>
      </c>
      <c r="H39">
        <v>0</v>
      </c>
      <c r="I39">
        <v>0</v>
      </c>
      <c r="J39">
        <v>1</v>
      </c>
      <c r="L39">
        <v>0.75</v>
      </c>
      <c r="M39" t="s">
        <v>42</v>
      </c>
      <c r="N39" t="s">
        <v>42</v>
      </c>
      <c r="O39">
        <v>0.25</v>
      </c>
      <c r="Q39" s="1">
        <f>SUM(OGC_Home__Brazil[[#This Row],[0-15]:[31-45]])</f>
        <v>3</v>
      </c>
      <c r="AD39"/>
    </row>
    <row r="40" spans="1:30" x14ac:dyDescent="0.25">
      <c r="A40" t="s">
        <v>296</v>
      </c>
      <c r="B40" t="s">
        <v>323</v>
      </c>
      <c r="C40">
        <v>2</v>
      </c>
      <c r="D40">
        <v>30</v>
      </c>
      <c r="E40">
        <v>1</v>
      </c>
      <c r="F40">
        <v>0</v>
      </c>
      <c r="G40">
        <v>1</v>
      </c>
      <c r="H40">
        <v>0</v>
      </c>
      <c r="I40">
        <v>0</v>
      </c>
      <c r="J40">
        <v>0</v>
      </c>
      <c r="L40">
        <v>1</v>
      </c>
      <c r="M40" t="s">
        <v>42</v>
      </c>
      <c r="N40" t="s">
        <v>42</v>
      </c>
      <c r="O40">
        <v>0</v>
      </c>
      <c r="Q40" s="1">
        <f>SUM(OGC_Home__Brazil[[#This Row],[0-15]:[31-45]])</f>
        <v>2</v>
      </c>
      <c r="AD40"/>
    </row>
    <row r="41" spans="1:30" x14ac:dyDescent="0.25">
      <c r="A41" t="s">
        <v>295</v>
      </c>
      <c r="B41" t="s">
        <v>323</v>
      </c>
      <c r="C41">
        <v>3</v>
      </c>
      <c r="D41">
        <v>44</v>
      </c>
      <c r="E41">
        <v>0</v>
      </c>
      <c r="F41">
        <v>1</v>
      </c>
      <c r="G41">
        <v>1</v>
      </c>
      <c r="H41">
        <v>0</v>
      </c>
      <c r="I41">
        <v>1</v>
      </c>
      <c r="J41">
        <v>0</v>
      </c>
      <c r="L41">
        <v>0.67</v>
      </c>
      <c r="M41" t="s">
        <v>42</v>
      </c>
      <c r="N41" t="s">
        <v>42</v>
      </c>
      <c r="O41">
        <v>0.33</v>
      </c>
      <c r="Q41" s="1">
        <f>SUM(OGC_Home__Brazil[[#This Row],[0-15]:[31-45]])</f>
        <v>2</v>
      </c>
      <c r="AD41"/>
    </row>
    <row r="42" spans="1:30" x14ac:dyDescent="0.25">
      <c r="A42" t="s">
        <v>297</v>
      </c>
      <c r="B42" t="s">
        <v>322</v>
      </c>
      <c r="C42">
        <v>3</v>
      </c>
      <c r="D42">
        <v>41</v>
      </c>
      <c r="E42">
        <v>0</v>
      </c>
      <c r="F42">
        <v>0</v>
      </c>
      <c r="G42">
        <v>2</v>
      </c>
      <c r="H42">
        <v>1</v>
      </c>
      <c r="I42">
        <v>0</v>
      </c>
      <c r="J42">
        <v>0</v>
      </c>
      <c r="L42">
        <v>0.67</v>
      </c>
      <c r="M42" t="s">
        <v>42</v>
      </c>
      <c r="N42" t="s">
        <v>42</v>
      </c>
      <c r="O42">
        <v>0.33</v>
      </c>
      <c r="Q42" s="1">
        <f>SUM(OGC_Home__Brazil[[#This Row],[0-15]:[31-45]])</f>
        <v>2</v>
      </c>
      <c r="AD42"/>
    </row>
    <row r="43" spans="1:30" x14ac:dyDescent="0.25">
      <c r="A43" t="s">
        <v>304</v>
      </c>
      <c r="B43" t="s">
        <v>323</v>
      </c>
      <c r="C43">
        <v>3</v>
      </c>
      <c r="D43">
        <v>18</v>
      </c>
      <c r="E43">
        <v>1</v>
      </c>
      <c r="F43">
        <v>1</v>
      </c>
      <c r="G43">
        <v>1</v>
      </c>
      <c r="H43">
        <v>0</v>
      </c>
      <c r="I43">
        <v>0</v>
      </c>
      <c r="J43">
        <v>0</v>
      </c>
      <c r="L43">
        <v>1</v>
      </c>
      <c r="M43" t="s">
        <v>42</v>
      </c>
      <c r="N43" t="s">
        <v>42</v>
      </c>
      <c r="O43">
        <v>0</v>
      </c>
      <c r="Q43" s="1">
        <f>SUM(OGC_Home__Brazil[[#This Row],[0-15]:[31-45]])</f>
        <v>3</v>
      </c>
      <c r="AD43"/>
    </row>
    <row r="44" spans="1:30" x14ac:dyDescent="0.25">
      <c r="Q44" s="1" t="e">
        <f>SUM(OGC_Home__Brazil[[#This Row],[0-15]:[31-45]])</f>
        <v>#VALUE!</v>
      </c>
      <c r="AD44"/>
    </row>
    <row r="45" spans="1:30" x14ac:dyDescent="0.25">
      <c r="Q45" s="1" t="e">
        <f>SUM(OGC_Home__Brazil[[#This Row],[0-15]:[31-45]])</f>
        <v>#VALUE!</v>
      </c>
      <c r="AD45"/>
    </row>
    <row r="46" spans="1:30" x14ac:dyDescent="0.25">
      <c r="Q46" s="1" t="e">
        <f>SUM(OGC_Home__Brazil[[#This Row],[0-15]:[31-45]])</f>
        <v>#VALUE!</v>
      </c>
      <c r="AD46"/>
    </row>
    <row r="47" spans="1:30" x14ac:dyDescent="0.25">
      <c r="Q47" s="1" t="e">
        <f>SUM(OGC_Home__Brazil[[#This Row],[0-15]:[31-45]])</f>
        <v>#VALUE!</v>
      </c>
      <c r="AD47"/>
    </row>
    <row r="48" spans="1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7"/>
  <dimension ref="A1:Q471"/>
  <sheetViews>
    <sheetView workbookViewId="0">
      <selection sqref="A1:N41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11</v>
      </c>
      <c r="B1" t="s">
        <v>0</v>
      </c>
      <c r="C1" t="s">
        <v>43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23</v>
      </c>
      <c r="L1" t="s">
        <v>38</v>
      </c>
      <c r="M1" t="s">
        <v>39</v>
      </c>
      <c r="N1" t="s">
        <v>40</v>
      </c>
      <c r="O1" t="s">
        <v>41</v>
      </c>
      <c r="Q1" s="1" t="s">
        <v>45</v>
      </c>
    </row>
    <row r="2" spans="1:17" x14ac:dyDescent="0.25">
      <c r="A2" t="s">
        <v>287</v>
      </c>
      <c r="B2" t="s">
        <v>314</v>
      </c>
      <c r="C2">
        <v>5</v>
      </c>
      <c r="D2">
        <v>39</v>
      </c>
      <c r="E2">
        <v>1</v>
      </c>
      <c r="F2">
        <v>1</v>
      </c>
      <c r="G2">
        <v>2</v>
      </c>
      <c r="H2">
        <v>0</v>
      </c>
      <c r="I2">
        <v>0</v>
      </c>
      <c r="J2">
        <v>1</v>
      </c>
      <c r="L2">
        <v>0.8</v>
      </c>
      <c r="M2" t="s">
        <v>42</v>
      </c>
      <c r="N2" t="s">
        <v>42</v>
      </c>
      <c r="O2">
        <v>0.2</v>
      </c>
      <c r="Q2" s="1">
        <f>SUM(OGC___Away_Brazil[[#This Row],[0-15]:[31-45]])</f>
        <v>4</v>
      </c>
    </row>
    <row r="3" spans="1:17" x14ac:dyDescent="0.25">
      <c r="A3" t="s">
        <v>290</v>
      </c>
      <c r="B3" t="s">
        <v>314</v>
      </c>
      <c r="C3">
        <v>5</v>
      </c>
      <c r="D3">
        <v>34</v>
      </c>
      <c r="E3">
        <v>2</v>
      </c>
      <c r="F3">
        <v>1</v>
      </c>
      <c r="G3">
        <v>0</v>
      </c>
      <c r="H3">
        <v>1</v>
      </c>
      <c r="I3">
        <v>0</v>
      </c>
      <c r="J3">
        <v>1</v>
      </c>
      <c r="L3">
        <v>0.6</v>
      </c>
      <c r="M3" t="s">
        <v>42</v>
      </c>
      <c r="N3" t="s">
        <v>42</v>
      </c>
      <c r="O3">
        <v>0.4</v>
      </c>
      <c r="Q3" s="1">
        <f>SUM(OGC___Away_Brazil[[#This Row],[0-15]:[31-45]])</f>
        <v>3</v>
      </c>
    </row>
    <row r="4" spans="1:17" x14ac:dyDescent="0.25">
      <c r="A4" t="s">
        <v>274</v>
      </c>
      <c r="B4" t="s">
        <v>318</v>
      </c>
      <c r="C4">
        <v>3</v>
      </c>
      <c r="D4">
        <v>55</v>
      </c>
      <c r="E4">
        <v>0</v>
      </c>
      <c r="F4">
        <v>1</v>
      </c>
      <c r="G4">
        <v>0</v>
      </c>
      <c r="H4">
        <v>1</v>
      </c>
      <c r="I4">
        <v>0</v>
      </c>
      <c r="J4">
        <v>1</v>
      </c>
      <c r="L4">
        <v>0.33</v>
      </c>
      <c r="M4" t="s">
        <v>42</v>
      </c>
      <c r="N4" t="s">
        <v>42</v>
      </c>
      <c r="O4">
        <v>0.67</v>
      </c>
      <c r="Q4" s="1">
        <f>SUM(OGC___Away_Brazil[[#This Row],[0-15]:[31-45]])</f>
        <v>1</v>
      </c>
    </row>
    <row r="5" spans="1:17" x14ac:dyDescent="0.25">
      <c r="A5" t="s">
        <v>275</v>
      </c>
      <c r="B5" t="s">
        <v>318</v>
      </c>
      <c r="C5">
        <v>3</v>
      </c>
      <c r="D5">
        <v>28</v>
      </c>
      <c r="E5">
        <v>1</v>
      </c>
      <c r="F5">
        <v>1</v>
      </c>
      <c r="G5">
        <v>0</v>
      </c>
      <c r="H5">
        <v>1</v>
      </c>
      <c r="I5">
        <v>0</v>
      </c>
      <c r="J5">
        <v>0</v>
      </c>
      <c r="L5">
        <v>0.67</v>
      </c>
      <c r="M5" t="s">
        <v>42</v>
      </c>
      <c r="N5" t="s">
        <v>42</v>
      </c>
      <c r="O5">
        <v>0.33</v>
      </c>
      <c r="Q5" s="1">
        <f>SUM(OGC___Away_Brazil[[#This Row],[0-15]:[31-45]])</f>
        <v>2</v>
      </c>
    </row>
    <row r="6" spans="1:17" x14ac:dyDescent="0.25">
      <c r="A6" t="s">
        <v>282</v>
      </c>
      <c r="B6" t="s">
        <v>314</v>
      </c>
      <c r="C6">
        <v>4</v>
      </c>
      <c r="D6">
        <v>57</v>
      </c>
      <c r="E6">
        <v>1</v>
      </c>
      <c r="F6">
        <v>0</v>
      </c>
      <c r="G6">
        <v>0</v>
      </c>
      <c r="H6">
        <v>0</v>
      </c>
      <c r="I6">
        <v>1</v>
      </c>
      <c r="J6">
        <v>2</v>
      </c>
      <c r="L6">
        <v>0.25</v>
      </c>
      <c r="M6" t="s">
        <v>42</v>
      </c>
      <c r="N6" t="s">
        <v>42</v>
      </c>
      <c r="O6">
        <v>0.75</v>
      </c>
      <c r="Q6" s="1">
        <f>SUM(OGC___Away_Brazil[[#This Row],[0-15]:[31-45]])</f>
        <v>1</v>
      </c>
    </row>
    <row r="7" spans="1:17" x14ac:dyDescent="0.25">
      <c r="A7" t="s">
        <v>288</v>
      </c>
      <c r="B7" t="s">
        <v>318</v>
      </c>
      <c r="C7">
        <v>2</v>
      </c>
      <c r="D7">
        <v>56</v>
      </c>
      <c r="E7">
        <v>0</v>
      </c>
      <c r="F7">
        <v>1</v>
      </c>
      <c r="G7">
        <v>0</v>
      </c>
      <c r="H7">
        <v>0</v>
      </c>
      <c r="I7">
        <v>0</v>
      </c>
      <c r="J7">
        <v>1</v>
      </c>
      <c r="L7">
        <v>0.5</v>
      </c>
      <c r="M7" t="s">
        <v>42</v>
      </c>
      <c r="N7" t="s">
        <v>42</v>
      </c>
      <c r="O7">
        <v>0.5</v>
      </c>
      <c r="Q7" s="1">
        <f>SUM(OGC___Away_Brazil[[#This Row],[0-15]:[31-45]])</f>
        <v>1</v>
      </c>
    </row>
    <row r="8" spans="1:17" x14ac:dyDescent="0.25">
      <c r="A8" t="s">
        <v>273</v>
      </c>
      <c r="B8" t="s">
        <v>318</v>
      </c>
      <c r="C8">
        <v>3</v>
      </c>
      <c r="D8">
        <v>16</v>
      </c>
      <c r="E8">
        <v>2</v>
      </c>
      <c r="F8">
        <v>0</v>
      </c>
      <c r="G8">
        <v>1</v>
      </c>
      <c r="H8">
        <v>0</v>
      </c>
      <c r="I8">
        <v>0</v>
      </c>
      <c r="J8">
        <v>0</v>
      </c>
      <c r="L8">
        <v>1</v>
      </c>
      <c r="M8" t="s">
        <v>42</v>
      </c>
      <c r="N8" t="s">
        <v>42</v>
      </c>
      <c r="O8">
        <v>0</v>
      </c>
      <c r="Q8" s="1">
        <f>SUM(OGC___Away_Brazil[[#This Row],[0-15]:[31-45]])</f>
        <v>3</v>
      </c>
    </row>
    <row r="9" spans="1:17" x14ac:dyDescent="0.25">
      <c r="A9" t="s">
        <v>281</v>
      </c>
      <c r="B9" t="s">
        <v>314</v>
      </c>
      <c r="C9">
        <v>4</v>
      </c>
      <c r="D9">
        <v>16</v>
      </c>
      <c r="E9">
        <v>3</v>
      </c>
      <c r="F9">
        <v>0</v>
      </c>
      <c r="G9">
        <v>1</v>
      </c>
      <c r="H9">
        <v>0</v>
      </c>
      <c r="I9">
        <v>0</v>
      </c>
      <c r="J9">
        <v>0</v>
      </c>
      <c r="L9">
        <v>1</v>
      </c>
      <c r="M9" t="s">
        <v>42</v>
      </c>
      <c r="N9" t="s">
        <v>42</v>
      </c>
      <c r="O9">
        <v>0</v>
      </c>
      <c r="Q9" s="1">
        <f>SUM(OGC___Away_Brazil[[#This Row],[0-15]:[31-45]])</f>
        <v>4</v>
      </c>
    </row>
    <row r="10" spans="1:17" x14ac:dyDescent="0.25">
      <c r="A10" t="s">
        <v>272</v>
      </c>
      <c r="B10" t="s">
        <v>314</v>
      </c>
      <c r="C10">
        <v>3</v>
      </c>
      <c r="D10">
        <v>20</v>
      </c>
      <c r="E10">
        <v>2</v>
      </c>
      <c r="F10">
        <v>0</v>
      </c>
      <c r="G10">
        <v>0</v>
      </c>
      <c r="H10">
        <v>1</v>
      </c>
      <c r="I10">
        <v>0</v>
      </c>
      <c r="J10">
        <v>0</v>
      </c>
      <c r="L10">
        <v>0.67</v>
      </c>
      <c r="M10" t="s">
        <v>42</v>
      </c>
      <c r="N10" t="s">
        <v>42</v>
      </c>
      <c r="O10">
        <v>0.33</v>
      </c>
      <c r="Q10" s="1">
        <f>SUM(OGC___Away_Brazil[[#This Row],[0-15]:[31-45]])</f>
        <v>2</v>
      </c>
    </row>
    <row r="11" spans="1:17" x14ac:dyDescent="0.25">
      <c r="A11" t="s">
        <v>289</v>
      </c>
      <c r="B11" t="s">
        <v>314</v>
      </c>
      <c r="C11">
        <v>8</v>
      </c>
      <c r="D11">
        <v>35</v>
      </c>
      <c r="E11">
        <v>3</v>
      </c>
      <c r="F11">
        <v>1</v>
      </c>
      <c r="G11">
        <v>3</v>
      </c>
      <c r="H11">
        <v>0</v>
      </c>
      <c r="I11">
        <v>0</v>
      </c>
      <c r="J11">
        <v>1</v>
      </c>
      <c r="L11">
        <v>0.88</v>
      </c>
      <c r="M11" t="s">
        <v>42</v>
      </c>
      <c r="N11" t="s">
        <v>42</v>
      </c>
      <c r="O11">
        <v>0.12</v>
      </c>
      <c r="Q11" s="1">
        <f>SUM(OGC___Away_Brazil[[#This Row],[0-15]:[31-45]])</f>
        <v>7</v>
      </c>
    </row>
    <row r="12" spans="1:17" x14ac:dyDescent="0.25">
      <c r="A12" t="s">
        <v>286</v>
      </c>
      <c r="B12" t="s">
        <v>323</v>
      </c>
      <c r="C12">
        <v>5</v>
      </c>
      <c r="D12">
        <v>59</v>
      </c>
      <c r="E12">
        <v>0</v>
      </c>
      <c r="F12">
        <v>1</v>
      </c>
      <c r="G12">
        <v>1</v>
      </c>
      <c r="H12">
        <v>0</v>
      </c>
      <c r="I12">
        <v>2</v>
      </c>
      <c r="J12">
        <v>1</v>
      </c>
      <c r="L12">
        <v>0.4</v>
      </c>
      <c r="M12" t="s">
        <v>42</v>
      </c>
      <c r="N12" t="s">
        <v>42</v>
      </c>
      <c r="O12">
        <v>0.6</v>
      </c>
      <c r="Q12" s="1">
        <f>SUM(OGC___Away_Brazil[[#This Row],[0-15]:[31-45]])</f>
        <v>2</v>
      </c>
    </row>
    <row r="13" spans="1:17" x14ac:dyDescent="0.25">
      <c r="A13" t="s">
        <v>284</v>
      </c>
      <c r="B13" t="s">
        <v>314</v>
      </c>
      <c r="C13">
        <v>6</v>
      </c>
      <c r="D13">
        <v>30</v>
      </c>
      <c r="E13">
        <v>3</v>
      </c>
      <c r="F13">
        <v>1</v>
      </c>
      <c r="G13">
        <v>0</v>
      </c>
      <c r="H13">
        <v>0</v>
      </c>
      <c r="I13">
        <v>2</v>
      </c>
      <c r="J13">
        <v>0</v>
      </c>
      <c r="L13">
        <v>0.67</v>
      </c>
      <c r="M13" t="s">
        <v>42</v>
      </c>
      <c r="N13" t="s">
        <v>42</v>
      </c>
      <c r="O13">
        <v>0.33</v>
      </c>
      <c r="Q13" s="1">
        <f>SUM(OGC___Away_Brazil[[#This Row],[0-15]:[31-45]])</f>
        <v>4</v>
      </c>
    </row>
    <row r="14" spans="1:17" x14ac:dyDescent="0.25">
      <c r="A14" t="s">
        <v>280</v>
      </c>
      <c r="B14" t="s">
        <v>314</v>
      </c>
      <c r="C14">
        <v>5</v>
      </c>
      <c r="D14">
        <v>33</v>
      </c>
      <c r="E14">
        <v>1</v>
      </c>
      <c r="F14">
        <v>1</v>
      </c>
      <c r="G14">
        <v>2</v>
      </c>
      <c r="H14">
        <v>1</v>
      </c>
      <c r="I14">
        <v>0</v>
      </c>
      <c r="J14">
        <v>0</v>
      </c>
      <c r="L14">
        <v>0.8</v>
      </c>
      <c r="M14" t="s">
        <v>42</v>
      </c>
      <c r="N14" t="s">
        <v>42</v>
      </c>
      <c r="O14">
        <v>0.2</v>
      </c>
      <c r="Q14" s="1">
        <f>SUM(OGC___Away_Brazil[[#This Row],[0-15]:[31-45]])</f>
        <v>4</v>
      </c>
    </row>
    <row r="15" spans="1:17" x14ac:dyDescent="0.25">
      <c r="A15" t="s">
        <v>277</v>
      </c>
      <c r="B15" t="s">
        <v>314</v>
      </c>
      <c r="C15">
        <v>2</v>
      </c>
      <c r="D15">
        <v>38</v>
      </c>
      <c r="E15">
        <v>0</v>
      </c>
      <c r="F15">
        <v>1</v>
      </c>
      <c r="G15">
        <v>0</v>
      </c>
      <c r="H15">
        <v>1</v>
      </c>
      <c r="I15">
        <v>0</v>
      </c>
      <c r="J15">
        <v>0</v>
      </c>
      <c r="L15">
        <v>0.5</v>
      </c>
      <c r="M15" t="s">
        <v>42</v>
      </c>
      <c r="N15" t="s">
        <v>42</v>
      </c>
      <c r="O15">
        <v>0.5</v>
      </c>
      <c r="Q15" s="1">
        <f>SUM(OGC___Away_Brazil[[#This Row],[0-15]:[31-45]])</f>
        <v>1</v>
      </c>
    </row>
    <row r="16" spans="1:17" x14ac:dyDescent="0.25">
      <c r="A16" t="s">
        <v>278</v>
      </c>
      <c r="B16" t="s">
        <v>314</v>
      </c>
      <c r="C16">
        <v>1</v>
      </c>
      <c r="D16">
        <v>25</v>
      </c>
      <c r="E16">
        <v>0</v>
      </c>
      <c r="F16">
        <v>1</v>
      </c>
      <c r="G16">
        <v>0</v>
      </c>
      <c r="H16">
        <v>0</v>
      </c>
      <c r="I16">
        <v>0</v>
      </c>
      <c r="J16">
        <v>0</v>
      </c>
      <c r="L16">
        <v>1</v>
      </c>
      <c r="M16" t="s">
        <v>42</v>
      </c>
      <c r="N16" t="s">
        <v>42</v>
      </c>
      <c r="O16">
        <v>0</v>
      </c>
      <c r="Q16" s="1">
        <f>SUM(OGC___Away_Brazil[[#This Row],[0-15]:[31-45]])</f>
        <v>1</v>
      </c>
    </row>
    <row r="17" spans="1:17" x14ac:dyDescent="0.25">
      <c r="A17" t="s">
        <v>271</v>
      </c>
      <c r="B17" t="s">
        <v>323</v>
      </c>
      <c r="C17">
        <v>4</v>
      </c>
      <c r="D17">
        <v>22</v>
      </c>
      <c r="E17">
        <v>3</v>
      </c>
      <c r="F17">
        <v>0</v>
      </c>
      <c r="G17">
        <v>0</v>
      </c>
      <c r="H17">
        <v>0</v>
      </c>
      <c r="I17">
        <v>1</v>
      </c>
      <c r="J17">
        <v>0</v>
      </c>
      <c r="L17">
        <v>0.75</v>
      </c>
      <c r="M17" t="s">
        <v>42</v>
      </c>
      <c r="N17" t="s">
        <v>42</v>
      </c>
      <c r="O17">
        <v>0.25</v>
      </c>
      <c r="Q17" s="1">
        <f>SUM(OGC___Away_Brazil[[#This Row],[0-15]:[31-45]])</f>
        <v>3</v>
      </c>
    </row>
    <row r="18" spans="1:17" x14ac:dyDescent="0.25">
      <c r="A18" t="s">
        <v>276</v>
      </c>
      <c r="B18" t="s">
        <v>314</v>
      </c>
      <c r="C18">
        <v>3</v>
      </c>
      <c r="D18">
        <v>18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L18">
        <v>1</v>
      </c>
      <c r="M18" t="s">
        <v>42</v>
      </c>
      <c r="N18" t="s">
        <v>42</v>
      </c>
      <c r="O18">
        <v>0</v>
      </c>
      <c r="Q18" s="1">
        <f>SUM(OGC___Away_Brazil[[#This Row],[0-15]:[31-45]])</f>
        <v>3</v>
      </c>
    </row>
    <row r="19" spans="1:17" x14ac:dyDescent="0.25">
      <c r="A19" t="s">
        <v>283</v>
      </c>
      <c r="B19" t="s">
        <v>318</v>
      </c>
      <c r="C19">
        <v>6</v>
      </c>
      <c r="D19">
        <v>21</v>
      </c>
      <c r="E19">
        <v>4</v>
      </c>
      <c r="F19">
        <v>1</v>
      </c>
      <c r="G19">
        <v>0</v>
      </c>
      <c r="H19">
        <v>0</v>
      </c>
      <c r="I19">
        <v>0</v>
      </c>
      <c r="J19">
        <v>1</v>
      </c>
      <c r="L19">
        <v>0.83</v>
      </c>
      <c r="M19" t="s">
        <v>42</v>
      </c>
      <c r="N19" t="s">
        <v>42</v>
      </c>
      <c r="O19">
        <v>0.17</v>
      </c>
      <c r="Q19" s="1">
        <f>SUM(OGC___Away_Brazil[[#This Row],[0-15]:[31-45]])</f>
        <v>5</v>
      </c>
    </row>
    <row r="20" spans="1:17" x14ac:dyDescent="0.25">
      <c r="A20" t="s">
        <v>279</v>
      </c>
      <c r="B20" t="s">
        <v>323</v>
      </c>
      <c r="C20">
        <v>6</v>
      </c>
      <c r="D20">
        <v>29</v>
      </c>
      <c r="E20">
        <v>3</v>
      </c>
      <c r="F20">
        <v>0</v>
      </c>
      <c r="G20">
        <v>2</v>
      </c>
      <c r="H20">
        <v>0</v>
      </c>
      <c r="I20">
        <v>0</v>
      </c>
      <c r="J20">
        <v>1</v>
      </c>
      <c r="L20">
        <v>0.83</v>
      </c>
      <c r="M20" t="s">
        <v>42</v>
      </c>
      <c r="N20" t="s">
        <v>42</v>
      </c>
      <c r="O20">
        <v>0.17</v>
      </c>
      <c r="Q20" s="1">
        <f>SUM(OGC___Away_Brazil[[#This Row],[0-15]:[31-45]])</f>
        <v>5</v>
      </c>
    </row>
    <row r="21" spans="1:17" x14ac:dyDescent="0.25">
      <c r="A21" t="s">
        <v>285</v>
      </c>
      <c r="B21" t="s">
        <v>318</v>
      </c>
      <c r="C21">
        <v>1</v>
      </c>
      <c r="D21">
        <v>75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L21">
        <v>0</v>
      </c>
      <c r="M21" t="s">
        <v>42</v>
      </c>
      <c r="N21" t="s">
        <v>42</v>
      </c>
      <c r="O21">
        <v>1</v>
      </c>
      <c r="Q21" s="1">
        <f>SUM(OGC___Away_Brazil[[#This Row],[0-15]:[31-45]])</f>
        <v>0</v>
      </c>
    </row>
    <row r="22" spans="1:17" x14ac:dyDescent="0.25">
      <c r="A22" t="s">
        <v>301</v>
      </c>
      <c r="B22" t="s">
        <v>323</v>
      </c>
      <c r="C22">
        <v>6</v>
      </c>
      <c r="D22">
        <v>28</v>
      </c>
      <c r="E22">
        <v>1</v>
      </c>
      <c r="F22">
        <v>3</v>
      </c>
      <c r="G22">
        <v>1</v>
      </c>
      <c r="H22">
        <v>1</v>
      </c>
      <c r="I22">
        <v>0</v>
      </c>
      <c r="J22">
        <v>0</v>
      </c>
      <c r="L22">
        <v>0.83</v>
      </c>
      <c r="M22" t="s">
        <v>42</v>
      </c>
      <c r="N22" t="s">
        <v>42</v>
      </c>
      <c r="O22">
        <v>0.17</v>
      </c>
      <c r="Q22" s="1">
        <f>SUM(OGC___Away_Brazil[[#This Row],[0-15]:[31-45]])</f>
        <v>5</v>
      </c>
    </row>
    <row r="23" spans="1:17" x14ac:dyDescent="0.25">
      <c r="A23" t="s">
        <v>311</v>
      </c>
      <c r="B23" t="s">
        <v>323</v>
      </c>
      <c r="C23">
        <v>5</v>
      </c>
      <c r="D23">
        <v>47</v>
      </c>
      <c r="E23">
        <v>0</v>
      </c>
      <c r="F23">
        <v>1</v>
      </c>
      <c r="G23">
        <v>2</v>
      </c>
      <c r="H23">
        <v>1</v>
      </c>
      <c r="I23">
        <v>0</v>
      </c>
      <c r="J23">
        <v>1</v>
      </c>
      <c r="L23">
        <v>0.6</v>
      </c>
      <c r="M23" t="s">
        <v>42</v>
      </c>
      <c r="N23" t="s">
        <v>42</v>
      </c>
      <c r="O23">
        <v>0.4</v>
      </c>
      <c r="Q23" s="1">
        <f>SUM(OGC___Away_Brazil[[#This Row],[0-15]:[31-45]])</f>
        <v>3</v>
      </c>
    </row>
    <row r="24" spans="1:17" x14ac:dyDescent="0.25">
      <c r="A24" t="s">
        <v>308</v>
      </c>
      <c r="B24" t="s">
        <v>322</v>
      </c>
      <c r="C24">
        <v>7</v>
      </c>
      <c r="D24">
        <v>37</v>
      </c>
      <c r="E24">
        <v>2</v>
      </c>
      <c r="F24">
        <v>1</v>
      </c>
      <c r="G24">
        <v>2</v>
      </c>
      <c r="H24">
        <v>0</v>
      </c>
      <c r="I24">
        <v>1</v>
      </c>
      <c r="J24">
        <v>1</v>
      </c>
      <c r="L24">
        <v>0.71</v>
      </c>
      <c r="M24" t="s">
        <v>42</v>
      </c>
      <c r="N24" t="s">
        <v>42</v>
      </c>
      <c r="O24">
        <v>0.28999999999999998</v>
      </c>
      <c r="Q24" s="1">
        <f>SUM(OGC___Away_Brazil[[#This Row],[0-15]:[31-45]])</f>
        <v>5</v>
      </c>
    </row>
    <row r="25" spans="1:17" x14ac:dyDescent="0.25">
      <c r="A25" t="s">
        <v>302</v>
      </c>
      <c r="B25" t="s">
        <v>323</v>
      </c>
      <c r="C25">
        <v>8</v>
      </c>
      <c r="D25">
        <v>32</v>
      </c>
      <c r="E25">
        <v>3</v>
      </c>
      <c r="F25">
        <v>1</v>
      </c>
      <c r="G25">
        <v>2</v>
      </c>
      <c r="H25">
        <v>0</v>
      </c>
      <c r="I25">
        <v>2</v>
      </c>
      <c r="J25">
        <v>0</v>
      </c>
      <c r="L25">
        <v>0.75</v>
      </c>
      <c r="M25" t="s">
        <v>42</v>
      </c>
      <c r="N25" t="s">
        <v>42</v>
      </c>
      <c r="O25">
        <v>0.25</v>
      </c>
      <c r="Q25" s="1">
        <f>SUM(OGC___Away_Brazil[[#This Row],[0-15]:[31-45]])</f>
        <v>6</v>
      </c>
    </row>
    <row r="26" spans="1:17" x14ac:dyDescent="0.25">
      <c r="A26" t="s">
        <v>312</v>
      </c>
      <c r="B26" t="s">
        <v>322</v>
      </c>
      <c r="C26">
        <v>6</v>
      </c>
      <c r="D26">
        <v>43</v>
      </c>
      <c r="E26">
        <v>2</v>
      </c>
      <c r="F26">
        <v>1</v>
      </c>
      <c r="G26">
        <v>0</v>
      </c>
      <c r="H26">
        <v>1</v>
      </c>
      <c r="I26">
        <v>1</v>
      </c>
      <c r="J26">
        <v>1</v>
      </c>
      <c r="L26">
        <v>0.5</v>
      </c>
      <c r="M26" t="s">
        <v>42</v>
      </c>
      <c r="N26" t="s">
        <v>42</v>
      </c>
      <c r="O26">
        <v>0.5</v>
      </c>
      <c r="Q26" s="1">
        <f>SUM(OGC___Away_Brazil[[#This Row],[0-15]:[31-45]])</f>
        <v>3</v>
      </c>
    </row>
    <row r="27" spans="1:17" x14ac:dyDescent="0.25">
      <c r="A27" t="s">
        <v>298</v>
      </c>
      <c r="B27" t="s">
        <v>322</v>
      </c>
      <c r="C27">
        <v>6</v>
      </c>
      <c r="D27">
        <v>42</v>
      </c>
      <c r="E27">
        <v>1</v>
      </c>
      <c r="F27">
        <v>2</v>
      </c>
      <c r="G27">
        <v>1</v>
      </c>
      <c r="H27">
        <v>0</v>
      </c>
      <c r="I27">
        <v>1</v>
      </c>
      <c r="J27">
        <v>1</v>
      </c>
      <c r="L27">
        <v>0.67</v>
      </c>
      <c r="M27" t="s">
        <v>42</v>
      </c>
      <c r="N27" t="s">
        <v>42</v>
      </c>
      <c r="O27">
        <v>0.33</v>
      </c>
      <c r="Q27" s="1">
        <f>SUM(OGC___Away_Brazil[[#This Row],[0-15]:[31-45]])</f>
        <v>4</v>
      </c>
    </row>
    <row r="28" spans="1:17" x14ac:dyDescent="0.25">
      <c r="A28" t="s">
        <v>309</v>
      </c>
      <c r="B28" t="s">
        <v>323</v>
      </c>
      <c r="C28">
        <v>6</v>
      </c>
      <c r="D28">
        <v>26</v>
      </c>
      <c r="E28">
        <v>2</v>
      </c>
      <c r="F28">
        <v>0</v>
      </c>
      <c r="G28">
        <v>4</v>
      </c>
      <c r="H28">
        <v>0</v>
      </c>
      <c r="I28">
        <v>0</v>
      </c>
      <c r="J28">
        <v>0</v>
      </c>
      <c r="L28">
        <v>1</v>
      </c>
      <c r="M28" t="s">
        <v>42</v>
      </c>
      <c r="N28" t="s">
        <v>42</v>
      </c>
      <c r="O28">
        <v>0</v>
      </c>
      <c r="Q28" s="1">
        <f>SUM(OGC___Away_Brazil[[#This Row],[0-15]:[31-45]])</f>
        <v>6</v>
      </c>
    </row>
    <row r="29" spans="1:17" x14ac:dyDescent="0.25">
      <c r="A29" t="s">
        <v>303</v>
      </c>
      <c r="B29" t="s">
        <v>322</v>
      </c>
      <c r="C29">
        <v>6</v>
      </c>
      <c r="D29">
        <v>30</v>
      </c>
      <c r="E29">
        <v>2</v>
      </c>
      <c r="F29">
        <v>1</v>
      </c>
      <c r="G29">
        <v>2</v>
      </c>
      <c r="H29">
        <v>1</v>
      </c>
      <c r="I29">
        <v>0</v>
      </c>
      <c r="J29">
        <v>0</v>
      </c>
      <c r="L29">
        <v>0.83</v>
      </c>
      <c r="M29" t="s">
        <v>42</v>
      </c>
      <c r="N29" t="s">
        <v>42</v>
      </c>
      <c r="O29">
        <v>0.17</v>
      </c>
      <c r="Q29" s="1">
        <f>SUM(OGC___Away_Brazil[[#This Row],[0-15]:[31-45]])</f>
        <v>5</v>
      </c>
    </row>
    <row r="30" spans="1:17" x14ac:dyDescent="0.25">
      <c r="A30" t="s">
        <v>291</v>
      </c>
      <c r="B30" t="s">
        <v>323</v>
      </c>
      <c r="C30">
        <v>4</v>
      </c>
      <c r="D30">
        <v>23</v>
      </c>
      <c r="E30">
        <v>1</v>
      </c>
      <c r="F30">
        <v>1</v>
      </c>
      <c r="G30">
        <v>2</v>
      </c>
      <c r="H30">
        <v>0</v>
      </c>
      <c r="I30">
        <v>0</v>
      </c>
      <c r="J30">
        <v>0</v>
      </c>
      <c r="L30">
        <v>1</v>
      </c>
      <c r="M30" t="s">
        <v>42</v>
      </c>
      <c r="N30" t="s">
        <v>42</v>
      </c>
      <c r="O30">
        <v>0</v>
      </c>
      <c r="Q30" s="1">
        <f>SUM(OGC___Away_Brazil[[#This Row],[0-15]:[31-45]])</f>
        <v>4</v>
      </c>
    </row>
    <row r="31" spans="1:17" x14ac:dyDescent="0.25">
      <c r="A31" t="s">
        <v>307</v>
      </c>
      <c r="B31" t="s">
        <v>322</v>
      </c>
      <c r="C31">
        <v>6</v>
      </c>
      <c r="D31">
        <v>24</v>
      </c>
      <c r="E31">
        <v>2</v>
      </c>
      <c r="F31">
        <v>1</v>
      </c>
      <c r="G31">
        <v>3</v>
      </c>
      <c r="H31">
        <v>0</v>
      </c>
      <c r="I31">
        <v>0</v>
      </c>
      <c r="J31">
        <v>0</v>
      </c>
      <c r="L31">
        <v>1</v>
      </c>
      <c r="M31" t="s">
        <v>42</v>
      </c>
      <c r="N31" t="s">
        <v>42</v>
      </c>
      <c r="O31">
        <v>0</v>
      </c>
      <c r="Q31" s="1">
        <f>SUM(OGC___Away_Brazil[[#This Row],[0-15]:[31-45]])</f>
        <v>6</v>
      </c>
    </row>
    <row r="32" spans="1:17" x14ac:dyDescent="0.25">
      <c r="A32" t="s">
        <v>310</v>
      </c>
      <c r="B32" t="s">
        <v>323</v>
      </c>
      <c r="C32">
        <v>3</v>
      </c>
      <c r="D32">
        <v>71</v>
      </c>
      <c r="E32">
        <v>0</v>
      </c>
      <c r="F32">
        <v>0</v>
      </c>
      <c r="G32">
        <v>1</v>
      </c>
      <c r="H32">
        <v>0</v>
      </c>
      <c r="I32">
        <v>0</v>
      </c>
      <c r="J32">
        <v>2</v>
      </c>
      <c r="L32">
        <v>0.33</v>
      </c>
      <c r="M32" t="s">
        <v>42</v>
      </c>
      <c r="N32" t="s">
        <v>42</v>
      </c>
      <c r="O32">
        <v>0.67</v>
      </c>
      <c r="Q32" s="1">
        <f>SUM(OGC___Away_Brazil[[#This Row],[0-15]:[31-45]])</f>
        <v>1</v>
      </c>
    </row>
    <row r="33" spans="1:17" x14ac:dyDescent="0.25">
      <c r="A33" t="s">
        <v>292</v>
      </c>
      <c r="B33" t="s">
        <v>323</v>
      </c>
      <c r="C33">
        <v>5</v>
      </c>
      <c r="D33">
        <v>27</v>
      </c>
      <c r="E33">
        <v>1</v>
      </c>
      <c r="F33">
        <v>1</v>
      </c>
      <c r="G33">
        <v>3</v>
      </c>
      <c r="H33">
        <v>0</v>
      </c>
      <c r="I33">
        <v>0</v>
      </c>
      <c r="J33">
        <v>0</v>
      </c>
      <c r="L33">
        <v>1</v>
      </c>
      <c r="M33" t="s">
        <v>42</v>
      </c>
      <c r="N33" t="s">
        <v>42</v>
      </c>
      <c r="O33">
        <v>0</v>
      </c>
      <c r="Q33" s="1">
        <f>SUM(OGC___Away_Brazil[[#This Row],[0-15]:[31-45]])</f>
        <v>5</v>
      </c>
    </row>
    <row r="34" spans="1:17" x14ac:dyDescent="0.25">
      <c r="A34" t="s">
        <v>294</v>
      </c>
      <c r="B34" t="s">
        <v>322</v>
      </c>
      <c r="C34">
        <v>1</v>
      </c>
      <c r="D34">
        <v>61</v>
      </c>
      <c r="E34">
        <v>0</v>
      </c>
      <c r="F34">
        <v>0</v>
      </c>
      <c r="G34">
        <v>0</v>
      </c>
      <c r="H34">
        <v>0</v>
      </c>
      <c r="I34">
        <v>1</v>
      </c>
      <c r="J34">
        <v>0</v>
      </c>
      <c r="L34">
        <v>0</v>
      </c>
      <c r="M34" t="s">
        <v>42</v>
      </c>
      <c r="N34" t="s">
        <v>42</v>
      </c>
      <c r="O34">
        <v>1</v>
      </c>
      <c r="Q34" s="1">
        <f>SUM(OGC___Away_Brazil[[#This Row],[0-15]:[31-45]])</f>
        <v>0</v>
      </c>
    </row>
    <row r="35" spans="1:17" x14ac:dyDescent="0.25">
      <c r="A35" t="s">
        <v>306</v>
      </c>
      <c r="B35" t="s">
        <v>323</v>
      </c>
      <c r="C35">
        <v>3</v>
      </c>
      <c r="D35">
        <v>30</v>
      </c>
      <c r="E35">
        <v>1</v>
      </c>
      <c r="F35">
        <v>1</v>
      </c>
      <c r="G35">
        <v>0</v>
      </c>
      <c r="H35">
        <v>1</v>
      </c>
      <c r="I35">
        <v>0</v>
      </c>
      <c r="J35">
        <v>0</v>
      </c>
      <c r="L35">
        <v>0.67</v>
      </c>
      <c r="M35" t="s">
        <v>42</v>
      </c>
      <c r="N35" t="s">
        <v>42</v>
      </c>
      <c r="O35">
        <v>0.33</v>
      </c>
      <c r="Q35" s="1">
        <f>SUM(OGC___Away_Brazil[[#This Row],[0-15]:[31-45]])</f>
        <v>2</v>
      </c>
    </row>
    <row r="36" spans="1:17" x14ac:dyDescent="0.25">
      <c r="A36" t="s">
        <v>299</v>
      </c>
      <c r="B36" t="s">
        <v>323</v>
      </c>
      <c r="C36">
        <v>7</v>
      </c>
      <c r="D36">
        <v>23</v>
      </c>
      <c r="E36">
        <v>4</v>
      </c>
      <c r="F36">
        <v>2</v>
      </c>
      <c r="G36">
        <v>0</v>
      </c>
      <c r="H36">
        <v>0</v>
      </c>
      <c r="I36">
        <v>1</v>
      </c>
      <c r="J36">
        <v>0</v>
      </c>
      <c r="L36">
        <v>0.86</v>
      </c>
      <c r="M36" t="s">
        <v>42</v>
      </c>
      <c r="N36" t="s">
        <v>42</v>
      </c>
      <c r="O36">
        <v>0.14000000000000001</v>
      </c>
      <c r="Q36" s="1">
        <f>SUM(OGC___Away_Brazil[[#This Row],[0-15]:[31-45]])</f>
        <v>6</v>
      </c>
    </row>
    <row r="37" spans="1:17" x14ac:dyDescent="0.25">
      <c r="A37" t="s">
        <v>300</v>
      </c>
      <c r="B37" t="s">
        <v>322</v>
      </c>
      <c r="C37">
        <v>6</v>
      </c>
      <c r="D37">
        <v>42</v>
      </c>
      <c r="E37">
        <v>1</v>
      </c>
      <c r="F37">
        <v>2</v>
      </c>
      <c r="G37">
        <v>1</v>
      </c>
      <c r="H37">
        <v>1</v>
      </c>
      <c r="I37">
        <v>0</v>
      </c>
      <c r="J37">
        <v>1</v>
      </c>
      <c r="L37">
        <v>0.67</v>
      </c>
      <c r="M37" t="s">
        <v>42</v>
      </c>
      <c r="N37" t="s">
        <v>42</v>
      </c>
      <c r="O37">
        <v>0.33</v>
      </c>
      <c r="Q37" s="1">
        <f>SUM(OGC___Away_Brazil[[#This Row],[0-15]:[31-45]])</f>
        <v>4</v>
      </c>
    </row>
    <row r="38" spans="1:17" x14ac:dyDescent="0.25">
      <c r="A38" t="s">
        <v>305</v>
      </c>
      <c r="B38" t="s">
        <v>322</v>
      </c>
      <c r="C38">
        <v>4</v>
      </c>
      <c r="D38">
        <v>35</v>
      </c>
      <c r="E38">
        <v>1</v>
      </c>
      <c r="F38">
        <v>2</v>
      </c>
      <c r="G38">
        <v>0</v>
      </c>
      <c r="H38">
        <v>0</v>
      </c>
      <c r="I38">
        <v>0</v>
      </c>
      <c r="J38">
        <v>1</v>
      </c>
      <c r="L38">
        <v>0.75</v>
      </c>
      <c r="M38" t="s">
        <v>42</v>
      </c>
      <c r="N38" t="s">
        <v>42</v>
      </c>
      <c r="O38">
        <v>0.25</v>
      </c>
      <c r="Q38" s="1">
        <f>SUM(OGC___Away_Brazil[[#This Row],[0-15]:[31-45]])</f>
        <v>3</v>
      </c>
    </row>
    <row r="39" spans="1:17" x14ac:dyDescent="0.25">
      <c r="A39" t="s">
        <v>293</v>
      </c>
      <c r="B39" t="s">
        <v>323</v>
      </c>
      <c r="C39">
        <v>4</v>
      </c>
      <c r="D39">
        <v>66</v>
      </c>
      <c r="E39">
        <v>0</v>
      </c>
      <c r="F39">
        <v>0</v>
      </c>
      <c r="G39">
        <v>0</v>
      </c>
      <c r="H39">
        <v>2</v>
      </c>
      <c r="I39">
        <v>1</v>
      </c>
      <c r="J39">
        <v>1</v>
      </c>
      <c r="L39">
        <v>0</v>
      </c>
      <c r="M39" t="s">
        <v>42</v>
      </c>
      <c r="N39" t="s">
        <v>42</v>
      </c>
      <c r="O39">
        <v>1</v>
      </c>
      <c r="Q39" s="1">
        <f>SUM(OGC___Away_Brazil[[#This Row],[0-15]:[31-45]])</f>
        <v>0</v>
      </c>
    </row>
    <row r="40" spans="1:17" x14ac:dyDescent="0.25">
      <c r="A40" t="s">
        <v>296</v>
      </c>
      <c r="B40" t="s">
        <v>322</v>
      </c>
      <c r="C40">
        <v>4</v>
      </c>
      <c r="D40">
        <v>45</v>
      </c>
      <c r="E40">
        <v>0</v>
      </c>
      <c r="F40">
        <v>2</v>
      </c>
      <c r="G40">
        <v>0</v>
      </c>
      <c r="H40">
        <v>1</v>
      </c>
      <c r="I40">
        <v>0</v>
      </c>
      <c r="J40">
        <v>1</v>
      </c>
      <c r="L40">
        <v>0.5</v>
      </c>
      <c r="M40" t="s">
        <v>42</v>
      </c>
      <c r="N40" t="s">
        <v>42</v>
      </c>
      <c r="O40">
        <v>0.5</v>
      </c>
      <c r="Q40" s="1">
        <f>SUM(OGC___Away_Brazil[[#This Row],[0-15]:[31-45]])</f>
        <v>2</v>
      </c>
    </row>
    <row r="41" spans="1:17" x14ac:dyDescent="0.25">
      <c r="A41" t="s">
        <v>295</v>
      </c>
      <c r="B41" t="s">
        <v>323</v>
      </c>
      <c r="C41">
        <v>4</v>
      </c>
      <c r="D41">
        <v>38</v>
      </c>
      <c r="E41">
        <v>1</v>
      </c>
      <c r="F41">
        <v>1</v>
      </c>
      <c r="G41">
        <v>0</v>
      </c>
      <c r="H41">
        <v>1</v>
      </c>
      <c r="I41">
        <v>1</v>
      </c>
      <c r="J41">
        <v>0</v>
      </c>
      <c r="L41">
        <v>0.5</v>
      </c>
      <c r="M41" t="s">
        <v>42</v>
      </c>
      <c r="N41" t="s">
        <v>42</v>
      </c>
      <c r="O41">
        <v>0.5</v>
      </c>
      <c r="Q41" s="1">
        <f>SUM(OGC___Away_Brazil[[#This Row],[0-15]:[31-45]])</f>
        <v>2</v>
      </c>
    </row>
    <row r="42" spans="1:17" x14ac:dyDescent="0.25">
      <c r="A42" t="s">
        <v>297</v>
      </c>
      <c r="B42" t="s">
        <v>323</v>
      </c>
      <c r="C42">
        <v>5</v>
      </c>
      <c r="D42">
        <v>16</v>
      </c>
      <c r="E42">
        <v>2</v>
      </c>
      <c r="F42">
        <v>2</v>
      </c>
      <c r="G42">
        <v>1</v>
      </c>
      <c r="H42">
        <v>0</v>
      </c>
      <c r="I42">
        <v>0</v>
      </c>
      <c r="J42">
        <v>0</v>
      </c>
      <c r="L42">
        <v>1</v>
      </c>
      <c r="M42" t="s">
        <v>42</v>
      </c>
      <c r="N42" t="s">
        <v>42</v>
      </c>
      <c r="O42">
        <v>0</v>
      </c>
      <c r="Q42" s="1">
        <f>SUM(OGC___Away_Brazil[[#This Row],[0-15]:[31-45]])</f>
        <v>5</v>
      </c>
    </row>
    <row r="43" spans="1:17" x14ac:dyDescent="0.25">
      <c r="A43" t="s">
        <v>304</v>
      </c>
      <c r="B43" t="s">
        <v>322</v>
      </c>
      <c r="C43">
        <v>6</v>
      </c>
      <c r="D43">
        <v>40</v>
      </c>
      <c r="E43">
        <v>1</v>
      </c>
      <c r="F43">
        <v>1</v>
      </c>
      <c r="G43">
        <v>0</v>
      </c>
      <c r="H43">
        <v>4</v>
      </c>
      <c r="I43">
        <v>0</v>
      </c>
      <c r="J43">
        <v>0</v>
      </c>
      <c r="L43">
        <v>0.33</v>
      </c>
      <c r="M43" t="s">
        <v>42</v>
      </c>
      <c r="N43" t="s">
        <v>42</v>
      </c>
      <c r="O43">
        <v>0.67</v>
      </c>
      <c r="Q43" s="1">
        <f>SUM(OGC___Away_Brazil[[#This Row],[0-15]:[31-45]])</f>
        <v>2</v>
      </c>
    </row>
    <row r="44" spans="1:17" x14ac:dyDescent="0.25">
      <c r="Q44" s="1" t="e">
        <f>SUM(OGC___Away_Brazil[[#This Row],[0-15]:[31-45]])</f>
        <v>#VALUE!</v>
      </c>
    </row>
    <row r="45" spans="1:17" x14ac:dyDescent="0.25">
      <c r="Q45" s="1" t="e">
        <f>SUM(OGC___Away_Brazil[[#This Row],[0-15]:[31-45]])</f>
        <v>#VALUE!</v>
      </c>
    </row>
    <row r="46" spans="1:17" x14ac:dyDescent="0.25">
      <c r="Q46" s="1" t="e">
        <f>SUM(OGC___Away_Brazil[[#This Row],[0-15]:[31-45]])</f>
        <v>#VALUE!</v>
      </c>
    </row>
    <row r="47" spans="1:17" x14ac:dyDescent="0.25">
      <c r="Q47" s="1" t="e">
        <f>SUM(OGC___Away_Brazil[[#This Row],[0-15]:[31-45]])</f>
        <v>#VALUE!</v>
      </c>
    </row>
    <row r="48" spans="1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J43"/>
  <sheetViews>
    <sheetView workbookViewId="0">
      <selection sqref="A1:J41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12" bestFit="1" customWidth="1"/>
  </cols>
  <sheetData>
    <row r="1" spans="1:10" x14ac:dyDescent="0.25">
      <c r="A1" t="s">
        <v>135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203</v>
      </c>
    </row>
    <row r="2" spans="1:10" x14ac:dyDescent="0.25">
      <c r="A2" t="s">
        <v>275</v>
      </c>
      <c r="B2">
        <v>8</v>
      </c>
      <c r="C2">
        <v>5</v>
      </c>
      <c r="D2">
        <v>2</v>
      </c>
      <c r="E2">
        <v>1</v>
      </c>
      <c r="F2">
        <v>10</v>
      </c>
      <c r="G2">
        <v>4</v>
      </c>
      <c r="H2">
        <v>6</v>
      </c>
      <c r="I2">
        <v>17</v>
      </c>
      <c r="J2" s="47">
        <f>HT_Home_Brazil[[#This Row],[W]]/HT_Home_Brazil[[#This Row],[GP]]</f>
        <v>0.625</v>
      </c>
    </row>
    <row r="3" spans="1:10" x14ac:dyDescent="0.25">
      <c r="A3" t="s">
        <v>276</v>
      </c>
      <c r="B3">
        <v>8</v>
      </c>
      <c r="C3">
        <v>5</v>
      </c>
      <c r="D3">
        <v>2</v>
      </c>
      <c r="E3">
        <v>1</v>
      </c>
      <c r="F3">
        <v>8</v>
      </c>
      <c r="G3">
        <v>3</v>
      </c>
      <c r="H3">
        <v>5</v>
      </c>
      <c r="I3">
        <v>17</v>
      </c>
      <c r="J3" s="47">
        <f>HT_Home_Brazil[[#This Row],[W]]/HT_Home_Brazil[[#This Row],[GP]]</f>
        <v>0.625</v>
      </c>
    </row>
    <row r="4" spans="1:10" x14ac:dyDescent="0.25">
      <c r="A4" t="s">
        <v>274</v>
      </c>
      <c r="B4">
        <v>8</v>
      </c>
      <c r="C4">
        <v>5</v>
      </c>
      <c r="D4">
        <v>2</v>
      </c>
      <c r="E4">
        <v>1</v>
      </c>
      <c r="F4">
        <v>9</v>
      </c>
      <c r="G4">
        <v>6</v>
      </c>
      <c r="H4">
        <v>3</v>
      </c>
      <c r="I4">
        <v>17</v>
      </c>
      <c r="J4" s="47">
        <f>HT_Home_Brazil[[#This Row],[W]]/HT_Home_Brazil[[#This Row],[GP]]</f>
        <v>0.625</v>
      </c>
    </row>
    <row r="5" spans="1:10" x14ac:dyDescent="0.25">
      <c r="A5" t="s">
        <v>282</v>
      </c>
      <c r="B5">
        <v>8</v>
      </c>
      <c r="C5">
        <v>4</v>
      </c>
      <c r="D5">
        <v>3</v>
      </c>
      <c r="E5">
        <v>1</v>
      </c>
      <c r="F5">
        <v>6</v>
      </c>
      <c r="G5">
        <v>3</v>
      </c>
      <c r="H5">
        <v>3</v>
      </c>
      <c r="I5">
        <v>15</v>
      </c>
      <c r="J5" s="47">
        <f>HT_Home_Brazil[[#This Row],[W]]/HT_Home_Brazil[[#This Row],[GP]]</f>
        <v>0.5</v>
      </c>
    </row>
    <row r="6" spans="1:10" x14ac:dyDescent="0.25">
      <c r="A6" t="s">
        <v>278</v>
      </c>
      <c r="B6">
        <v>8</v>
      </c>
      <c r="C6">
        <v>4</v>
      </c>
      <c r="D6">
        <v>3</v>
      </c>
      <c r="E6">
        <v>1</v>
      </c>
      <c r="F6">
        <v>4</v>
      </c>
      <c r="G6">
        <v>1</v>
      </c>
      <c r="H6">
        <v>3</v>
      </c>
      <c r="I6">
        <v>15</v>
      </c>
      <c r="J6" s="47">
        <f>HT_Home_Brazil[[#This Row],[W]]/HT_Home_Brazil[[#This Row],[GP]]</f>
        <v>0.5</v>
      </c>
    </row>
    <row r="7" spans="1:10" x14ac:dyDescent="0.25">
      <c r="A7" t="s">
        <v>272</v>
      </c>
      <c r="B7">
        <v>8</v>
      </c>
      <c r="C7">
        <v>3</v>
      </c>
      <c r="D7">
        <v>4</v>
      </c>
      <c r="E7">
        <v>1</v>
      </c>
      <c r="F7">
        <v>8</v>
      </c>
      <c r="G7">
        <v>5</v>
      </c>
      <c r="H7">
        <v>3</v>
      </c>
      <c r="I7">
        <v>13</v>
      </c>
      <c r="J7" s="47">
        <f>HT_Home_Brazil[[#This Row],[W]]/HT_Home_Brazil[[#This Row],[GP]]</f>
        <v>0.375</v>
      </c>
    </row>
    <row r="8" spans="1:10" x14ac:dyDescent="0.25">
      <c r="A8" t="s">
        <v>271</v>
      </c>
      <c r="B8">
        <v>7</v>
      </c>
      <c r="C8">
        <v>4</v>
      </c>
      <c r="D8">
        <v>1</v>
      </c>
      <c r="E8">
        <v>2</v>
      </c>
      <c r="F8">
        <v>5</v>
      </c>
      <c r="G8">
        <v>2</v>
      </c>
      <c r="H8">
        <v>3</v>
      </c>
      <c r="I8">
        <v>13</v>
      </c>
      <c r="J8" s="47">
        <f>HT_Home_Brazil[[#This Row],[W]]/HT_Home_Brazil[[#This Row],[GP]]</f>
        <v>0.5714285714285714</v>
      </c>
    </row>
    <row r="9" spans="1:10" x14ac:dyDescent="0.25">
      <c r="A9" t="s">
        <v>284</v>
      </c>
      <c r="B9">
        <v>8</v>
      </c>
      <c r="C9">
        <v>2</v>
      </c>
      <c r="D9">
        <v>6</v>
      </c>
      <c r="E9">
        <v>0</v>
      </c>
      <c r="F9">
        <v>5</v>
      </c>
      <c r="G9">
        <v>3</v>
      </c>
      <c r="H9">
        <v>2</v>
      </c>
      <c r="I9">
        <v>12</v>
      </c>
      <c r="J9" s="47">
        <f>HT_Home_Brazil[[#This Row],[W]]/HT_Home_Brazil[[#This Row],[GP]]</f>
        <v>0.25</v>
      </c>
    </row>
    <row r="10" spans="1:10" x14ac:dyDescent="0.25">
      <c r="A10" t="s">
        <v>273</v>
      </c>
      <c r="B10">
        <v>9</v>
      </c>
      <c r="C10">
        <v>3</v>
      </c>
      <c r="D10">
        <v>3</v>
      </c>
      <c r="E10">
        <v>3</v>
      </c>
      <c r="F10">
        <v>5</v>
      </c>
      <c r="G10">
        <v>4</v>
      </c>
      <c r="H10">
        <v>1</v>
      </c>
      <c r="I10">
        <v>12</v>
      </c>
      <c r="J10" s="47">
        <f>HT_Home_Brazil[[#This Row],[W]]/HT_Home_Brazil[[#This Row],[GP]]</f>
        <v>0.33333333333333331</v>
      </c>
    </row>
    <row r="11" spans="1:10" x14ac:dyDescent="0.25">
      <c r="A11" t="s">
        <v>279</v>
      </c>
      <c r="B11">
        <v>7</v>
      </c>
      <c r="C11">
        <v>3</v>
      </c>
      <c r="D11">
        <v>2</v>
      </c>
      <c r="E11">
        <v>2</v>
      </c>
      <c r="F11">
        <v>5</v>
      </c>
      <c r="G11">
        <v>2</v>
      </c>
      <c r="H11">
        <v>3</v>
      </c>
      <c r="I11">
        <v>11</v>
      </c>
      <c r="J11" s="47">
        <f>HT_Home_Brazil[[#This Row],[W]]/HT_Home_Brazil[[#This Row],[GP]]</f>
        <v>0.42857142857142855</v>
      </c>
    </row>
    <row r="12" spans="1:10" x14ac:dyDescent="0.25">
      <c r="A12" t="s">
        <v>286</v>
      </c>
      <c r="B12">
        <v>7</v>
      </c>
      <c r="C12">
        <v>2</v>
      </c>
      <c r="D12">
        <v>5</v>
      </c>
      <c r="E12">
        <v>0</v>
      </c>
      <c r="F12">
        <v>2</v>
      </c>
      <c r="G12">
        <v>0</v>
      </c>
      <c r="H12">
        <v>2</v>
      </c>
      <c r="I12">
        <v>11</v>
      </c>
      <c r="J12" s="47">
        <f>HT_Home_Brazil[[#This Row],[W]]/HT_Home_Brazil[[#This Row],[GP]]</f>
        <v>0.2857142857142857</v>
      </c>
    </row>
    <row r="13" spans="1:10" x14ac:dyDescent="0.25">
      <c r="A13" t="s">
        <v>281</v>
      </c>
      <c r="B13">
        <v>8</v>
      </c>
      <c r="C13">
        <v>1</v>
      </c>
      <c r="D13">
        <v>7</v>
      </c>
      <c r="E13">
        <v>0</v>
      </c>
      <c r="F13">
        <v>4</v>
      </c>
      <c r="G13">
        <v>3</v>
      </c>
      <c r="H13">
        <v>1</v>
      </c>
      <c r="I13">
        <v>10</v>
      </c>
      <c r="J13" s="47">
        <f>HT_Home_Brazil[[#This Row],[W]]/HT_Home_Brazil[[#This Row],[GP]]</f>
        <v>0.125</v>
      </c>
    </row>
    <row r="14" spans="1:10" x14ac:dyDescent="0.25">
      <c r="A14" t="s">
        <v>277</v>
      </c>
      <c r="B14">
        <v>7</v>
      </c>
      <c r="C14">
        <v>2</v>
      </c>
      <c r="D14">
        <v>4</v>
      </c>
      <c r="E14">
        <v>1</v>
      </c>
      <c r="F14">
        <v>6</v>
      </c>
      <c r="G14">
        <v>7</v>
      </c>
      <c r="H14">
        <v>-1</v>
      </c>
      <c r="I14">
        <v>10</v>
      </c>
      <c r="J14" s="47">
        <f>HT_Home_Brazil[[#This Row],[W]]/HT_Home_Brazil[[#This Row],[GP]]</f>
        <v>0.2857142857142857</v>
      </c>
    </row>
    <row r="15" spans="1:10" x14ac:dyDescent="0.25">
      <c r="A15" t="s">
        <v>283</v>
      </c>
      <c r="B15">
        <v>8</v>
      </c>
      <c r="C15">
        <v>1</v>
      </c>
      <c r="D15">
        <v>6</v>
      </c>
      <c r="E15">
        <v>1</v>
      </c>
      <c r="F15">
        <v>4</v>
      </c>
      <c r="G15">
        <v>3</v>
      </c>
      <c r="H15">
        <v>1</v>
      </c>
      <c r="I15">
        <v>9</v>
      </c>
      <c r="J15" s="47">
        <f>HT_Home_Brazil[[#This Row],[W]]/HT_Home_Brazil[[#This Row],[GP]]</f>
        <v>0.125</v>
      </c>
    </row>
    <row r="16" spans="1:10" x14ac:dyDescent="0.25">
      <c r="A16" t="s">
        <v>287</v>
      </c>
      <c r="B16">
        <v>8</v>
      </c>
      <c r="C16">
        <v>2</v>
      </c>
      <c r="D16">
        <v>3</v>
      </c>
      <c r="E16">
        <v>3</v>
      </c>
      <c r="F16">
        <v>6</v>
      </c>
      <c r="G16">
        <v>6</v>
      </c>
      <c r="H16">
        <v>0</v>
      </c>
      <c r="I16">
        <v>9</v>
      </c>
      <c r="J16" s="47">
        <f>HT_Home_Brazil[[#This Row],[W]]/HT_Home_Brazil[[#This Row],[GP]]</f>
        <v>0.25</v>
      </c>
    </row>
    <row r="17" spans="1:10" x14ac:dyDescent="0.25">
      <c r="A17" t="s">
        <v>288</v>
      </c>
      <c r="B17">
        <v>8</v>
      </c>
      <c r="C17">
        <v>2</v>
      </c>
      <c r="D17">
        <v>3</v>
      </c>
      <c r="E17">
        <v>3</v>
      </c>
      <c r="F17">
        <v>4</v>
      </c>
      <c r="G17">
        <v>5</v>
      </c>
      <c r="H17">
        <v>-1</v>
      </c>
      <c r="I17">
        <v>9</v>
      </c>
      <c r="J17" s="47">
        <f>HT_Home_Brazil[[#This Row],[W]]/HT_Home_Brazil[[#This Row],[GP]]</f>
        <v>0.25</v>
      </c>
    </row>
    <row r="18" spans="1:10" x14ac:dyDescent="0.25">
      <c r="A18" t="s">
        <v>289</v>
      </c>
      <c r="B18">
        <v>7</v>
      </c>
      <c r="C18">
        <v>1</v>
      </c>
      <c r="D18">
        <v>4</v>
      </c>
      <c r="E18">
        <v>2</v>
      </c>
      <c r="F18">
        <v>6</v>
      </c>
      <c r="G18">
        <v>9</v>
      </c>
      <c r="H18">
        <v>-3</v>
      </c>
      <c r="I18">
        <v>7</v>
      </c>
      <c r="J18" s="47">
        <f>HT_Home_Brazil[[#This Row],[W]]/HT_Home_Brazil[[#This Row],[GP]]</f>
        <v>0.14285714285714285</v>
      </c>
    </row>
    <row r="19" spans="1:10" x14ac:dyDescent="0.25">
      <c r="A19" t="s">
        <v>280</v>
      </c>
      <c r="B19">
        <v>8</v>
      </c>
      <c r="C19">
        <v>1</v>
      </c>
      <c r="D19">
        <v>4</v>
      </c>
      <c r="E19">
        <v>3</v>
      </c>
      <c r="F19">
        <v>3</v>
      </c>
      <c r="G19">
        <v>6</v>
      </c>
      <c r="H19">
        <v>-3</v>
      </c>
      <c r="I19">
        <v>7</v>
      </c>
      <c r="J19" s="47">
        <f>HT_Home_Brazil[[#This Row],[W]]/HT_Home_Brazil[[#This Row],[GP]]</f>
        <v>0.125</v>
      </c>
    </row>
    <row r="20" spans="1:10" x14ac:dyDescent="0.25">
      <c r="A20" t="s">
        <v>290</v>
      </c>
      <c r="B20">
        <v>8</v>
      </c>
      <c r="C20">
        <v>1</v>
      </c>
      <c r="D20">
        <v>3</v>
      </c>
      <c r="E20">
        <v>4</v>
      </c>
      <c r="F20">
        <v>4</v>
      </c>
      <c r="G20">
        <v>7</v>
      </c>
      <c r="H20">
        <v>-3</v>
      </c>
      <c r="I20">
        <v>6</v>
      </c>
      <c r="J20" s="47">
        <f>HT_Home_Brazil[[#This Row],[W]]/HT_Home_Brazil[[#This Row],[GP]]</f>
        <v>0.125</v>
      </c>
    </row>
    <row r="21" spans="1:10" x14ac:dyDescent="0.25">
      <c r="A21" t="s">
        <v>285</v>
      </c>
      <c r="B21">
        <v>9</v>
      </c>
      <c r="C21">
        <v>0</v>
      </c>
      <c r="D21">
        <v>5</v>
      </c>
      <c r="E21">
        <v>4</v>
      </c>
      <c r="F21">
        <v>3</v>
      </c>
      <c r="G21">
        <v>11</v>
      </c>
      <c r="H21">
        <v>-8</v>
      </c>
      <c r="I21">
        <v>5</v>
      </c>
      <c r="J21" s="47">
        <f>HT_Home_Brazil[[#This Row],[W]]/HT_Home_Brazil[[#This Row],[GP]]</f>
        <v>0</v>
      </c>
    </row>
    <row r="22" spans="1:10" x14ac:dyDescent="0.25">
      <c r="A22" t="s">
        <v>309</v>
      </c>
      <c r="B22">
        <v>10</v>
      </c>
      <c r="C22">
        <v>5</v>
      </c>
      <c r="D22">
        <v>5</v>
      </c>
      <c r="E22">
        <v>0</v>
      </c>
      <c r="F22">
        <v>5</v>
      </c>
      <c r="G22">
        <v>0</v>
      </c>
      <c r="H22">
        <v>5</v>
      </c>
      <c r="I22">
        <v>20</v>
      </c>
      <c r="J22" s="47">
        <f>HT_Home_Brazil[[#This Row],[W]]/HT_Home_Brazil[[#This Row],[GP]]</f>
        <v>0.5</v>
      </c>
    </row>
    <row r="23" spans="1:10" x14ac:dyDescent="0.25">
      <c r="A23" t="s">
        <v>296</v>
      </c>
      <c r="B23">
        <v>9</v>
      </c>
      <c r="C23">
        <v>5</v>
      </c>
      <c r="D23">
        <v>3</v>
      </c>
      <c r="E23">
        <v>1</v>
      </c>
      <c r="F23">
        <v>9</v>
      </c>
      <c r="G23">
        <v>2</v>
      </c>
      <c r="H23">
        <v>7</v>
      </c>
      <c r="I23">
        <v>18</v>
      </c>
      <c r="J23" s="47">
        <f>HT_Home_Brazil[[#This Row],[W]]/HT_Home_Brazil[[#This Row],[GP]]</f>
        <v>0.55555555555555558</v>
      </c>
    </row>
    <row r="24" spans="1:10" x14ac:dyDescent="0.25">
      <c r="A24" t="s">
        <v>297</v>
      </c>
      <c r="B24">
        <v>10</v>
      </c>
      <c r="C24">
        <v>5</v>
      </c>
      <c r="D24">
        <v>3</v>
      </c>
      <c r="E24">
        <v>2</v>
      </c>
      <c r="F24">
        <v>7</v>
      </c>
      <c r="G24">
        <v>2</v>
      </c>
      <c r="H24">
        <v>5</v>
      </c>
      <c r="I24">
        <v>18</v>
      </c>
      <c r="J24" s="47">
        <f>HT_Home_Brazil[[#This Row],[W]]/HT_Home_Brazil[[#This Row],[GP]]</f>
        <v>0.5</v>
      </c>
    </row>
    <row r="25" spans="1:10" x14ac:dyDescent="0.25">
      <c r="A25" t="s">
        <v>291</v>
      </c>
      <c r="B25">
        <v>10</v>
      </c>
      <c r="C25">
        <v>5</v>
      </c>
      <c r="D25">
        <v>3</v>
      </c>
      <c r="E25">
        <v>2</v>
      </c>
      <c r="F25">
        <v>8</v>
      </c>
      <c r="G25">
        <v>5</v>
      </c>
      <c r="H25">
        <v>3</v>
      </c>
      <c r="I25">
        <v>18</v>
      </c>
      <c r="J25" s="47">
        <f>HT_Home_Brazil[[#This Row],[W]]/HT_Home_Brazil[[#This Row],[GP]]</f>
        <v>0.5</v>
      </c>
    </row>
    <row r="26" spans="1:10" x14ac:dyDescent="0.25">
      <c r="A26" t="s">
        <v>299</v>
      </c>
      <c r="B26">
        <v>10</v>
      </c>
      <c r="C26">
        <v>5</v>
      </c>
      <c r="D26">
        <v>2</v>
      </c>
      <c r="E26">
        <v>3</v>
      </c>
      <c r="F26">
        <v>11</v>
      </c>
      <c r="G26">
        <v>6</v>
      </c>
      <c r="H26">
        <v>5</v>
      </c>
      <c r="I26">
        <v>17</v>
      </c>
      <c r="J26" s="47">
        <f>HT_Home_Brazil[[#This Row],[W]]/HT_Home_Brazil[[#This Row],[GP]]</f>
        <v>0.5</v>
      </c>
    </row>
    <row r="27" spans="1:10" x14ac:dyDescent="0.25">
      <c r="A27" t="s">
        <v>298</v>
      </c>
      <c r="B27">
        <v>9</v>
      </c>
      <c r="C27">
        <v>5</v>
      </c>
      <c r="D27">
        <v>2</v>
      </c>
      <c r="E27">
        <v>2</v>
      </c>
      <c r="F27">
        <v>8</v>
      </c>
      <c r="G27">
        <v>4</v>
      </c>
      <c r="H27">
        <v>4</v>
      </c>
      <c r="I27">
        <v>17</v>
      </c>
      <c r="J27" s="47">
        <f>HT_Home_Brazil[[#This Row],[W]]/HT_Home_Brazil[[#This Row],[GP]]</f>
        <v>0.55555555555555558</v>
      </c>
    </row>
    <row r="28" spans="1:10" x14ac:dyDescent="0.25">
      <c r="A28" t="s">
        <v>294</v>
      </c>
      <c r="B28">
        <v>9</v>
      </c>
      <c r="C28">
        <v>4</v>
      </c>
      <c r="D28">
        <v>4</v>
      </c>
      <c r="E28">
        <v>1</v>
      </c>
      <c r="F28">
        <v>9</v>
      </c>
      <c r="G28">
        <v>6</v>
      </c>
      <c r="H28">
        <v>3</v>
      </c>
      <c r="I28">
        <v>16</v>
      </c>
      <c r="J28" s="47">
        <f>HT_Home_Brazil[[#This Row],[W]]/HT_Home_Brazil[[#This Row],[GP]]</f>
        <v>0.44444444444444442</v>
      </c>
    </row>
    <row r="29" spans="1:10" x14ac:dyDescent="0.25">
      <c r="A29" t="s">
        <v>292</v>
      </c>
      <c r="B29">
        <v>10</v>
      </c>
      <c r="C29">
        <v>4</v>
      </c>
      <c r="D29">
        <v>4</v>
      </c>
      <c r="E29">
        <v>2</v>
      </c>
      <c r="F29">
        <v>8</v>
      </c>
      <c r="G29">
        <v>5</v>
      </c>
      <c r="H29">
        <v>3</v>
      </c>
      <c r="I29">
        <v>16</v>
      </c>
      <c r="J29" s="47">
        <f>HT_Home_Brazil[[#This Row],[W]]/HT_Home_Brazil[[#This Row],[GP]]</f>
        <v>0.4</v>
      </c>
    </row>
    <row r="30" spans="1:10" x14ac:dyDescent="0.25">
      <c r="A30" t="s">
        <v>293</v>
      </c>
      <c r="B30">
        <v>10</v>
      </c>
      <c r="C30">
        <v>4</v>
      </c>
      <c r="D30">
        <v>4</v>
      </c>
      <c r="E30">
        <v>2</v>
      </c>
      <c r="F30">
        <v>6</v>
      </c>
      <c r="G30">
        <v>3</v>
      </c>
      <c r="H30">
        <v>3</v>
      </c>
      <c r="I30">
        <v>16</v>
      </c>
      <c r="J30" s="47">
        <f>HT_Home_Brazil[[#This Row],[W]]/HT_Home_Brazil[[#This Row],[GP]]</f>
        <v>0.4</v>
      </c>
    </row>
    <row r="31" spans="1:10" x14ac:dyDescent="0.25">
      <c r="A31" t="s">
        <v>306</v>
      </c>
      <c r="B31">
        <v>10</v>
      </c>
      <c r="C31">
        <v>3</v>
      </c>
      <c r="D31">
        <v>6</v>
      </c>
      <c r="E31">
        <v>1</v>
      </c>
      <c r="F31">
        <v>8</v>
      </c>
      <c r="G31">
        <v>5</v>
      </c>
      <c r="H31">
        <v>3</v>
      </c>
      <c r="I31">
        <v>15</v>
      </c>
      <c r="J31" s="47">
        <f>HT_Home_Brazil[[#This Row],[W]]/HT_Home_Brazil[[#This Row],[GP]]</f>
        <v>0.3</v>
      </c>
    </row>
    <row r="32" spans="1:10" x14ac:dyDescent="0.25">
      <c r="A32" t="s">
        <v>304</v>
      </c>
      <c r="B32">
        <v>9</v>
      </c>
      <c r="C32">
        <v>4</v>
      </c>
      <c r="D32">
        <v>2</v>
      </c>
      <c r="E32">
        <v>3</v>
      </c>
      <c r="F32">
        <v>7</v>
      </c>
      <c r="G32">
        <v>6</v>
      </c>
      <c r="H32">
        <v>1</v>
      </c>
      <c r="I32">
        <v>14</v>
      </c>
      <c r="J32" s="47">
        <f>HT_Home_Brazil[[#This Row],[W]]/HT_Home_Brazil[[#This Row],[GP]]</f>
        <v>0.44444444444444442</v>
      </c>
    </row>
    <row r="33" spans="1:10" x14ac:dyDescent="0.25">
      <c r="A33" t="s">
        <v>302</v>
      </c>
      <c r="B33">
        <v>10</v>
      </c>
      <c r="C33">
        <v>3</v>
      </c>
      <c r="D33">
        <v>5</v>
      </c>
      <c r="E33">
        <v>2</v>
      </c>
      <c r="F33">
        <v>5</v>
      </c>
      <c r="G33">
        <v>4</v>
      </c>
      <c r="H33">
        <v>1</v>
      </c>
      <c r="I33">
        <v>14</v>
      </c>
      <c r="J33" s="47">
        <f>HT_Home_Brazil[[#This Row],[W]]/HT_Home_Brazil[[#This Row],[GP]]</f>
        <v>0.3</v>
      </c>
    </row>
    <row r="34" spans="1:10" x14ac:dyDescent="0.25">
      <c r="A34" t="s">
        <v>303</v>
      </c>
      <c r="B34">
        <v>9</v>
      </c>
      <c r="C34">
        <v>4</v>
      </c>
      <c r="D34">
        <v>2</v>
      </c>
      <c r="E34">
        <v>3</v>
      </c>
      <c r="F34">
        <v>6</v>
      </c>
      <c r="G34">
        <v>6</v>
      </c>
      <c r="H34">
        <v>0</v>
      </c>
      <c r="I34">
        <v>14</v>
      </c>
      <c r="J34" s="47">
        <f>HT_Home_Brazil[[#This Row],[W]]/HT_Home_Brazil[[#This Row],[GP]]</f>
        <v>0.44444444444444442</v>
      </c>
    </row>
    <row r="35" spans="1:10" x14ac:dyDescent="0.25">
      <c r="A35" t="s">
        <v>308</v>
      </c>
      <c r="B35">
        <v>9</v>
      </c>
      <c r="C35">
        <v>3</v>
      </c>
      <c r="D35">
        <v>4</v>
      </c>
      <c r="E35">
        <v>2</v>
      </c>
      <c r="F35">
        <v>5</v>
      </c>
      <c r="G35">
        <v>3</v>
      </c>
      <c r="H35">
        <v>2</v>
      </c>
      <c r="I35">
        <v>13</v>
      </c>
      <c r="J35" s="47">
        <f>HT_Home_Brazil[[#This Row],[W]]/HT_Home_Brazil[[#This Row],[GP]]</f>
        <v>0.33333333333333331</v>
      </c>
    </row>
    <row r="36" spans="1:10" x14ac:dyDescent="0.25">
      <c r="A36" t="s">
        <v>295</v>
      </c>
      <c r="B36">
        <v>9</v>
      </c>
      <c r="C36">
        <v>3</v>
      </c>
      <c r="D36">
        <v>4</v>
      </c>
      <c r="E36">
        <v>2</v>
      </c>
      <c r="F36">
        <v>4</v>
      </c>
      <c r="G36">
        <v>2</v>
      </c>
      <c r="H36">
        <v>2</v>
      </c>
      <c r="I36">
        <v>13</v>
      </c>
      <c r="J36" s="47">
        <f>HT_Home_Brazil[[#This Row],[W]]/HT_Home_Brazil[[#This Row],[GP]]</f>
        <v>0.33333333333333331</v>
      </c>
    </row>
    <row r="37" spans="1:10" x14ac:dyDescent="0.25">
      <c r="A37" t="s">
        <v>301</v>
      </c>
      <c r="B37">
        <v>10</v>
      </c>
      <c r="C37">
        <v>3</v>
      </c>
      <c r="D37">
        <v>3</v>
      </c>
      <c r="E37">
        <v>4</v>
      </c>
      <c r="F37">
        <v>5</v>
      </c>
      <c r="G37">
        <v>5</v>
      </c>
      <c r="H37">
        <v>0</v>
      </c>
      <c r="I37">
        <v>12</v>
      </c>
      <c r="J37" s="47">
        <f>HT_Home_Brazil[[#This Row],[W]]/HT_Home_Brazil[[#This Row],[GP]]</f>
        <v>0.3</v>
      </c>
    </row>
    <row r="38" spans="1:10" x14ac:dyDescent="0.25">
      <c r="A38" t="s">
        <v>300</v>
      </c>
      <c r="B38">
        <v>9</v>
      </c>
      <c r="C38">
        <v>2</v>
      </c>
      <c r="D38">
        <v>5</v>
      </c>
      <c r="E38">
        <v>2</v>
      </c>
      <c r="F38">
        <v>3</v>
      </c>
      <c r="G38">
        <v>3</v>
      </c>
      <c r="H38">
        <v>0</v>
      </c>
      <c r="I38">
        <v>11</v>
      </c>
      <c r="J38" s="47">
        <f>HT_Home_Brazil[[#This Row],[W]]/HT_Home_Brazil[[#This Row],[GP]]</f>
        <v>0.22222222222222221</v>
      </c>
    </row>
    <row r="39" spans="1:10" x14ac:dyDescent="0.25">
      <c r="A39" t="s">
        <v>305</v>
      </c>
      <c r="B39">
        <v>9</v>
      </c>
      <c r="C39">
        <v>2</v>
      </c>
      <c r="D39">
        <v>4</v>
      </c>
      <c r="E39">
        <v>3</v>
      </c>
      <c r="F39">
        <v>2</v>
      </c>
      <c r="G39">
        <v>3</v>
      </c>
      <c r="H39">
        <v>-1</v>
      </c>
      <c r="I39">
        <v>10</v>
      </c>
      <c r="J39" s="47">
        <f>HT_Home_Brazil[[#This Row],[W]]/HT_Home_Brazil[[#This Row],[GP]]</f>
        <v>0.22222222222222221</v>
      </c>
    </row>
    <row r="40" spans="1:10" x14ac:dyDescent="0.25">
      <c r="A40" t="s">
        <v>311</v>
      </c>
      <c r="B40">
        <v>9</v>
      </c>
      <c r="C40">
        <v>2</v>
      </c>
      <c r="D40">
        <v>3</v>
      </c>
      <c r="E40">
        <v>4</v>
      </c>
      <c r="F40">
        <v>2</v>
      </c>
      <c r="G40">
        <v>5</v>
      </c>
      <c r="H40">
        <v>-3</v>
      </c>
      <c r="I40">
        <v>9</v>
      </c>
      <c r="J40" s="47">
        <f>HT_Home_Brazil[[#This Row],[W]]/HT_Home_Brazil[[#This Row],[GP]]</f>
        <v>0.22222222222222221</v>
      </c>
    </row>
    <row r="41" spans="1:10" x14ac:dyDescent="0.25">
      <c r="A41" t="s">
        <v>310</v>
      </c>
      <c r="B41">
        <v>10</v>
      </c>
      <c r="C41">
        <v>1</v>
      </c>
      <c r="D41">
        <v>6</v>
      </c>
      <c r="E41">
        <v>3</v>
      </c>
      <c r="F41">
        <v>1</v>
      </c>
      <c r="G41">
        <v>4</v>
      </c>
      <c r="H41">
        <v>-3</v>
      </c>
      <c r="I41">
        <v>9</v>
      </c>
      <c r="J41" s="47"/>
    </row>
    <row r="42" spans="1:10" x14ac:dyDescent="0.25">
      <c r="A42" t="s">
        <v>307</v>
      </c>
      <c r="B42">
        <v>9</v>
      </c>
      <c r="C42">
        <v>0</v>
      </c>
      <c r="D42">
        <v>8</v>
      </c>
      <c r="E42">
        <v>1</v>
      </c>
      <c r="F42">
        <v>1</v>
      </c>
      <c r="G42">
        <v>2</v>
      </c>
      <c r="H42">
        <v>-1</v>
      </c>
      <c r="I42">
        <v>8</v>
      </c>
    </row>
    <row r="43" spans="1:10" x14ac:dyDescent="0.25">
      <c r="A43" t="s">
        <v>312</v>
      </c>
      <c r="B43">
        <v>9</v>
      </c>
      <c r="C43">
        <v>1</v>
      </c>
      <c r="D43">
        <v>3</v>
      </c>
      <c r="E43">
        <v>5</v>
      </c>
      <c r="F43">
        <v>4</v>
      </c>
      <c r="G43">
        <v>8</v>
      </c>
      <c r="H43">
        <v>-4</v>
      </c>
      <c r="I43">
        <v>6</v>
      </c>
      <c r="J43">
        <f>HT_Home_Brazil[[#This Row],[W]]/HT_Home_Brazil[[#This Row],[GP]]</f>
        <v>0.1111111111111111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/>
  <dimension ref="A1:J43"/>
  <sheetViews>
    <sheetView workbookViewId="0">
      <selection sqref="A1:J41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136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203</v>
      </c>
    </row>
    <row r="2" spans="1:10" x14ac:dyDescent="0.25">
      <c r="A2" t="s">
        <v>276</v>
      </c>
      <c r="B2">
        <v>8</v>
      </c>
      <c r="C2">
        <v>3</v>
      </c>
      <c r="D2">
        <v>4</v>
      </c>
      <c r="E2">
        <v>1</v>
      </c>
      <c r="F2">
        <v>7</v>
      </c>
      <c r="G2">
        <v>3</v>
      </c>
      <c r="H2">
        <v>4</v>
      </c>
      <c r="I2">
        <v>13</v>
      </c>
      <c r="J2" s="48">
        <f>HT_Away[[#This Row],[W]]/HT_Away[[#This Row],[GP]]</f>
        <v>0.375</v>
      </c>
    </row>
    <row r="3" spans="1:10" x14ac:dyDescent="0.25">
      <c r="A3" t="s">
        <v>271</v>
      </c>
      <c r="B3">
        <v>9</v>
      </c>
      <c r="C3">
        <v>3</v>
      </c>
      <c r="D3">
        <v>4</v>
      </c>
      <c r="E3">
        <v>2</v>
      </c>
      <c r="F3">
        <v>7</v>
      </c>
      <c r="G3">
        <v>4</v>
      </c>
      <c r="H3">
        <v>3</v>
      </c>
      <c r="I3">
        <v>13</v>
      </c>
      <c r="J3" s="48">
        <f>HT_Away[[#This Row],[W]]/HT_Away[[#This Row],[GP]]</f>
        <v>0.33333333333333331</v>
      </c>
    </row>
    <row r="4" spans="1:10" x14ac:dyDescent="0.25">
      <c r="A4" t="s">
        <v>282</v>
      </c>
      <c r="B4">
        <v>8</v>
      </c>
      <c r="C4">
        <v>3</v>
      </c>
      <c r="D4">
        <v>4</v>
      </c>
      <c r="E4">
        <v>1</v>
      </c>
      <c r="F4">
        <v>5</v>
      </c>
      <c r="G4">
        <v>4</v>
      </c>
      <c r="H4">
        <v>1</v>
      </c>
      <c r="I4">
        <v>13</v>
      </c>
      <c r="J4" s="48">
        <f>HT_Away[[#This Row],[W]]/HT_Away[[#This Row],[GP]]</f>
        <v>0.375</v>
      </c>
    </row>
    <row r="5" spans="1:10" x14ac:dyDescent="0.25">
      <c r="A5" t="s">
        <v>286</v>
      </c>
      <c r="B5">
        <v>9</v>
      </c>
      <c r="C5">
        <v>3</v>
      </c>
      <c r="D5">
        <v>4</v>
      </c>
      <c r="E5">
        <v>2</v>
      </c>
      <c r="F5">
        <v>3</v>
      </c>
      <c r="G5">
        <v>2</v>
      </c>
      <c r="H5">
        <v>1</v>
      </c>
      <c r="I5">
        <v>13</v>
      </c>
      <c r="J5" s="48">
        <f>HT_Away[[#This Row],[W]]/HT_Away[[#This Row],[GP]]</f>
        <v>0.33333333333333331</v>
      </c>
    </row>
    <row r="6" spans="1:10" x14ac:dyDescent="0.25">
      <c r="A6" t="s">
        <v>274</v>
      </c>
      <c r="B6">
        <v>7</v>
      </c>
      <c r="C6">
        <v>3</v>
      </c>
      <c r="D6">
        <v>3</v>
      </c>
      <c r="E6">
        <v>1</v>
      </c>
      <c r="F6">
        <v>6</v>
      </c>
      <c r="G6">
        <v>1</v>
      </c>
      <c r="H6">
        <v>5</v>
      </c>
      <c r="I6">
        <v>12</v>
      </c>
      <c r="J6" s="48">
        <f>HT_Away[[#This Row],[W]]/HT_Away[[#This Row],[GP]]</f>
        <v>0.42857142857142855</v>
      </c>
    </row>
    <row r="7" spans="1:10" x14ac:dyDescent="0.25">
      <c r="A7" t="s">
        <v>272</v>
      </c>
      <c r="B7">
        <v>8</v>
      </c>
      <c r="C7">
        <v>2</v>
      </c>
      <c r="D7">
        <v>5</v>
      </c>
      <c r="E7">
        <v>1</v>
      </c>
      <c r="F7">
        <v>8</v>
      </c>
      <c r="G7">
        <v>5</v>
      </c>
      <c r="H7">
        <v>3</v>
      </c>
      <c r="I7">
        <v>11</v>
      </c>
      <c r="J7" s="48">
        <f>HT_Away[[#This Row],[W]]/HT_Away[[#This Row],[GP]]</f>
        <v>0.25</v>
      </c>
    </row>
    <row r="8" spans="1:10" x14ac:dyDescent="0.25">
      <c r="A8" t="s">
        <v>277</v>
      </c>
      <c r="B8">
        <v>8</v>
      </c>
      <c r="C8">
        <v>2</v>
      </c>
      <c r="D8">
        <v>5</v>
      </c>
      <c r="E8">
        <v>1</v>
      </c>
      <c r="F8">
        <v>4</v>
      </c>
      <c r="G8">
        <v>1</v>
      </c>
      <c r="H8">
        <v>3</v>
      </c>
      <c r="I8">
        <v>11</v>
      </c>
      <c r="J8" s="48">
        <f>HT_Away[[#This Row],[W]]/HT_Away[[#This Row],[GP]]</f>
        <v>0.25</v>
      </c>
    </row>
    <row r="9" spans="1:10" x14ac:dyDescent="0.25">
      <c r="A9" t="s">
        <v>275</v>
      </c>
      <c r="B9">
        <v>7</v>
      </c>
      <c r="C9">
        <v>3</v>
      </c>
      <c r="D9">
        <v>2</v>
      </c>
      <c r="E9">
        <v>2</v>
      </c>
      <c r="F9">
        <v>5</v>
      </c>
      <c r="G9">
        <v>3</v>
      </c>
      <c r="H9">
        <v>2</v>
      </c>
      <c r="I9">
        <v>11</v>
      </c>
      <c r="J9" s="48">
        <f>HT_Away[[#This Row],[W]]/HT_Away[[#This Row],[GP]]</f>
        <v>0.42857142857142855</v>
      </c>
    </row>
    <row r="10" spans="1:10" x14ac:dyDescent="0.25">
      <c r="A10" t="s">
        <v>280</v>
      </c>
      <c r="B10">
        <v>8</v>
      </c>
      <c r="C10">
        <v>3</v>
      </c>
      <c r="D10">
        <v>2</v>
      </c>
      <c r="E10">
        <v>3</v>
      </c>
      <c r="F10">
        <v>4</v>
      </c>
      <c r="G10">
        <v>4</v>
      </c>
      <c r="H10">
        <v>0</v>
      </c>
      <c r="I10">
        <v>11</v>
      </c>
      <c r="J10" s="48">
        <f>HT_Away[[#This Row],[W]]/HT_Away[[#This Row],[GP]]</f>
        <v>0.375</v>
      </c>
    </row>
    <row r="11" spans="1:10" x14ac:dyDescent="0.25">
      <c r="A11" t="s">
        <v>288</v>
      </c>
      <c r="B11">
        <v>7</v>
      </c>
      <c r="C11">
        <v>2</v>
      </c>
      <c r="D11">
        <v>4</v>
      </c>
      <c r="E11">
        <v>1</v>
      </c>
      <c r="F11">
        <v>5</v>
      </c>
      <c r="G11">
        <v>3</v>
      </c>
      <c r="H11">
        <v>2</v>
      </c>
      <c r="I11">
        <v>10</v>
      </c>
      <c r="J11" s="48">
        <f>HT_Away[[#This Row],[W]]/HT_Away[[#This Row],[GP]]</f>
        <v>0.2857142857142857</v>
      </c>
    </row>
    <row r="12" spans="1:10" x14ac:dyDescent="0.25">
      <c r="A12" t="s">
        <v>281</v>
      </c>
      <c r="B12">
        <v>8</v>
      </c>
      <c r="C12">
        <v>2</v>
      </c>
      <c r="D12">
        <v>3</v>
      </c>
      <c r="E12">
        <v>3</v>
      </c>
      <c r="F12">
        <v>6</v>
      </c>
      <c r="G12">
        <v>7</v>
      </c>
      <c r="H12">
        <v>-1</v>
      </c>
      <c r="I12">
        <v>9</v>
      </c>
      <c r="J12" s="48">
        <f>HT_Away[[#This Row],[W]]/HT_Away[[#This Row],[GP]]</f>
        <v>0.25</v>
      </c>
    </row>
    <row r="13" spans="1:10" x14ac:dyDescent="0.25">
      <c r="A13" t="s">
        <v>285</v>
      </c>
      <c r="B13">
        <v>7</v>
      </c>
      <c r="C13">
        <v>1</v>
      </c>
      <c r="D13">
        <v>5</v>
      </c>
      <c r="E13">
        <v>1</v>
      </c>
      <c r="F13">
        <v>6</v>
      </c>
      <c r="G13">
        <v>6</v>
      </c>
      <c r="H13">
        <v>0</v>
      </c>
      <c r="I13">
        <v>8</v>
      </c>
      <c r="J13" s="48">
        <f>HT_Away[[#This Row],[W]]/HT_Away[[#This Row],[GP]]</f>
        <v>0.14285714285714285</v>
      </c>
    </row>
    <row r="14" spans="1:10" x14ac:dyDescent="0.25">
      <c r="A14" t="s">
        <v>278</v>
      </c>
      <c r="B14">
        <v>8</v>
      </c>
      <c r="C14">
        <v>1</v>
      </c>
      <c r="D14">
        <v>5</v>
      </c>
      <c r="E14">
        <v>2</v>
      </c>
      <c r="F14">
        <v>5</v>
      </c>
      <c r="G14">
        <v>7</v>
      </c>
      <c r="H14">
        <v>-2</v>
      </c>
      <c r="I14">
        <v>8</v>
      </c>
      <c r="J14" s="48">
        <f>HT_Away[[#This Row],[W]]/HT_Away[[#This Row],[GP]]</f>
        <v>0.125</v>
      </c>
    </row>
    <row r="15" spans="1:10" x14ac:dyDescent="0.25">
      <c r="A15" t="s">
        <v>279</v>
      </c>
      <c r="B15">
        <v>9</v>
      </c>
      <c r="C15">
        <v>1</v>
      </c>
      <c r="D15">
        <v>4</v>
      </c>
      <c r="E15">
        <v>4</v>
      </c>
      <c r="F15">
        <v>2</v>
      </c>
      <c r="G15">
        <v>6</v>
      </c>
      <c r="H15">
        <v>-4</v>
      </c>
      <c r="I15">
        <v>7</v>
      </c>
      <c r="J15" s="48">
        <f>HT_Away[[#This Row],[W]]/HT_Away[[#This Row],[GP]]</f>
        <v>0.1111111111111111</v>
      </c>
    </row>
    <row r="16" spans="1:10" x14ac:dyDescent="0.25">
      <c r="A16" t="s">
        <v>273</v>
      </c>
      <c r="B16">
        <v>7</v>
      </c>
      <c r="C16">
        <v>1</v>
      </c>
      <c r="D16">
        <v>3</v>
      </c>
      <c r="E16">
        <v>3</v>
      </c>
      <c r="F16">
        <v>5</v>
      </c>
      <c r="G16">
        <v>7</v>
      </c>
      <c r="H16">
        <v>-2</v>
      </c>
      <c r="I16">
        <v>6</v>
      </c>
      <c r="J16" s="48">
        <f>HT_Away[[#This Row],[W]]/HT_Away[[#This Row],[GP]]</f>
        <v>0.14285714285714285</v>
      </c>
    </row>
    <row r="17" spans="1:10" x14ac:dyDescent="0.25">
      <c r="A17" t="s">
        <v>287</v>
      </c>
      <c r="B17">
        <v>8</v>
      </c>
      <c r="C17">
        <v>1</v>
      </c>
      <c r="D17">
        <v>3</v>
      </c>
      <c r="E17">
        <v>4</v>
      </c>
      <c r="F17">
        <v>1</v>
      </c>
      <c r="G17">
        <v>5</v>
      </c>
      <c r="H17">
        <v>-4</v>
      </c>
      <c r="I17">
        <v>6</v>
      </c>
      <c r="J17" s="48">
        <f>HT_Away[[#This Row],[W]]/HT_Away[[#This Row],[GP]]</f>
        <v>0.125</v>
      </c>
    </row>
    <row r="18" spans="1:10" x14ac:dyDescent="0.25">
      <c r="A18" t="s">
        <v>284</v>
      </c>
      <c r="B18">
        <v>8</v>
      </c>
      <c r="C18">
        <v>0</v>
      </c>
      <c r="D18">
        <v>5</v>
      </c>
      <c r="E18">
        <v>3</v>
      </c>
      <c r="F18">
        <v>3</v>
      </c>
      <c r="G18">
        <v>8</v>
      </c>
      <c r="H18">
        <v>-5</v>
      </c>
      <c r="I18">
        <v>5</v>
      </c>
      <c r="J18" s="48">
        <f>HT_Away[[#This Row],[W]]/HT_Away[[#This Row],[GP]]</f>
        <v>0</v>
      </c>
    </row>
    <row r="19" spans="1:10" x14ac:dyDescent="0.25">
      <c r="A19" t="s">
        <v>283</v>
      </c>
      <c r="B19">
        <v>7</v>
      </c>
      <c r="C19">
        <v>0</v>
      </c>
      <c r="D19">
        <v>3</v>
      </c>
      <c r="E19">
        <v>4</v>
      </c>
      <c r="F19">
        <v>3</v>
      </c>
      <c r="G19">
        <v>8</v>
      </c>
      <c r="H19">
        <v>-5</v>
      </c>
      <c r="I19">
        <v>3</v>
      </c>
      <c r="J19" s="48">
        <f>HT_Away[[#This Row],[W]]/HT_Away[[#This Row],[GP]]</f>
        <v>0</v>
      </c>
    </row>
    <row r="20" spans="1:10" x14ac:dyDescent="0.25">
      <c r="A20" t="s">
        <v>290</v>
      </c>
      <c r="B20">
        <v>8</v>
      </c>
      <c r="C20">
        <v>0</v>
      </c>
      <c r="D20">
        <v>3</v>
      </c>
      <c r="E20">
        <v>5</v>
      </c>
      <c r="F20">
        <v>4</v>
      </c>
      <c r="G20">
        <v>12</v>
      </c>
      <c r="H20">
        <v>-8</v>
      </c>
      <c r="I20">
        <v>3</v>
      </c>
      <c r="J20" s="48">
        <f>HT_Away[[#This Row],[W]]/HT_Away[[#This Row],[GP]]</f>
        <v>0</v>
      </c>
    </row>
    <row r="21" spans="1:10" x14ac:dyDescent="0.25">
      <c r="A21" t="s">
        <v>289</v>
      </c>
      <c r="B21">
        <v>8</v>
      </c>
      <c r="C21">
        <v>0</v>
      </c>
      <c r="D21">
        <v>1</v>
      </c>
      <c r="E21">
        <v>7</v>
      </c>
      <c r="F21">
        <v>1</v>
      </c>
      <c r="G21">
        <v>11</v>
      </c>
      <c r="H21">
        <v>-10</v>
      </c>
      <c r="I21">
        <v>1</v>
      </c>
      <c r="J21" s="48">
        <f>HT_Away[[#This Row],[W]]/HT_Away[[#This Row],[GP]]</f>
        <v>0</v>
      </c>
    </row>
    <row r="22" spans="1:10" x14ac:dyDescent="0.25">
      <c r="A22" t="s">
        <v>294</v>
      </c>
      <c r="B22">
        <v>10</v>
      </c>
      <c r="C22">
        <v>5</v>
      </c>
      <c r="D22">
        <v>5</v>
      </c>
      <c r="E22">
        <v>0</v>
      </c>
      <c r="F22">
        <v>6</v>
      </c>
      <c r="G22">
        <v>1</v>
      </c>
      <c r="H22">
        <v>5</v>
      </c>
      <c r="I22">
        <v>20</v>
      </c>
      <c r="J22" s="48">
        <f>HT_Away[[#This Row],[W]]/HT_Away[[#This Row],[GP]]</f>
        <v>0.5</v>
      </c>
    </row>
    <row r="23" spans="1:10" x14ac:dyDescent="0.25">
      <c r="A23" t="s">
        <v>293</v>
      </c>
      <c r="B23">
        <v>9</v>
      </c>
      <c r="C23">
        <v>4</v>
      </c>
      <c r="D23">
        <v>5</v>
      </c>
      <c r="E23">
        <v>0</v>
      </c>
      <c r="F23">
        <v>5</v>
      </c>
      <c r="G23">
        <v>1</v>
      </c>
      <c r="H23">
        <v>4</v>
      </c>
      <c r="I23">
        <v>17</v>
      </c>
      <c r="J23" s="48">
        <f>HT_Away[[#This Row],[W]]/HT_Away[[#This Row],[GP]]</f>
        <v>0.44444444444444442</v>
      </c>
    </row>
    <row r="24" spans="1:10" x14ac:dyDescent="0.25">
      <c r="A24" t="s">
        <v>310</v>
      </c>
      <c r="B24">
        <v>9</v>
      </c>
      <c r="C24">
        <v>3</v>
      </c>
      <c r="D24">
        <v>5</v>
      </c>
      <c r="E24">
        <v>1</v>
      </c>
      <c r="F24">
        <v>5</v>
      </c>
      <c r="G24">
        <v>2</v>
      </c>
      <c r="H24">
        <v>3</v>
      </c>
      <c r="I24">
        <v>14</v>
      </c>
      <c r="J24" s="48">
        <f>HT_Away[[#This Row],[W]]/HT_Away[[#This Row],[GP]]</f>
        <v>0.33333333333333331</v>
      </c>
    </row>
    <row r="25" spans="1:10" x14ac:dyDescent="0.25">
      <c r="A25" t="s">
        <v>304</v>
      </c>
      <c r="B25">
        <v>10</v>
      </c>
      <c r="C25">
        <v>3</v>
      </c>
      <c r="D25">
        <v>5</v>
      </c>
      <c r="E25">
        <v>2</v>
      </c>
      <c r="F25">
        <v>4</v>
      </c>
      <c r="G25">
        <v>2</v>
      </c>
      <c r="H25">
        <v>2</v>
      </c>
      <c r="I25">
        <v>14</v>
      </c>
      <c r="J25" s="48">
        <f>HT_Away[[#This Row],[W]]/HT_Away[[#This Row],[GP]]</f>
        <v>0.3</v>
      </c>
    </row>
    <row r="26" spans="1:10" x14ac:dyDescent="0.25">
      <c r="A26" t="s">
        <v>311</v>
      </c>
      <c r="B26">
        <v>9</v>
      </c>
      <c r="C26">
        <v>4</v>
      </c>
      <c r="D26">
        <v>2</v>
      </c>
      <c r="E26">
        <v>3</v>
      </c>
      <c r="F26">
        <v>6</v>
      </c>
      <c r="G26">
        <v>5</v>
      </c>
      <c r="H26">
        <v>1</v>
      </c>
      <c r="I26">
        <v>14</v>
      </c>
      <c r="J26" s="48">
        <f>HT_Away[[#This Row],[W]]/HT_Away[[#This Row],[GP]]</f>
        <v>0.44444444444444442</v>
      </c>
    </row>
    <row r="27" spans="1:10" x14ac:dyDescent="0.25">
      <c r="A27" t="s">
        <v>300</v>
      </c>
      <c r="B27">
        <v>10</v>
      </c>
      <c r="C27">
        <v>3</v>
      </c>
      <c r="D27">
        <v>4</v>
      </c>
      <c r="E27">
        <v>3</v>
      </c>
      <c r="F27">
        <v>7</v>
      </c>
      <c r="G27">
        <v>6</v>
      </c>
      <c r="H27">
        <v>1</v>
      </c>
      <c r="I27">
        <v>13</v>
      </c>
      <c r="J27" s="48">
        <f>HT_Away[[#This Row],[W]]/HT_Away[[#This Row],[GP]]</f>
        <v>0.3</v>
      </c>
    </row>
    <row r="28" spans="1:10" x14ac:dyDescent="0.25">
      <c r="A28" t="s">
        <v>296</v>
      </c>
      <c r="B28">
        <v>10</v>
      </c>
      <c r="C28">
        <v>2</v>
      </c>
      <c r="D28">
        <v>7</v>
      </c>
      <c r="E28">
        <v>1</v>
      </c>
      <c r="F28">
        <v>3</v>
      </c>
      <c r="G28">
        <v>2</v>
      </c>
      <c r="H28">
        <v>1</v>
      </c>
      <c r="I28">
        <v>13</v>
      </c>
      <c r="J28" s="48">
        <f>HT_Away[[#This Row],[W]]/HT_Away[[#This Row],[GP]]</f>
        <v>0.2</v>
      </c>
    </row>
    <row r="29" spans="1:10" x14ac:dyDescent="0.25">
      <c r="A29" t="s">
        <v>312</v>
      </c>
      <c r="B29">
        <v>10</v>
      </c>
      <c r="C29">
        <v>3</v>
      </c>
      <c r="D29">
        <v>4</v>
      </c>
      <c r="E29">
        <v>3</v>
      </c>
      <c r="F29">
        <v>3</v>
      </c>
      <c r="G29">
        <v>3</v>
      </c>
      <c r="H29">
        <v>0</v>
      </c>
      <c r="I29">
        <v>13</v>
      </c>
      <c r="J29" s="48">
        <f>HT_Away[[#This Row],[W]]/HT_Away[[#This Row],[GP]]</f>
        <v>0.3</v>
      </c>
    </row>
    <row r="30" spans="1:10" x14ac:dyDescent="0.25">
      <c r="A30" t="s">
        <v>295</v>
      </c>
      <c r="B30">
        <v>9</v>
      </c>
      <c r="C30">
        <v>2</v>
      </c>
      <c r="D30">
        <v>6</v>
      </c>
      <c r="E30">
        <v>1</v>
      </c>
      <c r="F30">
        <v>4</v>
      </c>
      <c r="G30">
        <v>3</v>
      </c>
      <c r="H30">
        <v>1</v>
      </c>
      <c r="I30">
        <v>12</v>
      </c>
      <c r="J30" s="48">
        <f>HT_Away[[#This Row],[W]]/HT_Away[[#This Row],[GP]]</f>
        <v>0.22222222222222221</v>
      </c>
    </row>
    <row r="31" spans="1:10" x14ac:dyDescent="0.25">
      <c r="A31" t="s">
        <v>305</v>
      </c>
      <c r="B31">
        <v>10</v>
      </c>
      <c r="C31">
        <v>2</v>
      </c>
      <c r="D31">
        <v>5</v>
      </c>
      <c r="E31">
        <v>3</v>
      </c>
      <c r="F31">
        <v>5</v>
      </c>
      <c r="G31">
        <v>4</v>
      </c>
      <c r="H31">
        <v>1</v>
      </c>
      <c r="I31">
        <v>11</v>
      </c>
      <c r="J31" s="48">
        <f>HT_Away[[#This Row],[W]]/HT_Away[[#This Row],[GP]]</f>
        <v>0.2</v>
      </c>
    </row>
    <row r="32" spans="1:10" x14ac:dyDescent="0.25">
      <c r="A32" t="s">
        <v>291</v>
      </c>
      <c r="B32">
        <v>9</v>
      </c>
      <c r="C32">
        <v>3</v>
      </c>
      <c r="D32">
        <v>2</v>
      </c>
      <c r="E32">
        <v>4</v>
      </c>
      <c r="F32">
        <v>5</v>
      </c>
      <c r="G32">
        <v>6</v>
      </c>
      <c r="H32">
        <v>-1</v>
      </c>
      <c r="I32">
        <v>11</v>
      </c>
      <c r="J32" s="48">
        <f>HT_Away[[#This Row],[W]]/HT_Away[[#This Row],[GP]]</f>
        <v>0.33333333333333331</v>
      </c>
    </row>
    <row r="33" spans="1:10" x14ac:dyDescent="0.25">
      <c r="A33" t="s">
        <v>308</v>
      </c>
      <c r="B33">
        <v>10</v>
      </c>
      <c r="C33">
        <v>3</v>
      </c>
      <c r="D33">
        <v>2</v>
      </c>
      <c r="E33">
        <v>5</v>
      </c>
      <c r="F33">
        <v>5</v>
      </c>
      <c r="G33">
        <v>7</v>
      </c>
      <c r="H33">
        <v>-2</v>
      </c>
      <c r="I33">
        <v>11</v>
      </c>
      <c r="J33" s="48">
        <f>HT_Away[[#This Row],[W]]/HT_Away[[#This Row],[GP]]</f>
        <v>0.3</v>
      </c>
    </row>
    <row r="34" spans="1:10" x14ac:dyDescent="0.25">
      <c r="A34" t="s">
        <v>298</v>
      </c>
      <c r="B34">
        <v>10</v>
      </c>
      <c r="C34">
        <v>2</v>
      </c>
      <c r="D34">
        <v>5</v>
      </c>
      <c r="E34">
        <v>3</v>
      </c>
      <c r="F34">
        <v>5</v>
      </c>
      <c r="G34">
        <v>10</v>
      </c>
      <c r="H34">
        <v>-5</v>
      </c>
      <c r="I34">
        <v>11</v>
      </c>
      <c r="J34" s="48">
        <f>HT_Away[[#This Row],[W]]/HT_Away[[#This Row],[GP]]</f>
        <v>0.2</v>
      </c>
    </row>
    <row r="35" spans="1:10" x14ac:dyDescent="0.25">
      <c r="A35" t="s">
        <v>303</v>
      </c>
      <c r="B35">
        <v>10</v>
      </c>
      <c r="C35">
        <v>2</v>
      </c>
      <c r="D35">
        <v>4</v>
      </c>
      <c r="E35">
        <v>4</v>
      </c>
      <c r="F35">
        <v>6</v>
      </c>
      <c r="G35">
        <v>7</v>
      </c>
      <c r="H35">
        <v>-1</v>
      </c>
      <c r="I35">
        <v>10</v>
      </c>
      <c r="J35" s="48">
        <f>HT_Away[[#This Row],[W]]/HT_Away[[#This Row],[GP]]</f>
        <v>0.2</v>
      </c>
    </row>
    <row r="36" spans="1:10" x14ac:dyDescent="0.25">
      <c r="A36" t="s">
        <v>306</v>
      </c>
      <c r="B36">
        <v>9</v>
      </c>
      <c r="C36">
        <v>1</v>
      </c>
      <c r="D36">
        <v>6</v>
      </c>
      <c r="E36">
        <v>2</v>
      </c>
      <c r="F36">
        <v>3</v>
      </c>
      <c r="G36">
        <v>7</v>
      </c>
      <c r="H36">
        <v>-4</v>
      </c>
      <c r="I36">
        <v>9</v>
      </c>
      <c r="J36" s="48">
        <f>HT_Away[[#This Row],[W]]/HT_Away[[#This Row],[GP]]</f>
        <v>0.1111111111111111</v>
      </c>
    </row>
    <row r="37" spans="1:10" x14ac:dyDescent="0.25">
      <c r="A37" t="s">
        <v>297</v>
      </c>
      <c r="B37">
        <v>9</v>
      </c>
      <c r="C37">
        <v>2</v>
      </c>
      <c r="D37">
        <v>2</v>
      </c>
      <c r="E37">
        <v>5</v>
      </c>
      <c r="F37">
        <v>3</v>
      </c>
      <c r="G37">
        <v>8</v>
      </c>
      <c r="H37">
        <v>-5</v>
      </c>
      <c r="I37">
        <v>8</v>
      </c>
      <c r="J37" s="48">
        <f>HT_Away[[#This Row],[W]]/HT_Away[[#This Row],[GP]]</f>
        <v>0.22222222222222221</v>
      </c>
    </row>
    <row r="38" spans="1:10" x14ac:dyDescent="0.25">
      <c r="A38" t="s">
        <v>292</v>
      </c>
      <c r="B38">
        <v>9</v>
      </c>
      <c r="C38">
        <v>1</v>
      </c>
      <c r="D38">
        <v>4</v>
      </c>
      <c r="E38">
        <v>4</v>
      </c>
      <c r="F38">
        <v>2</v>
      </c>
      <c r="G38">
        <v>5</v>
      </c>
      <c r="H38">
        <v>-3</v>
      </c>
      <c r="I38">
        <v>7</v>
      </c>
      <c r="J38" s="48">
        <f>HT_Away[[#This Row],[W]]/HT_Away[[#This Row],[GP]]</f>
        <v>0.1111111111111111</v>
      </c>
    </row>
    <row r="39" spans="1:10" x14ac:dyDescent="0.25">
      <c r="A39" t="s">
        <v>309</v>
      </c>
      <c r="B39">
        <v>9</v>
      </c>
      <c r="C39">
        <v>2</v>
      </c>
      <c r="D39">
        <v>1</v>
      </c>
      <c r="E39">
        <v>6</v>
      </c>
      <c r="F39">
        <v>2</v>
      </c>
      <c r="G39">
        <v>9</v>
      </c>
      <c r="H39">
        <v>-7</v>
      </c>
      <c r="I39">
        <v>7</v>
      </c>
      <c r="J39" s="48">
        <f>HT_Away[[#This Row],[W]]/HT_Away[[#This Row],[GP]]</f>
        <v>0.22222222222222221</v>
      </c>
    </row>
    <row r="40" spans="1:10" x14ac:dyDescent="0.25">
      <c r="A40" t="s">
        <v>301</v>
      </c>
      <c r="B40">
        <v>9</v>
      </c>
      <c r="C40">
        <v>1</v>
      </c>
      <c r="D40">
        <v>3</v>
      </c>
      <c r="E40">
        <v>5</v>
      </c>
      <c r="F40">
        <v>2</v>
      </c>
      <c r="G40">
        <v>8</v>
      </c>
      <c r="H40">
        <v>-6</v>
      </c>
      <c r="I40">
        <v>6</v>
      </c>
      <c r="J40" s="48">
        <f>HT_Away[[#This Row],[W]]/HT_Away[[#This Row],[GP]]</f>
        <v>0.1111111111111111</v>
      </c>
    </row>
    <row r="41" spans="1:10" x14ac:dyDescent="0.25">
      <c r="A41" t="s">
        <v>302</v>
      </c>
      <c r="B41">
        <v>9</v>
      </c>
      <c r="C41">
        <v>1</v>
      </c>
      <c r="D41">
        <v>2</v>
      </c>
      <c r="E41">
        <v>6</v>
      </c>
      <c r="F41">
        <v>2</v>
      </c>
      <c r="G41">
        <v>8</v>
      </c>
      <c r="H41">
        <v>-6</v>
      </c>
      <c r="I41">
        <v>5</v>
      </c>
      <c r="J41" s="48"/>
    </row>
    <row r="42" spans="1:10" x14ac:dyDescent="0.25">
      <c r="A42" t="s">
        <v>307</v>
      </c>
      <c r="B42">
        <v>10</v>
      </c>
      <c r="C42">
        <v>1</v>
      </c>
      <c r="D42">
        <v>2</v>
      </c>
      <c r="E42">
        <v>7</v>
      </c>
      <c r="F42">
        <v>2</v>
      </c>
      <c r="G42">
        <v>11</v>
      </c>
      <c r="H42">
        <v>-9</v>
      </c>
      <c r="I42">
        <v>5</v>
      </c>
      <c r="J42"/>
    </row>
    <row r="43" spans="1:10" x14ac:dyDescent="0.25">
      <c r="A43" t="s">
        <v>299</v>
      </c>
      <c r="B43">
        <v>9</v>
      </c>
      <c r="C43">
        <v>0</v>
      </c>
      <c r="D43">
        <v>4</v>
      </c>
      <c r="E43">
        <v>5</v>
      </c>
      <c r="F43">
        <v>4</v>
      </c>
      <c r="G43">
        <v>9</v>
      </c>
      <c r="H43">
        <v>-5</v>
      </c>
      <c r="I43">
        <v>4</v>
      </c>
      <c r="J43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14B925CE-CBD8-4447-A7E8-13F74206AAE7}">
  <ds:schemaRefs/>
</ds:datastoreItem>
</file>

<file path=customXml/itemProps2.xml><?xml version="1.0" encoding="utf-8"?>
<ds:datastoreItem xmlns:ds="http://schemas.openxmlformats.org/officeDocument/2006/customXml" ds:itemID="{591C0428-14F4-4674-86A1-B3C02ABF63A7}">
  <ds:schemaRefs/>
</ds:datastoreItem>
</file>

<file path=customXml/itemProps3.xml><?xml version="1.0" encoding="utf-8"?>
<ds:datastoreItem xmlns:ds="http://schemas.openxmlformats.org/officeDocument/2006/customXml" ds:itemID="{8EB01DB2-EE9F-4EF5-96B5-093BD8DCDEA8}">
  <ds:schemaRefs/>
</ds:datastoreItem>
</file>

<file path=customXml/itemProps4.xml><?xml version="1.0" encoding="utf-8"?>
<ds:datastoreItem xmlns:ds="http://schemas.openxmlformats.org/officeDocument/2006/customXml" ds:itemID="{DFFA6747-F06E-49B7-8CA2-96710C0784E6}">
  <ds:schemaRefs/>
</ds:datastoreItem>
</file>

<file path=customXml/itemProps5.xml><?xml version="1.0" encoding="utf-8"?>
<ds:datastoreItem xmlns:ds="http://schemas.openxmlformats.org/officeDocument/2006/customXml" ds:itemID="{9C6A80F1-3C10-4BB1-BF4B-95CA96DC2BF5}">
  <ds:schemaRefs/>
</ds:datastoreItem>
</file>

<file path=customXml/itemProps6.xml><?xml version="1.0" encoding="utf-8"?>
<ds:datastoreItem xmlns:ds="http://schemas.openxmlformats.org/officeDocument/2006/customXml" ds:itemID="{E9215405-45AB-4EBF-A097-8C491EB711D1}">
  <ds:schemaRefs/>
</ds:datastoreItem>
</file>

<file path=customXml/itemProps7.xml><?xml version="1.0" encoding="utf-8"?>
<ds:datastoreItem xmlns:ds="http://schemas.openxmlformats.org/officeDocument/2006/customXml" ds:itemID="{3F0FB182-6C21-41E8-A39B-9A1F061E51F9}">
  <ds:schemaRefs/>
</ds:datastoreItem>
</file>

<file path=customXml/itemProps8.xml><?xml version="1.0" encoding="utf-8"?>
<ds:datastoreItem xmlns:ds="http://schemas.openxmlformats.org/officeDocument/2006/customXml" ds:itemID="{697AEC09-513D-432D-A6B1-C1E0BEFAD5F9}">
  <ds:schemaRefs/>
</ds:datastoreItem>
</file>

<file path=customXml/itemProps9.xml><?xml version="1.0" encoding="utf-8"?>
<ds:datastoreItem xmlns:ds="http://schemas.openxmlformats.org/officeDocument/2006/customXml" ds:itemID="{AB677F82-3B51-4A2A-927A-EE428654DBFD}">
  <ds:schemaRefs/>
</ds:datastoreItem>
</file>

<file path=customXml/itemProps10.xml><?xml version="1.0" encoding="utf-8"?>
<ds:datastoreItem xmlns:ds="http://schemas.openxmlformats.org/officeDocument/2006/customXml" ds:itemID="{89993B8A-49CB-427C-87F9-7DD3094D4F68}">
  <ds:schemaRefs/>
</ds:datastoreItem>
</file>

<file path=customXml/itemProps11.xml><?xml version="1.0" encoding="utf-8"?>
<ds:datastoreItem xmlns:ds="http://schemas.openxmlformats.org/officeDocument/2006/customXml" ds:itemID="{71DE6A4D-97A1-431D-8C79-67468E10D7B8}">
  <ds:schemaRefs/>
</ds:datastoreItem>
</file>

<file path=customXml/itemProps12.xml><?xml version="1.0" encoding="utf-8"?>
<ds:datastoreItem xmlns:ds="http://schemas.openxmlformats.org/officeDocument/2006/customXml" ds:itemID="{C1A45738-9286-48CB-9B5A-1025F63DAA38}">
  <ds:schemaRefs/>
</ds:datastoreItem>
</file>

<file path=customXml/itemProps13.xml><?xml version="1.0" encoding="utf-8"?>
<ds:datastoreItem xmlns:ds="http://schemas.openxmlformats.org/officeDocument/2006/customXml" ds:itemID="{564628D5-D4AC-4817-BEF4-2ECA55E6619D}">
  <ds:schemaRefs/>
</ds:datastoreItem>
</file>

<file path=customXml/itemProps14.xml><?xml version="1.0" encoding="utf-8"?>
<ds:datastoreItem xmlns:ds="http://schemas.openxmlformats.org/officeDocument/2006/customXml" ds:itemID="{9DECBFE9-1856-4316-AAB8-82165E1A353C}">
  <ds:schemaRefs/>
</ds:datastoreItem>
</file>

<file path=customXml/itemProps15.xml><?xml version="1.0" encoding="utf-8"?>
<ds:datastoreItem xmlns:ds="http://schemas.openxmlformats.org/officeDocument/2006/customXml" ds:itemID="{1CD01E77-6D0A-4F16-A6FF-6816DA4A2EEB}">
  <ds:schemaRefs/>
</ds:datastoreItem>
</file>

<file path=customXml/itemProps16.xml><?xml version="1.0" encoding="utf-8"?>
<ds:datastoreItem xmlns:ds="http://schemas.openxmlformats.org/officeDocument/2006/customXml" ds:itemID="{049EE12B-9FEA-4AFD-A60F-0F04DB215FCC}">
  <ds:schemaRefs/>
</ds:datastoreItem>
</file>

<file path=customXml/itemProps17.xml><?xml version="1.0" encoding="utf-8"?>
<ds:datastoreItem xmlns:ds="http://schemas.openxmlformats.org/officeDocument/2006/customXml" ds:itemID="{DFBC3914-C7C0-47CC-A270-3EA283E203C4}">
  <ds:schemaRefs/>
</ds:datastoreItem>
</file>

<file path=customXml/itemProps18.xml><?xml version="1.0" encoding="utf-8"?>
<ds:datastoreItem xmlns:ds="http://schemas.openxmlformats.org/officeDocument/2006/customXml" ds:itemID="{8F0F1519-85CE-4049-9576-4EAF501D63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Top Scores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2023-12-11T02:54:51Z</dcterms:modified>
</cp:coreProperties>
</file>