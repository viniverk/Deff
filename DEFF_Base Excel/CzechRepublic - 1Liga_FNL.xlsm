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E32839ED-8A74-47D7-BD5B-0AA76959D7E7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GOLS!$A$1:$N$33</definedName>
    <definedName name="DadosExternos_1" localSheetId="6" hidden="1">Matches!$A$1:$AA$33</definedName>
    <definedName name="DadosExternos_1" localSheetId="5" hidden="1">ODDS!$C$1:$K$217</definedName>
    <definedName name="DadosExternos_1" localSheetId="11" hidden="1">OGCAway!$A$1:$O$33</definedName>
    <definedName name="DadosExternos_1" localSheetId="10" hidden="1">OGCHome!$A$1:$O$33</definedName>
    <definedName name="DadosExternos_1" localSheetId="9" hidden="1">OGSAway!$A$1:$O$33</definedName>
    <definedName name="DadosExternos_1" localSheetId="8" hidden="1">OGSHome!$A$1:$O$33</definedName>
    <definedName name="DadosExternos_2" localSheetId="6" hidden="1">Matches!#REF!</definedName>
    <definedName name="ExternalData_1" localSheetId="13" hidden="1">HTAway!$A$1:$I$33</definedName>
    <definedName name="ExternalData_1" localSheetId="12" hidden="1">HTHome!$A$1:$I$33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36" l="1"/>
  <c r="B18" i="36"/>
  <c r="C15" i="36"/>
  <c r="B15" i="36"/>
  <c r="C14" i="36"/>
  <c r="B14" i="36"/>
  <c r="C13" i="36"/>
  <c r="B13" i="36"/>
  <c r="C12" i="36"/>
  <c r="B12" i="36"/>
  <c r="C11" i="36"/>
  <c r="B11" i="36"/>
  <c r="C10" i="36"/>
  <c r="B10" i="36"/>
  <c r="C9" i="36"/>
  <c r="B9" i="36"/>
  <c r="C8" i="36"/>
  <c r="B8" i="36"/>
  <c r="C7" i="36"/>
  <c r="B7" i="36"/>
  <c r="C6" i="36"/>
  <c r="C5" i="36" s="1"/>
  <c r="B6" i="36"/>
  <c r="B5" i="36" s="1"/>
  <c r="B16" i="36" s="1"/>
  <c r="C3" i="36"/>
  <c r="B3" i="36"/>
  <c r="B4" i="36"/>
  <c r="B17" i="36" s="1"/>
  <c r="AB20" i="24"/>
  <c r="AB23" i="24"/>
  <c r="AB13" i="24"/>
  <c r="AB18" i="24"/>
  <c r="AB29" i="24"/>
  <c r="AB2" i="24"/>
  <c r="AB21" i="24"/>
  <c r="AB3" i="24"/>
  <c r="AB22" i="24"/>
  <c r="AB8" i="24"/>
  <c r="AB26" i="24"/>
  <c r="AB11" i="24"/>
  <c r="AB15" i="24"/>
  <c r="AB9" i="24"/>
  <c r="AB4" i="24"/>
  <c r="AB33" i="24"/>
  <c r="AB31" i="24"/>
  <c r="AB6" i="24"/>
  <c r="AB25" i="24"/>
  <c r="AB30" i="24"/>
  <c r="AB32" i="24"/>
  <c r="AB16" i="24"/>
  <c r="AB10" i="24"/>
  <c r="AB14" i="24"/>
  <c r="AB12" i="24"/>
  <c r="AB5" i="24"/>
  <c r="AB19" i="24"/>
  <c r="AB28" i="24"/>
  <c r="AB7" i="24"/>
  <c r="AB27" i="24"/>
  <c r="AB17" i="24"/>
  <c r="AB24" i="24"/>
  <c r="AC20" i="24"/>
  <c r="AC23" i="24"/>
  <c r="AC13" i="24"/>
  <c r="AC18" i="24"/>
  <c r="AC29" i="24"/>
  <c r="AC2" i="24"/>
  <c r="AC21" i="24"/>
  <c r="AC3" i="24"/>
  <c r="AC22" i="24"/>
  <c r="AC8" i="24"/>
  <c r="AC26" i="24"/>
  <c r="AC11" i="24"/>
  <c r="AC15" i="24"/>
  <c r="AC9" i="24"/>
  <c r="AC4" i="24"/>
  <c r="AC33" i="24"/>
  <c r="AC31" i="24"/>
  <c r="AC6" i="24"/>
  <c r="AC25" i="24"/>
  <c r="AC30" i="24"/>
  <c r="AC32" i="24"/>
  <c r="AC16" i="24"/>
  <c r="AC10" i="24"/>
  <c r="AC14" i="24"/>
  <c r="AC12" i="24"/>
  <c r="AC5" i="24"/>
  <c r="AC19" i="24"/>
  <c r="AC28" i="24"/>
  <c r="AC7" i="24"/>
  <c r="AC27" i="24"/>
  <c r="AC17" i="24"/>
  <c r="AC2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C15" i="30"/>
  <c r="B15" i="30"/>
  <c r="C12" i="30"/>
  <c r="B12" i="30"/>
  <c r="C11" i="30"/>
  <c r="B11" i="30"/>
  <c r="C10" i="30"/>
  <c r="B10" i="30"/>
  <c r="C9" i="30"/>
  <c r="B9" i="30"/>
  <c r="C8" i="30"/>
  <c r="B8" i="30"/>
  <c r="C7" i="30"/>
  <c r="B7" i="30"/>
  <c r="C6" i="30"/>
  <c r="B6" i="30"/>
  <c r="C3" i="30"/>
  <c r="B3" i="30"/>
  <c r="C4" i="36" l="1"/>
  <c r="C17" i="36" s="1"/>
  <c r="B4" i="30"/>
  <c r="B14" i="30" s="1"/>
  <c r="C5" i="30"/>
  <c r="C4" i="30"/>
  <c r="C14" i="30" s="1"/>
  <c r="B5" i="30"/>
  <c r="B13" i="30" s="1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19" i="42"/>
  <c r="G19" i="42"/>
  <c r="F19" i="42"/>
  <c r="E19" i="42"/>
  <c r="D19" i="42"/>
  <c r="C19" i="42"/>
  <c r="B19" i="42"/>
  <c r="H21" i="42"/>
  <c r="G21" i="42"/>
  <c r="F21" i="42"/>
  <c r="E21" i="42"/>
  <c r="D21" i="42"/>
  <c r="C21" i="42"/>
  <c r="B21" i="42"/>
  <c r="H9" i="42"/>
  <c r="G9" i="42"/>
  <c r="F9" i="42"/>
  <c r="E9" i="42"/>
  <c r="D9" i="42"/>
  <c r="C9" i="42"/>
  <c r="B9" i="42"/>
  <c r="H10" i="42"/>
  <c r="G10" i="42"/>
  <c r="F10" i="42"/>
  <c r="E10" i="42"/>
  <c r="D10" i="42"/>
  <c r="C10" i="42"/>
  <c r="B10" i="42"/>
  <c r="H25" i="42"/>
  <c r="G25" i="42"/>
  <c r="F25" i="42"/>
  <c r="E25" i="42"/>
  <c r="D25" i="42"/>
  <c r="C25" i="42"/>
  <c r="B25" i="42"/>
  <c r="H20" i="42"/>
  <c r="G20" i="42"/>
  <c r="F20" i="42"/>
  <c r="E20" i="42"/>
  <c r="D20" i="42"/>
  <c r="C20" i="42"/>
  <c r="B20" i="42"/>
  <c r="H30" i="42"/>
  <c r="G30" i="42"/>
  <c r="F30" i="42"/>
  <c r="E30" i="42"/>
  <c r="D30" i="42"/>
  <c r="C30" i="42"/>
  <c r="B30" i="42"/>
  <c r="H7" i="42"/>
  <c r="G7" i="42"/>
  <c r="F7" i="42"/>
  <c r="E7" i="42"/>
  <c r="D7" i="42"/>
  <c r="C7" i="42"/>
  <c r="B7" i="42"/>
  <c r="H18" i="42"/>
  <c r="G18" i="42"/>
  <c r="F18" i="42"/>
  <c r="E18" i="42"/>
  <c r="D18" i="42"/>
  <c r="C18" i="42"/>
  <c r="B18" i="42"/>
  <c r="H15" i="42"/>
  <c r="G15" i="42"/>
  <c r="F15" i="42"/>
  <c r="E15" i="42"/>
  <c r="D15" i="42"/>
  <c r="C15" i="42"/>
  <c r="B15" i="42"/>
  <c r="H26" i="42"/>
  <c r="G26" i="42"/>
  <c r="F26" i="42"/>
  <c r="E26" i="42"/>
  <c r="D26" i="42"/>
  <c r="C26" i="42"/>
  <c r="B26" i="42"/>
  <c r="H4" i="42"/>
  <c r="G4" i="42"/>
  <c r="F4" i="42"/>
  <c r="E4" i="42"/>
  <c r="D4" i="42"/>
  <c r="C4" i="42"/>
  <c r="B4" i="42"/>
  <c r="H31" i="42"/>
  <c r="G31" i="42"/>
  <c r="F31" i="42"/>
  <c r="E31" i="42"/>
  <c r="D31" i="42"/>
  <c r="C31" i="42"/>
  <c r="B31" i="42"/>
  <c r="H23" i="42"/>
  <c r="G23" i="42"/>
  <c r="F23" i="42"/>
  <c r="E23" i="42"/>
  <c r="D23" i="42"/>
  <c r="C23" i="42"/>
  <c r="B23" i="42"/>
  <c r="H16" i="42"/>
  <c r="G16" i="42"/>
  <c r="F16" i="42"/>
  <c r="E16" i="42"/>
  <c r="D16" i="42"/>
  <c r="C16" i="42"/>
  <c r="B16" i="42"/>
  <c r="H13" i="42"/>
  <c r="G13" i="42"/>
  <c r="F13" i="42"/>
  <c r="E13" i="42"/>
  <c r="D13" i="42"/>
  <c r="C13" i="42"/>
  <c r="B13" i="42"/>
  <c r="H2" i="42"/>
  <c r="G2" i="42"/>
  <c r="F2" i="42"/>
  <c r="E2" i="42"/>
  <c r="D2" i="42"/>
  <c r="C2" i="42"/>
  <c r="B2" i="42"/>
  <c r="H3" i="42"/>
  <c r="G3" i="42"/>
  <c r="F3" i="42"/>
  <c r="E3" i="42"/>
  <c r="D3" i="42"/>
  <c r="C3" i="42"/>
  <c r="B3" i="42"/>
  <c r="H12" i="42"/>
  <c r="G12" i="42"/>
  <c r="F12" i="42"/>
  <c r="E12" i="42"/>
  <c r="D12" i="42"/>
  <c r="C12" i="42"/>
  <c r="B12" i="42"/>
  <c r="H8" i="42"/>
  <c r="G8" i="42"/>
  <c r="F8" i="42"/>
  <c r="E8" i="42"/>
  <c r="D8" i="42"/>
  <c r="C8" i="42"/>
  <c r="B8" i="42"/>
  <c r="H14" i="42"/>
  <c r="G14" i="42"/>
  <c r="F14" i="42"/>
  <c r="E14" i="42"/>
  <c r="D14" i="42"/>
  <c r="C14" i="42"/>
  <c r="B14" i="42"/>
  <c r="H28" i="42"/>
  <c r="G28" i="42"/>
  <c r="F28" i="42"/>
  <c r="E28" i="42"/>
  <c r="D28" i="42"/>
  <c r="C28" i="42"/>
  <c r="B28" i="42"/>
  <c r="H17" i="42"/>
  <c r="G17" i="42"/>
  <c r="F17" i="42"/>
  <c r="E17" i="42"/>
  <c r="D17" i="42"/>
  <c r="C17" i="42"/>
  <c r="B17" i="42"/>
  <c r="H27" i="42"/>
  <c r="G27" i="42"/>
  <c r="F27" i="42"/>
  <c r="E27" i="42"/>
  <c r="D27" i="42"/>
  <c r="C27" i="42"/>
  <c r="B27" i="42"/>
  <c r="H29" i="42"/>
  <c r="G29" i="42"/>
  <c r="F29" i="42"/>
  <c r="E29" i="42"/>
  <c r="D29" i="42"/>
  <c r="C29" i="42"/>
  <c r="B29" i="42"/>
  <c r="H11" i="42"/>
  <c r="G11" i="42"/>
  <c r="F11" i="42"/>
  <c r="E11" i="42"/>
  <c r="D11" i="42"/>
  <c r="C11" i="42"/>
  <c r="B11" i="42"/>
  <c r="H32" i="42"/>
  <c r="G32" i="42"/>
  <c r="F32" i="42"/>
  <c r="E32" i="42"/>
  <c r="D32" i="42"/>
  <c r="C32" i="42"/>
  <c r="B32" i="42"/>
  <c r="H24" i="42"/>
  <c r="G24" i="42"/>
  <c r="F24" i="42"/>
  <c r="E24" i="42"/>
  <c r="D24" i="42"/>
  <c r="C24" i="42"/>
  <c r="B24" i="42"/>
  <c r="H22" i="42"/>
  <c r="G22" i="42"/>
  <c r="F22" i="42"/>
  <c r="E22" i="42"/>
  <c r="D22" i="42"/>
  <c r="C22" i="42"/>
  <c r="B22" i="42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19" i="41"/>
  <c r="G19" i="41"/>
  <c r="F19" i="41"/>
  <c r="E19" i="41"/>
  <c r="D19" i="41"/>
  <c r="C19" i="41"/>
  <c r="B19" i="41"/>
  <c r="H21" i="41"/>
  <c r="G21" i="41"/>
  <c r="F21" i="41"/>
  <c r="E21" i="41"/>
  <c r="D21" i="41"/>
  <c r="C21" i="41"/>
  <c r="B21" i="41"/>
  <c r="H9" i="41"/>
  <c r="G9" i="41"/>
  <c r="F9" i="41"/>
  <c r="E9" i="41"/>
  <c r="D9" i="41"/>
  <c r="C9" i="41"/>
  <c r="B9" i="41"/>
  <c r="H11" i="41"/>
  <c r="G11" i="41"/>
  <c r="F11" i="41"/>
  <c r="E11" i="41"/>
  <c r="D11" i="41"/>
  <c r="C11" i="41"/>
  <c r="B11" i="41"/>
  <c r="H24" i="41"/>
  <c r="G24" i="41"/>
  <c r="F24" i="41"/>
  <c r="E24" i="41"/>
  <c r="D24" i="41"/>
  <c r="C24" i="41"/>
  <c r="B24" i="41"/>
  <c r="H20" i="41"/>
  <c r="G20" i="41"/>
  <c r="F20" i="41"/>
  <c r="E20" i="41"/>
  <c r="D20" i="41"/>
  <c r="C20" i="41"/>
  <c r="B20" i="41"/>
  <c r="H30" i="41"/>
  <c r="G30" i="41"/>
  <c r="F30" i="41"/>
  <c r="E30" i="41"/>
  <c r="D30" i="41"/>
  <c r="C30" i="41"/>
  <c r="B30" i="41"/>
  <c r="H7" i="41"/>
  <c r="G7" i="41"/>
  <c r="F7" i="41"/>
  <c r="E7" i="41"/>
  <c r="D7" i="41"/>
  <c r="C7" i="41"/>
  <c r="B7" i="41"/>
  <c r="H18" i="41"/>
  <c r="G18" i="41"/>
  <c r="F18" i="41"/>
  <c r="E18" i="41"/>
  <c r="D18" i="41"/>
  <c r="C18" i="41"/>
  <c r="B18" i="41"/>
  <c r="H13" i="41"/>
  <c r="G13" i="41"/>
  <c r="F13" i="41"/>
  <c r="E13" i="41"/>
  <c r="D13" i="41"/>
  <c r="C13" i="41"/>
  <c r="B13" i="41"/>
  <c r="H28" i="41"/>
  <c r="G28" i="41"/>
  <c r="F28" i="41"/>
  <c r="E28" i="41"/>
  <c r="D28" i="41"/>
  <c r="C28" i="41"/>
  <c r="B28" i="41"/>
  <c r="H4" i="41"/>
  <c r="G4" i="41"/>
  <c r="F4" i="41"/>
  <c r="E4" i="41"/>
  <c r="D4" i="41"/>
  <c r="C4" i="41"/>
  <c r="B4" i="41"/>
  <c r="H31" i="41"/>
  <c r="G31" i="41"/>
  <c r="F31" i="41"/>
  <c r="E31" i="41"/>
  <c r="D31" i="41"/>
  <c r="C31" i="41"/>
  <c r="B31" i="41"/>
  <c r="H23" i="41"/>
  <c r="G23" i="41"/>
  <c r="F23" i="41"/>
  <c r="E23" i="41"/>
  <c r="D23" i="41"/>
  <c r="C23" i="41"/>
  <c r="B23" i="41"/>
  <c r="H16" i="41"/>
  <c r="G16" i="41"/>
  <c r="F16" i="41"/>
  <c r="E16" i="41"/>
  <c r="D16" i="41"/>
  <c r="C16" i="41"/>
  <c r="B16" i="41"/>
  <c r="H14" i="41"/>
  <c r="G14" i="41"/>
  <c r="F14" i="41"/>
  <c r="E14" i="41"/>
  <c r="D14" i="41"/>
  <c r="C14" i="41"/>
  <c r="B14" i="41"/>
  <c r="H2" i="41"/>
  <c r="G2" i="41"/>
  <c r="F2" i="41"/>
  <c r="E2" i="41"/>
  <c r="D2" i="41"/>
  <c r="C2" i="41"/>
  <c r="B2" i="41"/>
  <c r="H3" i="41"/>
  <c r="G3" i="41"/>
  <c r="F3" i="41"/>
  <c r="E3" i="41"/>
  <c r="D3" i="41"/>
  <c r="C3" i="41"/>
  <c r="B3" i="41"/>
  <c r="H12" i="41"/>
  <c r="G12" i="41"/>
  <c r="F12" i="41"/>
  <c r="E12" i="41"/>
  <c r="D12" i="41"/>
  <c r="C12" i="41"/>
  <c r="B12" i="41"/>
  <c r="H8" i="41"/>
  <c r="G8" i="41"/>
  <c r="F8" i="41"/>
  <c r="E8" i="41"/>
  <c r="D8" i="41"/>
  <c r="C8" i="41"/>
  <c r="B8" i="41"/>
  <c r="H15" i="41"/>
  <c r="G15" i="41"/>
  <c r="F15" i="41"/>
  <c r="E15" i="41"/>
  <c r="D15" i="41"/>
  <c r="C15" i="41"/>
  <c r="B15" i="41"/>
  <c r="H26" i="41"/>
  <c r="G26" i="41"/>
  <c r="F26" i="41"/>
  <c r="E26" i="41"/>
  <c r="D26" i="41"/>
  <c r="C26" i="41"/>
  <c r="B26" i="41"/>
  <c r="H17" i="41"/>
  <c r="G17" i="41"/>
  <c r="F17" i="41"/>
  <c r="E17" i="41"/>
  <c r="D17" i="41"/>
  <c r="C17" i="41"/>
  <c r="B17" i="41"/>
  <c r="H25" i="41"/>
  <c r="G25" i="41"/>
  <c r="F25" i="41"/>
  <c r="E25" i="41"/>
  <c r="D25" i="41"/>
  <c r="C25" i="41"/>
  <c r="B25" i="41"/>
  <c r="H29" i="41"/>
  <c r="G29" i="41"/>
  <c r="F29" i="41"/>
  <c r="E29" i="41"/>
  <c r="D29" i="41"/>
  <c r="C29" i="41"/>
  <c r="B29" i="41"/>
  <c r="H10" i="41"/>
  <c r="G10" i="41"/>
  <c r="F10" i="41"/>
  <c r="E10" i="41"/>
  <c r="D10" i="41"/>
  <c r="C10" i="41"/>
  <c r="B10" i="41"/>
  <c r="H32" i="41"/>
  <c r="G32" i="41"/>
  <c r="F32" i="41"/>
  <c r="E32" i="41"/>
  <c r="D32" i="41"/>
  <c r="C32" i="41"/>
  <c r="B32" i="41"/>
  <c r="H27" i="41"/>
  <c r="G27" i="41"/>
  <c r="F27" i="41"/>
  <c r="E27" i="41"/>
  <c r="D27" i="41"/>
  <c r="C27" i="41"/>
  <c r="B27" i="41"/>
  <c r="H22" i="41"/>
  <c r="G22" i="41"/>
  <c r="F22" i="41"/>
  <c r="E22" i="41"/>
  <c r="D22" i="41"/>
  <c r="C22" i="41"/>
  <c r="B22" i="41"/>
  <c r="C16" i="36" l="1"/>
  <c r="I9" i="42"/>
  <c r="I21" i="42"/>
  <c r="K21" i="42" s="1"/>
  <c r="C13" i="30"/>
  <c r="I15" i="42"/>
  <c r="I30" i="41"/>
  <c r="I13" i="41"/>
  <c r="K13" i="41" s="1"/>
  <c r="I26" i="41"/>
  <c r="I16" i="41"/>
  <c r="K16" i="41" s="1"/>
  <c r="I3" i="41"/>
  <c r="K3" i="41" s="1"/>
  <c r="I23" i="41"/>
  <c r="K23" i="41" s="1"/>
  <c r="I20" i="41"/>
  <c r="K20" i="41" s="1"/>
  <c r="I22" i="42"/>
  <c r="I9" i="41"/>
  <c r="I23" i="42"/>
  <c r="K23" i="42" s="1"/>
  <c r="I26" i="42"/>
  <c r="K26" i="42" s="1"/>
  <c r="I30" i="42"/>
  <c r="K30" i="42" s="1"/>
  <c r="I6" i="42"/>
  <c r="K6" i="42" s="1"/>
  <c r="I5" i="42"/>
  <c r="K5" i="42" s="1"/>
  <c r="I20" i="42"/>
  <c r="K20" i="42" s="1"/>
  <c r="I15" i="41"/>
  <c r="K15" i="41" s="1"/>
  <c r="I10" i="41"/>
  <c r="K10" i="41" s="1"/>
  <c r="I29" i="41"/>
  <c r="K29" i="41" s="1"/>
  <c r="I2" i="41"/>
  <c r="K2" i="41" s="1"/>
  <c r="I7" i="41"/>
  <c r="K7" i="41" s="1"/>
  <c r="I28" i="41"/>
  <c r="K28" i="41" s="1"/>
  <c r="I6" i="41"/>
  <c r="K6" i="41" s="1"/>
  <c r="L6" i="42" s="1"/>
  <c r="I22" i="41"/>
  <c r="K22" i="41" s="1"/>
  <c r="I29" i="42"/>
  <c r="K29" i="42" s="1"/>
  <c r="I14" i="42"/>
  <c r="K14" i="42" s="1"/>
  <c r="L15" i="41" s="1"/>
  <c r="I2" i="42"/>
  <c r="K2" i="42" s="1"/>
  <c r="I32" i="42"/>
  <c r="I11" i="42"/>
  <c r="K11" i="42" s="1"/>
  <c r="I17" i="42"/>
  <c r="I31" i="42"/>
  <c r="K31" i="42" s="1"/>
  <c r="I18" i="42"/>
  <c r="I25" i="42"/>
  <c r="K25" i="42" s="1"/>
  <c r="I19" i="42"/>
  <c r="K19" i="42" s="1"/>
  <c r="I28" i="42"/>
  <c r="K28" i="42" s="1"/>
  <c r="I12" i="42"/>
  <c r="I3" i="42"/>
  <c r="K3" i="42" s="1"/>
  <c r="I13" i="42"/>
  <c r="K13" i="42" s="1"/>
  <c r="I16" i="42"/>
  <c r="I27" i="41"/>
  <c r="I32" i="41"/>
  <c r="K32" i="41" s="1"/>
  <c r="I25" i="41"/>
  <c r="K25" i="41" s="1"/>
  <c r="I17" i="41"/>
  <c r="K17" i="41" s="1"/>
  <c r="I8" i="41"/>
  <c r="I12" i="41"/>
  <c r="K12" i="41" s="1"/>
  <c r="I31" i="41"/>
  <c r="K31" i="41" s="1"/>
  <c r="I18" i="41"/>
  <c r="K18" i="41" s="1"/>
  <c r="L18" i="42" s="1"/>
  <c r="I21" i="41"/>
  <c r="K21" i="41" s="1"/>
  <c r="K30" i="41"/>
  <c r="I24" i="41"/>
  <c r="K24" i="41" s="1"/>
  <c r="I19" i="41"/>
  <c r="K19" i="41" s="1"/>
  <c r="K26" i="41"/>
  <c r="L28" i="42" s="1"/>
  <c r="K22" i="42"/>
  <c r="I11" i="41"/>
  <c r="K9" i="41"/>
  <c r="I24" i="42"/>
  <c r="I4" i="42"/>
  <c r="I14" i="41"/>
  <c r="I5" i="41"/>
  <c r="I27" i="42"/>
  <c r="I7" i="42"/>
  <c r="I4" i="41"/>
  <c r="I8" i="42"/>
  <c r="K15" i="42"/>
  <c r="I10" i="42"/>
  <c r="K9" i="42"/>
  <c r="L14" i="42" l="1"/>
  <c r="L17" i="42"/>
  <c r="L32" i="42"/>
  <c r="L23" i="42"/>
  <c r="K8" i="41"/>
  <c r="L8" i="42" s="1"/>
  <c r="K27" i="41"/>
  <c r="L29" i="42" s="1"/>
  <c r="L3" i="42"/>
  <c r="L11" i="42"/>
  <c r="L14" i="41"/>
  <c r="L25" i="42"/>
  <c r="L19" i="42"/>
  <c r="L2" i="42"/>
  <c r="L16" i="42"/>
  <c r="L26" i="42"/>
  <c r="L27" i="42"/>
  <c r="L21" i="42"/>
  <c r="L7" i="42"/>
  <c r="L9" i="42"/>
  <c r="L31" i="42"/>
  <c r="L20" i="42"/>
  <c r="L12" i="42"/>
  <c r="K18" i="42"/>
  <c r="L18" i="41" s="1"/>
  <c r="K12" i="42"/>
  <c r="L29" i="41" s="1"/>
  <c r="L23" i="41"/>
  <c r="L10" i="41"/>
  <c r="L3" i="41"/>
  <c r="L28" i="41"/>
  <c r="L9" i="41"/>
  <c r="L24" i="41"/>
  <c r="K32" i="42"/>
  <c r="L19" i="41" s="1"/>
  <c r="L26" i="41"/>
  <c r="K16" i="42"/>
  <c r="L31" i="41" s="1"/>
  <c r="L13" i="41"/>
  <c r="L22" i="41"/>
  <c r="K17" i="42"/>
  <c r="L2" i="41" s="1"/>
  <c r="K10" i="42"/>
  <c r="L5" i="41" s="1"/>
  <c r="K7" i="42"/>
  <c r="K11" i="41"/>
  <c r="L30" i="42" s="1"/>
  <c r="L30" i="41"/>
  <c r="K8" i="42"/>
  <c r="K4" i="41"/>
  <c r="K27" i="42"/>
  <c r="L20" i="41" s="1"/>
  <c r="K24" i="42"/>
  <c r="L15" i="42"/>
  <c r="K5" i="41"/>
  <c r="K14" i="41"/>
  <c r="L22" i="42" s="1"/>
  <c r="L6" i="41"/>
  <c r="K4" i="42"/>
  <c r="L21" i="41" s="1"/>
  <c r="Q3" i="39"/>
  <c r="R3" i="39"/>
  <c r="Q4" i="39"/>
  <c r="R4" i="39"/>
  <c r="Q5" i="39"/>
  <c r="R5" i="39"/>
  <c r="Q6" i="39"/>
  <c r="R6" i="39"/>
  <c r="Q7" i="39"/>
  <c r="R7" i="39"/>
  <c r="Q8" i="39"/>
  <c r="R8" i="39"/>
  <c r="Q9" i="39"/>
  <c r="R9" i="39"/>
  <c r="Q10" i="39"/>
  <c r="R10" i="39"/>
  <c r="Q11" i="39"/>
  <c r="R11" i="39"/>
  <c r="Q12" i="39"/>
  <c r="R12" i="39"/>
  <c r="Q13" i="39"/>
  <c r="R13" i="39"/>
  <c r="Q14" i="39"/>
  <c r="R14" i="39"/>
  <c r="Q15" i="39"/>
  <c r="R15" i="39"/>
  <c r="Q16" i="39"/>
  <c r="R16" i="39"/>
  <c r="P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P31" i="39"/>
  <c r="P32" i="39"/>
  <c r="P33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L24" i="42" l="1"/>
  <c r="L10" i="42"/>
  <c r="L13" i="42"/>
  <c r="L8" i="41"/>
  <c r="L32" i="41"/>
  <c r="L17" i="41"/>
  <c r="L4" i="42"/>
  <c r="L5" i="42"/>
  <c r="L11" i="41"/>
  <c r="L7" i="41"/>
  <c r="L27" i="41"/>
  <c r="L12" i="41"/>
  <c r="L4" i="41"/>
  <c r="L25" i="41"/>
  <c r="L16" i="41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Q23" i="39" l="1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Q22" i="39"/>
  <c r="R22" i="39"/>
  <c r="R17" i="39"/>
  <c r="R18" i="39"/>
  <c r="R19" i="39"/>
  <c r="R20" i="39"/>
  <c r="R21" i="39"/>
  <c r="R2" i="39"/>
  <c r="Q17" i="39"/>
  <c r="Q18" i="39"/>
  <c r="Q19" i="39"/>
  <c r="Q20" i="39"/>
  <c r="Q21" i="39"/>
  <c r="Q2" i="39"/>
  <c r="P2" i="39" l="1"/>
  <c r="O2" i="39"/>
  <c r="I2" i="37"/>
  <c r="I1" i="37" s="1"/>
  <c r="K2" i="37"/>
  <c r="K1" i="37" s="1"/>
  <c r="K3" i="37" l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R16" i="37" s="1"/>
  <c r="L18" i="37"/>
  <c r="P17" i="37"/>
  <c r="N12" i="37"/>
  <c r="L12" i="37"/>
  <c r="N22" i="37"/>
  <c r="M20" i="37"/>
  <c r="N13" i="37"/>
  <c r="L11" i="37"/>
  <c r="P14" i="37"/>
  <c r="M17" i="37"/>
  <c r="Q17" i="37"/>
  <c r="R17" i="37" s="1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R13" i="37" s="1"/>
  <c r="M18" i="37"/>
  <c r="P12" i="37"/>
  <c r="Q24" i="37"/>
  <c r="R24" i="37" s="1"/>
  <c r="N14" i="37"/>
  <c r="N20" i="37"/>
  <c r="M15" i="37"/>
  <c r="L20" i="37"/>
  <c r="Q19" i="37"/>
  <c r="R19" i="37" s="1"/>
  <c r="P22" i="37"/>
  <c r="N17" i="37"/>
  <c r="L19" i="37"/>
  <c r="Q18" i="37"/>
  <c r="R18" i="37" s="1"/>
  <c r="Q11" i="37"/>
  <c r="L14" i="37"/>
  <c r="M22" i="37"/>
  <c r="P16" i="37"/>
  <c r="N11" i="37"/>
  <c r="Q20" i="37"/>
  <c r="R20" i="37" s="1"/>
  <c r="P11" i="37"/>
  <c r="M19" i="37"/>
  <c r="P13" i="37"/>
  <c r="L16" i="37"/>
  <c r="Q15" i="37"/>
  <c r="R15" i="37" s="1"/>
  <c r="N21" i="37"/>
  <c r="M16" i="37"/>
  <c r="L15" i="37"/>
  <c r="Q14" i="37"/>
  <c r="R14" i="37" s="1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H14" i="37" s="1"/>
  <c r="F15" i="37"/>
  <c r="C16" i="37"/>
  <c r="H16" i="37" s="1"/>
  <c r="F17" i="37"/>
  <c r="C18" i="37"/>
  <c r="H18" i="37" s="1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H17" i="37" s="1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H15" i="37" s="1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12" i="37" l="1"/>
  <c r="H13" i="37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Q211" i="27" l="1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Q56" i="28" l="1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J5" i="41" s="1"/>
  <c r="M5" i="41" s="1"/>
  <c r="Q32" i="27"/>
  <c r="J6" i="41" s="1"/>
  <c r="M6" i="41" s="1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24" i="42" s="1"/>
  <c r="M24" i="42" s="1"/>
  <c r="Q4" i="28"/>
  <c r="J32" i="42" s="1"/>
  <c r="M32" i="42" s="1"/>
  <c r="Q5" i="28"/>
  <c r="J11" i="42" s="1"/>
  <c r="M11" i="42" s="1"/>
  <c r="Q6" i="28"/>
  <c r="J29" i="42" s="1"/>
  <c r="M29" i="42" s="1"/>
  <c r="Q7" i="28"/>
  <c r="J27" i="42" s="1"/>
  <c r="M27" i="42" s="1"/>
  <c r="Q8" i="28"/>
  <c r="J17" i="42" s="1"/>
  <c r="M17" i="42" s="1"/>
  <c r="Q9" i="28"/>
  <c r="J28" i="42" s="1"/>
  <c r="M28" i="42" s="1"/>
  <c r="Q10" i="28"/>
  <c r="J14" i="42" s="1"/>
  <c r="M14" i="42" s="1"/>
  <c r="Q11" i="28"/>
  <c r="J8" i="42" s="1"/>
  <c r="M8" i="42" s="1"/>
  <c r="Q12" i="28"/>
  <c r="J12" i="42" s="1"/>
  <c r="M12" i="42" s="1"/>
  <c r="Q13" i="28"/>
  <c r="J3" i="42" s="1"/>
  <c r="M3" i="42" s="1"/>
  <c r="Q14" i="28"/>
  <c r="J2" i="42" s="1"/>
  <c r="M2" i="42" s="1"/>
  <c r="Q15" i="28"/>
  <c r="J13" i="42" s="1"/>
  <c r="M13" i="42" s="1"/>
  <c r="Q16" i="28"/>
  <c r="J16" i="42" s="1"/>
  <c r="M16" i="42" s="1"/>
  <c r="Q17" i="28"/>
  <c r="J23" i="42" s="1"/>
  <c r="M23" i="42" s="1"/>
  <c r="Q18" i="28"/>
  <c r="J31" i="42" s="1"/>
  <c r="M31" i="42" s="1"/>
  <c r="Q19" i="28"/>
  <c r="J4" i="42" s="1"/>
  <c r="M4" i="42" s="1"/>
  <c r="Q20" i="28"/>
  <c r="J26" i="42" s="1"/>
  <c r="M26" i="42" s="1"/>
  <c r="Q21" i="28"/>
  <c r="J15" i="42" s="1"/>
  <c r="M15" i="42" s="1"/>
  <c r="Q22" i="28"/>
  <c r="J18" i="42" s="1"/>
  <c r="M18" i="42" s="1"/>
  <c r="Q23" i="28"/>
  <c r="J7" i="42" s="1"/>
  <c r="M7" i="42" s="1"/>
  <c r="Q24" i="28"/>
  <c r="J30" i="42" s="1"/>
  <c r="M30" i="42" s="1"/>
  <c r="Q25" i="28"/>
  <c r="J20" i="42" s="1"/>
  <c r="M20" i="42" s="1"/>
  <c r="Q26" i="28"/>
  <c r="J25" i="42" s="1"/>
  <c r="M25" i="42" s="1"/>
  <c r="Q27" i="28"/>
  <c r="J10" i="42" s="1"/>
  <c r="M10" i="42" s="1"/>
  <c r="Q28" i="28"/>
  <c r="J9" i="42" s="1"/>
  <c r="M9" i="42" s="1"/>
  <c r="Q29" i="28"/>
  <c r="J21" i="42" s="1"/>
  <c r="M21" i="42" s="1"/>
  <c r="Q30" i="28"/>
  <c r="J19" i="42" s="1"/>
  <c r="M19" i="42" s="1"/>
  <c r="Q31" i="28"/>
  <c r="J5" i="42" s="1"/>
  <c r="M5" i="42" s="1"/>
  <c r="Q32" i="28"/>
  <c r="J6" i="42" s="1"/>
  <c r="M6" i="42" s="1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22" i="42" s="1"/>
  <c r="M22" i="42" s="1"/>
  <c r="Q15" i="27"/>
  <c r="J14" i="41" s="1"/>
  <c r="M14" i="41" s="1"/>
  <c r="Q16" i="27"/>
  <c r="J16" i="41" s="1"/>
  <c r="M16" i="41" s="1"/>
  <c r="Q17" i="27"/>
  <c r="J23" i="41" s="1"/>
  <c r="M23" i="41" s="1"/>
  <c r="Q18" i="27"/>
  <c r="J31" i="41" s="1"/>
  <c r="M31" i="41" s="1"/>
  <c r="Q19" i="27"/>
  <c r="J4" i="41" s="1"/>
  <c r="M4" i="41" s="1"/>
  <c r="Q20" i="27"/>
  <c r="J28" i="41" s="1"/>
  <c r="M28" i="41" s="1"/>
  <c r="Q21" i="27"/>
  <c r="J13" i="41" s="1"/>
  <c r="M13" i="41" s="1"/>
  <c r="Q22" i="27"/>
  <c r="J18" i="41" s="1"/>
  <c r="M18" i="41" s="1"/>
  <c r="Q23" i="27"/>
  <c r="J7" i="41" s="1"/>
  <c r="M7" i="41" s="1"/>
  <c r="Q24" i="27"/>
  <c r="J30" i="41" s="1"/>
  <c r="M30" i="41" s="1"/>
  <c r="Q25" i="27"/>
  <c r="J20" i="41" s="1"/>
  <c r="M20" i="41" s="1"/>
  <c r="Q26" i="27"/>
  <c r="J24" i="41" s="1"/>
  <c r="M24" i="41" s="1"/>
  <c r="Q27" i="27"/>
  <c r="J11" i="41" s="1"/>
  <c r="M11" i="41" s="1"/>
  <c r="Q28" i="27"/>
  <c r="J9" i="41" s="1"/>
  <c r="M9" i="41" s="1"/>
  <c r="Q29" i="27"/>
  <c r="J21" i="41" s="1"/>
  <c r="M21" i="41" s="1"/>
  <c r="Q30" i="27"/>
  <c r="J19" i="41" s="1"/>
  <c r="M19" i="41" s="1"/>
  <c r="Q3" i="27"/>
  <c r="J27" i="41" s="1"/>
  <c r="M27" i="41" s="1"/>
  <c r="Q4" i="27"/>
  <c r="J32" i="41" s="1"/>
  <c r="M32" i="41" s="1"/>
  <c r="Q5" i="27"/>
  <c r="J10" i="41" s="1"/>
  <c r="M10" i="41" s="1"/>
  <c r="Q6" i="27"/>
  <c r="J29" i="41" s="1"/>
  <c r="M29" i="41" s="1"/>
  <c r="Q7" i="27"/>
  <c r="J25" i="41" s="1"/>
  <c r="M25" i="41" s="1"/>
  <c r="Q8" i="27"/>
  <c r="J17" i="41" s="1"/>
  <c r="M17" i="41" s="1"/>
  <c r="Q9" i="27"/>
  <c r="J26" i="41" s="1"/>
  <c r="M26" i="41" s="1"/>
  <c r="Q10" i="27"/>
  <c r="J15" i="41" s="1"/>
  <c r="M15" i="41" s="1"/>
  <c r="Q11" i="27"/>
  <c r="J8" i="41" s="1"/>
  <c r="M8" i="41" s="1"/>
  <c r="Q12" i="27"/>
  <c r="J12" i="41" s="1"/>
  <c r="M12" i="41" s="1"/>
  <c r="Q13" i="27"/>
  <c r="J3" i="41" s="1"/>
  <c r="M3" i="41" s="1"/>
  <c r="Q14" i="27"/>
  <c r="J2" i="41" s="1"/>
  <c r="M2" i="41" s="1"/>
  <c r="Q2" i="27"/>
  <c r="J22" i="41" s="1"/>
  <c r="M22" i="41" s="1"/>
  <c r="N2" i="41" l="1"/>
  <c r="N29" i="41"/>
  <c r="N22" i="41"/>
  <c r="N6" i="42"/>
  <c r="N6" i="41"/>
  <c r="N5" i="42"/>
  <c r="N5" i="41"/>
  <c r="N8" i="41"/>
  <c r="N8" i="42"/>
  <c r="N27" i="42"/>
  <c r="N25" i="41"/>
  <c r="N29" i="42"/>
  <c r="N24" i="42"/>
  <c r="N27" i="41"/>
  <c r="N11" i="41"/>
  <c r="N10" i="42"/>
  <c r="N7" i="42"/>
  <c r="N7" i="41"/>
  <c r="N4" i="41"/>
  <c r="N4" i="42"/>
  <c r="N22" i="42"/>
  <c r="N13" i="42"/>
  <c r="N14" i="41"/>
  <c r="N19" i="41"/>
  <c r="N19" i="42"/>
  <c r="N24" i="41"/>
  <c r="N25" i="42"/>
  <c r="N18" i="42"/>
  <c r="N18" i="41"/>
  <c r="N31" i="41"/>
  <c r="N31" i="42"/>
  <c r="N3" i="41"/>
  <c r="N3" i="42"/>
  <c r="N26" i="41"/>
  <c r="N28" i="42"/>
  <c r="N10" i="41"/>
  <c r="N11" i="42"/>
  <c r="N21" i="42"/>
  <c r="N21" i="41"/>
  <c r="N20" i="42"/>
  <c r="N20" i="41"/>
  <c r="N15" i="42"/>
  <c r="N13" i="41"/>
  <c r="N23" i="42"/>
  <c r="N23" i="41"/>
  <c r="N15" i="41"/>
  <c r="N14" i="42"/>
  <c r="N12" i="42"/>
  <c r="N12" i="41"/>
  <c r="N17" i="42"/>
  <c r="N17" i="41"/>
  <c r="N2" i="42"/>
  <c r="N32" i="42"/>
  <c r="N32" i="41"/>
  <c r="N9" i="41"/>
  <c r="N9" i="42"/>
  <c r="N30" i="42"/>
  <c r="N30" i="41"/>
  <c r="N28" i="41"/>
  <c r="N26" i="42"/>
  <c r="N16" i="41"/>
  <c r="N16" i="42"/>
  <c r="F16" i="36"/>
  <c r="A2" i="30" l="1"/>
  <c r="D2" i="30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00000000-0015-0000-FFFF-FFFF04000000}" keepAlive="1" name="Consulta - HT Away Brazil (2)" description="Conexão com a consulta 'HT Away Brazil (2)' na pasta de trabalho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5000000}" keepAlive="1" name="Consulta - HT Home (Brazil 2" description="Conexão com a consulta 'HT Home (Brazil 2' na pasta de trabalho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7" xr16:uid="{00000000-0015-0000-FFFF-FFFF06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7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9" xr16:uid="{00000000-0015-0000-FFFF-FFFF08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9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11" xr16:uid="{00000000-0015-0000-FFFF-FFFF0A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B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3" xr16:uid="{00000000-0015-0000-FFFF-FFFF0C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D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7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  <connection id="18" xr16:uid="{00000000-0015-0000-FFFF-FFFF11000000}" keepAlive="1" name="Query - Wide table - Brazil2" description="Connection to the 'Wide table - Brazil2' query in the workbook." type="5" refreshedVersion="0" background="1">
    <dbPr connection="Provider=Microsoft.Mashup.OleDb.1;Data Source=$Workbook$;Location=&quot;Wide table - Brazil2&quot;;Extended Properties=&quot;&quot;" command="SELECT * FROM [Wide table - Brazil2]"/>
  </connection>
</connections>
</file>

<file path=xl/sharedStrings.xml><?xml version="1.0" encoding="utf-8"?>
<sst xmlns="http://schemas.openxmlformats.org/spreadsheetml/2006/main" count="2425" uniqueCount="203">
  <si>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</si>
  <si>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</si>
  <si>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</si>
  <si>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</si>
  <si>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</si>
  <si>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</si>
  <si>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</si>
  <si>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</si>
  <si>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</si>
  <si>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</si>
  <si>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</si>
  <si>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</si>
  <si>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</si>
  <si>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</si>
  <si>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</si>
  <si>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</si>
  <si>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</si>
  <si>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</si>
  <si>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</si>
  <si>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</si>
  <si>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</si>
  <si>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</si>
  <si>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</si>
  <si>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</si>
  <si>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</si>
  <si>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</si>
  <si>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</si>
  <si>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</si>
  <si>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</si>
  <si>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</si>
  <si>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</si>
  <si>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</si>
  <si>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</si>
  <si>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</si>
  <si>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</si>
  <si>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</si>
  <si>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</si>
  <si>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</si>
  <si>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</si>
  <si>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</si>
  <si>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</si>
  <si>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</si>
  <si>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</si>
  <si>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</si>
  <si>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</si>
  <si>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</si>
  <si>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</si>
  <si>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</si>
  <si>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</si>
  <si>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-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</si>
  <si>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</si>
  <si>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</si>
  <si>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</si>
  <si>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</si>
  <si>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</si>
  <si>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</si>
  <si>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</si>
  <si>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</si>
  <si>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</si>
  <si>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</si>
  <si>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</si>
  <si>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</si>
  <si>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</si>
  <si>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</si>
  <si>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</si>
  <si>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</si>
  <si>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</si>
  <si>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</si>
  <si>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</si>
  <si>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</si>
  <si>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</si>
  <si>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</si>
  <si>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</si>
  <si>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</si>
  <si>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</si>
  <si>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</si>
  <si>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</si>
  <si>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</si>
  <si>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</si>
  <si>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</si>
  <si>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</si>
  <si>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</si>
  <si>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</si>
  <si>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</si>
  <si>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</si>
  <si>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</si>
  <si>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</si>
  <si>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</si>
  <si>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</si>
  <si>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</si>
  <si>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</si>
  <si>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</si>
  <si>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</si>
  <si>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</si>
  <si>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</si>
  <si>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</si>
  <si>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</si>
  <si>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</si>
  <si>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</si>
  <si>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</si>
  <si>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</si>
  <si>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</si>
  <si>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</si>
  <si>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</si>
  <si>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</si>
  <si>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</si>
  <si>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</si>
  <si>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</si>
  <si>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</si>
  <si>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</si>
  <si>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</si>
  <si>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</si>
  <si>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</si>
  <si>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</si>
  <si>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</si>
  <si>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</si>
  <si>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</si>
  <si>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</si>
  <si>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</si>
  <si>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</si>
  <si>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</si>
  <si>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</si>
  <si>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</si>
  <si>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</si>
  <si>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</si>
  <si>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</si>
  <si>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</si>
  <si>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</si>
  <si>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</si>
  <si>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</si>
  <si>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</si>
  <si>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</si>
  <si>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Sparta Prague</t>
  </si>
  <si>
    <t>Slavia Prague</t>
  </si>
  <si>
    <t>Mlada Boleslav</t>
  </si>
  <si>
    <t>Teplice</t>
  </si>
  <si>
    <t>Sigma Olomouc</t>
  </si>
  <si>
    <t>Bohemians</t>
  </si>
  <si>
    <t>Hradec Kralove</t>
  </si>
  <si>
    <t>Slovan Liberec</t>
  </si>
  <si>
    <t>Slovacko</t>
  </si>
  <si>
    <t>Viktoria Plzen</t>
  </si>
  <si>
    <t>Karvina</t>
  </si>
  <si>
    <t>Jablonec</t>
  </si>
  <si>
    <t>Banik Ostrava</t>
  </si>
  <si>
    <t>Pardubice</t>
  </si>
  <si>
    <t>Zlin</t>
  </si>
  <si>
    <t>C. Budejovice</t>
  </si>
  <si>
    <t>Dukla Praha</t>
  </si>
  <si>
    <t>Jihlava</t>
  </si>
  <si>
    <t>Lisen</t>
  </si>
  <si>
    <t>Prostejov</t>
  </si>
  <si>
    <t>Taborsko</t>
  </si>
  <si>
    <t>Sparta Prague B</t>
  </si>
  <si>
    <t>Vyskov</t>
  </si>
  <si>
    <t>Opava</t>
  </si>
  <si>
    <t>Sigma Olomouc B</t>
  </si>
  <si>
    <t>Vlasim</t>
  </si>
  <si>
    <t>Zbrojovka Brno</t>
  </si>
  <si>
    <t>Pribram</t>
  </si>
  <si>
    <t>Vikto Zizkov</t>
  </si>
  <si>
    <t>Varnsdorf</t>
  </si>
  <si>
    <t>Chrudim</t>
  </si>
  <si>
    <t>Han. Kromeriz</t>
  </si>
  <si>
    <t>48</t>
  </si>
  <si>
    <t>6</t>
  </si>
  <si>
    <t>8</t>
  </si>
  <si>
    <t>5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</si>
  <si>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</si>
  <si>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</si>
  <si>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</si>
  <si>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</si>
  <si>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</si>
  <si>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</si>
  <si>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</si>
  <si>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</si>
  <si>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</si>
  <si>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36</t>
  </si>
  <si>
    <t>45</t>
  </si>
  <si>
    <t>44</t>
  </si>
  <si>
    <t>34</t>
  </si>
  <si>
    <t>56</t>
  </si>
  <si>
    <t>18</t>
  </si>
  <si>
    <t>42</t>
  </si>
  <si>
    <t>31</t>
  </si>
  <si>
    <t>7</t>
  </si>
  <si>
    <t>63</t>
  </si>
  <si>
    <t>29</t>
  </si>
  <si>
    <t>9</t>
  </si>
  <si>
    <t>15</t>
  </si>
  <si>
    <t>16</t>
  </si>
  <si>
    <t>64</t>
  </si>
  <si>
    <t>39</t>
  </si>
  <si>
    <t>40</t>
  </si>
  <si>
    <t>32</t>
  </si>
  <si>
    <t>49</t>
  </si>
  <si>
    <t>41</t>
  </si>
  <si>
    <t>14</t>
  </si>
  <si>
    <t>30</t>
  </si>
  <si>
    <t>33</t>
  </si>
  <si>
    <t>10</t>
  </si>
  <si>
    <t xml:space="preserve">Desenvolvido por DEFF: </t>
  </si>
  <si>
    <t>https://www.instagram.com/defftrader/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</si>
</sst>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0" borderId="23" xfId="0" applyBorder="1"/>
    <xf numFmtId="0" fontId="0" fillId="2" borderId="23" xfId="0" applyFill="1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20" fillId="8" borderId="0" xfId="3" applyFill="1" applyAlignment="1">
      <alignment horizontal="center" vertical="center"/>
    </xf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78"/>
      <tableStyleElement type="headerRow" dxfId="77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15</xdr:row>
          <xdr:rowOff>142875</xdr:rowOff>
        </xdr:from>
        <xdr:to>
          <xdr:col>2</xdr:col>
          <xdr:colOff>581025</xdr:colOff>
          <xdr:row>17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219075</xdr:colOff>
      <xdr:row>2</xdr:row>
      <xdr:rowOff>152400</xdr:rowOff>
    </xdr:from>
    <xdr:to>
      <xdr:col>6</xdr:col>
      <xdr:colOff>190500</xdr:colOff>
      <xdr:row>9</xdr:row>
      <xdr:rowOff>9525</xdr:rowOff>
    </xdr:to>
    <xdr:pic>
      <xdr:nvPicPr>
        <xdr:cNvPr id="8" name="Imagem 7" descr="República Checa First League 2023/24 Tabela, Estat., Jogos | FootySta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1000125"/>
          <a:ext cx="1190625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257175</xdr:colOff>
      <xdr:row>2</xdr:row>
      <xdr:rowOff>142875</xdr:rowOff>
    </xdr:from>
    <xdr:to>
      <xdr:col>8</xdr:col>
      <xdr:colOff>247650</xdr:colOff>
      <xdr:row>9</xdr:row>
      <xdr:rowOff>19050</xdr:rowOff>
    </xdr:to>
    <xdr:pic>
      <xdr:nvPicPr>
        <xdr:cNvPr id="10" name="Imagem 9" descr="Czech Republic FNL 2023/24 Table &amp; Stats | FootyStat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990600"/>
          <a:ext cx="1209675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514350</xdr:colOff>
      <xdr:row>9</xdr:row>
      <xdr:rowOff>161925</xdr:rowOff>
    </xdr:from>
    <xdr:to>
      <xdr:col>7</xdr:col>
      <xdr:colOff>220133</xdr:colOff>
      <xdr:row>15</xdr:row>
      <xdr:rowOff>12086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2343150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180975</xdr:colOff>
      <xdr:row>15</xdr:row>
      <xdr:rowOff>95250</xdr:rowOff>
    </xdr:from>
    <xdr:to>
      <xdr:col>7</xdr:col>
      <xdr:colOff>475457</xdr:colOff>
      <xdr:row>18</xdr:row>
      <xdr:rowOff>15670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667D673-151D-4800-A425-B46E3B7A5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3429000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31"/>
      <queryTableField id="2" name="GP" tableColumnId="32"/>
      <queryTableField id="3" name="W" tableColumnId="33"/>
      <queryTableField id="4" name="D" tableColumnId="34"/>
      <queryTableField id="5" name="L" tableColumnId="35"/>
      <queryTableField id="6" name="GF" tableColumnId="36"/>
      <queryTableField id="7" name="GA" tableColumnId="37"/>
      <queryTableField id="8" name="GD" tableColumnId="38"/>
      <queryTableField id="9" name="Pts" tableColumnId="39"/>
      <queryTableField id="10" dataBound="0" tableColumnId="4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6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31"/>
      <queryTableField id="2" name="GP" tableColumnId="32"/>
      <queryTableField id="3" name="W" tableColumnId="33"/>
      <queryTableField id="4" name="D" tableColumnId="34"/>
      <queryTableField id="5" name="L" tableColumnId="35"/>
      <queryTableField id="6" name="GF" tableColumnId="36"/>
      <queryTableField id="7" name="GA" tableColumnId="37"/>
      <queryTableField id="8" name="GD" tableColumnId="38"/>
      <queryTableField id="9" name="Pts" tableColumnId="39"/>
      <queryTableField id="10" dataBound="0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217" tableType="queryTable" totalsRowShown="0">
  <autoFilter ref="C1:K217" xr:uid="{00000000-0009-0000-0100-000005000000}"/>
  <sortState xmlns:xlrd2="http://schemas.microsoft.com/office/spreadsheetml/2017/richdata2" ref="C2:K217">
    <sortCondition ref="C1:C56"/>
  </sortState>
  <tableColumns count="9">
    <tableColumn id="1" xr3:uid="{00000000-0010-0000-0000-000001000000}" uniqueName="1" name="Date" queryTableFieldId="1" dataDxfId="58"/>
    <tableColumn id="2" xr3:uid="{00000000-0010-0000-0000-000002000000}" uniqueName="2" name="TeamHome" queryTableFieldId="2" dataDxfId="57"/>
    <tableColumn id="3" xr3:uid="{00000000-0010-0000-0000-000003000000}" uniqueName="3" name="TeamAway" queryTableFieldId="3" dataDxfId="56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55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3" tableType="queryTable" totalsRowShown="0">
  <autoFilter ref="A1:AC33" xr:uid="{00000000-0009-0000-0100-000008000000}"/>
  <sortState xmlns:xlrd2="http://schemas.microsoft.com/office/spreadsheetml/2017/richdata2" ref="A2:AC33">
    <sortCondition ref="B1:B17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4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3"/>
    <tableColumn id="12" xr3:uid="{00000000-0010-0000-0100-00000C000000}" uniqueName="12" name="PPG" queryTableFieldId="12"/>
    <tableColumn id="13" xr3:uid="{00000000-0010-0000-0100-00000D000000}" uniqueName="13" name="Column13" queryTableFieldId="13" dataDxfId="52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1"/>
    <tableColumn id="20" xr3:uid="{00000000-0010-0000-0100-000014000000}" uniqueName="20" name="PPGh" queryTableFieldId="20" dataDxfId="50"/>
    <tableColumn id="21" xr3:uid="{00000000-0010-0000-0100-000015000000}" uniqueName="21" name="PPGa" queryTableFieldId="21" dataDxfId="49"/>
    <tableColumn id="22" xr3:uid="{00000000-0010-0000-0100-000016000000}" uniqueName="22" name="Column22" queryTableFieldId="22" dataDxfId="48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47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46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33" tableType="queryTable" totalsRowShown="0">
  <autoFilter ref="A1:N33" xr:uid="{00000000-0009-0000-0100-000004000000}"/>
  <tableColumns count="14">
    <tableColumn id="1" xr3:uid="{00000000-0010-0000-0200-000001000000}" uniqueName="1" name="Matches of..." queryTableFieldId="1" dataDxfId="4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33" tableType="queryTable" totalsRowShown="0">
  <autoFilter ref="A1:O33" xr:uid="{00000000-0009-0000-0100-00000A000000}"/>
  <tableColumns count="15">
    <tableColumn id="2" xr3:uid="{00000000-0010-0000-0300-000002000000}" uniqueName="2" name="Home" queryTableFieldId="101" dataDxfId="44"/>
    <tableColumn id="1" xr3:uid="{886C8AE8-C716-4CFD-BA69-0B2A412E19B4}" uniqueName="1" name="GP" queryTableFieldId="115" dataDxfId="43"/>
    <tableColumn id="3" xr3:uid="{00000000-0010-0000-0300-000003000000}" uniqueName="3" name="OGS" queryTableFieldId="102" dataDxfId="42"/>
    <tableColumn id="4" xr3:uid="{00000000-0010-0000-0300-000004000000}" uniqueName="4" name="Avg. minute" queryTableFieldId="103" dataDxfId="41"/>
    <tableColumn id="5" xr3:uid="{00000000-0010-0000-0300-000005000000}" uniqueName="5" name="0-15" queryTableFieldId="104" dataDxfId="40"/>
    <tableColumn id="6" xr3:uid="{00000000-0010-0000-0300-000006000000}" uniqueName="6" name="16-30" queryTableFieldId="105" dataDxfId="39"/>
    <tableColumn id="7" xr3:uid="{00000000-0010-0000-0300-000007000000}" uniqueName="7" name="31-45" queryTableFieldId="106" dataDxfId="38"/>
    <tableColumn id="8" xr3:uid="{00000000-0010-0000-0300-000008000000}" uniqueName="8" name="46-60" queryTableFieldId="107" dataDxfId="37"/>
    <tableColumn id="9" xr3:uid="{00000000-0010-0000-0300-000009000000}" uniqueName="9" name="61-75" queryTableFieldId="108" dataDxfId="36"/>
    <tableColumn id="10" xr3:uid="{00000000-0010-0000-0300-00000A000000}" uniqueName="10" name="76-90" queryTableFieldId="109" dataDxfId="35"/>
    <tableColumn id="11" xr3:uid="{00000000-0010-0000-0300-00000B000000}" uniqueName="11" name="Column1" queryTableFieldId="110" dataDxfId="34"/>
    <tableColumn id="12" xr3:uid="{00000000-0010-0000-0300-00000C000000}" uniqueName="12" name="1st half" queryTableFieldId="111" dataDxfId="33"/>
    <tableColumn id="13" xr3:uid="{00000000-0010-0000-0300-00000D000000}" uniqueName="13" name="1st half_1" queryTableFieldId="112" dataDxfId="32"/>
    <tableColumn id="14" xr3:uid="{00000000-0010-0000-0300-00000E000000}" uniqueName="14" name="2nd half" queryTableFieldId="113" dataDxfId="31"/>
    <tableColumn id="15" xr3:uid="{00000000-0010-0000-0300-00000F000000}" uniqueName="15" name="2nd half_2" queryTableFieldId="114" dataDxfId="3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33" tableType="queryTable" totalsRowShown="0" headerRowDxfId="29" dataDxfId="28">
  <autoFilter ref="A1:O33" xr:uid="{00000000-0009-0000-0100-00000B000000}"/>
  <tableColumns count="15">
    <tableColumn id="1" xr3:uid="{00000000-0010-0000-0400-000001000000}" uniqueName="1" name="Away" queryTableFieldId="1" dataDxfId="27"/>
    <tableColumn id="15" xr3:uid="{2AB847AB-D0E4-4C44-882B-B70E10729AB4}" uniqueName="15" name="GP" queryTableFieldId="16" dataDxfId="26"/>
    <tableColumn id="2" xr3:uid="{00000000-0010-0000-0400-000002000000}" uniqueName="2" name="OGS" queryTableFieldId="2" dataDxfId="25"/>
    <tableColumn id="3" xr3:uid="{00000000-0010-0000-0400-000003000000}" uniqueName="3" name="Avg. minute" queryTableFieldId="3" dataDxfId="24"/>
    <tableColumn id="4" xr3:uid="{00000000-0010-0000-0400-000004000000}" uniqueName="4" name="0-15" queryTableFieldId="4" dataDxfId="23"/>
    <tableColumn id="5" xr3:uid="{00000000-0010-0000-0400-000005000000}" uniqueName="5" name="16-30" queryTableFieldId="5" dataDxfId="22"/>
    <tableColumn id="6" xr3:uid="{00000000-0010-0000-0400-000006000000}" uniqueName="6" name="31-45" queryTableFieldId="6" dataDxfId="21"/>
    <tableColumn id="7" xr3:uid="{00000000-0010-0000-0400-000007000000}" uniqueName="7" name="46-60" queryTableFieldId="7" dataDxfId="20"/>
    <tableColumn id="8" xr3:uid="{00000000-0010-0000-0400-000008000000}" uniqueName="8" name="61-75" queryTableFieldId="8" dataDxfId="19"/>
    <tableColumn id="9" xr3:uid="{00000000-0010-0000-0400-000009000000}" uniqueName="9" name="76-90" queryTableFieldId="9" dataDxfId="18"/>
    <tableColumn id="10" xr3:uid="{00000000-0010-0000-0400-00000A000000}" uniqueName="10" name="Column1" queryTableFieldId="10" dataDxfId="17"/>
    <tableColumn id="11" xr3:uid="{00000000-0010-0000-0400-00000B000000}" uniqueName="11" name="1st half" queryTableFieldId="11" dataDxfId="16"/>
    <tableColumn id="12" xr3:uid="{00000000-0010-0000-0400-00000C000000}" uniqueName="12" name="1st half_1" queryTableFieldId="12" dataDxfId="15"/>
    <tableColumn id="13" xr3:uid="{00000000-0010-0000-0400-00000D000000}" uniqueName="13" name="2nd half" queryTableFieldId="13" dataDxfId="14"/>
    <tableColumn id="14" xr3:uid="{00000000-0010-0000-0400-00000E000000}" uniqueName="14" name="2nd half_2" queryTableFieldId="1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33" tableType="queryTable" totalsRowShown="0">
  <autoFilter ref="A1:O33" xr:uid="{00000000-0009-0000-0100-00000C000000}"/>
  <tableColumns count="15">
    <tableColumn id="1" xr3:uid="{00000000-0010-0000-0500-000001000000}" uniqueName="1" name="Home" queryTableFieldId="1" dataDxfId="12"/>
    <tableColumn id="15" xr3:uid="{ACB6BC0B-95BE-414A-8473-116B06CC4226}" uniqueName="15" name="GP" queryTableFieldId="28" dataDxfId="11"/>
    <tableColumn id="2" xr3:uid="{00000000-0010-0000-0500-000002000000}" uniqueName="2" name="OGC" queryTableFieldId="2"/>
    <tableColumn id="3" xr3:uid="{00000000-0010-0000-0500-000003000000}" uniqueName="3" name="Avg. minute" queryTableFieldId="3" dataDxfId="10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9"/>
    <tableColumn id="11" xr3:uid="{00000000-0010-0000-0500-00000B000000}" uniqueName="11" name="1st half" queryTableFieldId="11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33" tableType="queryTable" totalsRowShown="0">
  <autoFilter ref="A1:O33" xr:uid="{00000000-0009-0000-0100-00000D000000}"/>
  <tableColumns count="15">
    <tableColumn id="1" xr3:uid="{00000000-0010-0000-0600-000001000000}" uniqueName="1" name="Away" queryTableFieldId="1" dataDxfId="6"/>
    <tableColumn id="15" xr3:uid="{BE9AEFF1-A63A-48CB-AF40-A83393127C44}" uniqueName="15" name="GP" queryTableFieldId="15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3" tableType="queryTable" totalsRowShown="0">
  <autoFilter ref="A1:J33" xr:uid="{00000000-000C-0000-FFFF-FFFF07000000}"/>
  <tableColumns count="10">
    <tableColumn id="31" xr3:uid="{E4176053-E65C-4175-8420-51A711CD392F}" uniqueName="31" name="HT Home" queryTableFieldId="1"/>
    <tableColumn id="32" xr3:uid="{2A47AF2C-7B4A-4ACC-8418-AB4F40006AA2}" uniqueName="32" name="GP" queryTableFieldId="2"/>
    <tableColumn id="33" xr3:uid="{E881E11E-E0CC-4234-9E4A-AD1B80530DAA}" uniqueName="33" name="W" queryTableFieldId="3"/>
    <tableColumn id="34" xr3:uid="{38903B8F-41CF-4A4A-A6E3-9DF1D3900F1C}" uniqueName="34" name="D" queryTableFieldId="4"/>
    <tableColumn id="35" xr3:uid="{4F38F6AB-76C6-46C8-AFD6-1DFE21992085}" uniqueName="35" name="L" queryTableFieldId="5"/>
    <tableColumn id="36" xr3:uid="{B9693501-A205-4D36-B19C-6886DAD11104}" uniqueName="36" name="GF" queryTableFieldId="6"/>
    <tableColumn id="37" xr3:uid="{59EC2190-D5D5-4CFA-A19E-A70B747B9D0D}" uniqueName="37" name="GA" queryTableFieldId="7"/>
    <tableColumn id="38" xr3:uid="{364330C5-6FCF-4A20-AC70-E8590F5E76DF}" uniqueName="38" name="GD" queryTableFieldId="8"/>
    <tableColumn id="39" xr3:uid="{57303D6C-2A3E-4D38-8067-7C1AAE3C7AAB}" uniqueName="39" name="Pts" queryTableFieldId="9"/>
    <tableColumn id="40" xr3:uid="{08B24D1D-C837-4AE5-9A02-8B45C94D9EAC}" uniqueName="4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3" tableType="queryTable" totalsRowShown="0">
  <autoFilter ref="A1:J33" xr:uid="{00000000-000C-0000-FFFF-FFFF08000000}"/>
  <tableColumns count="10">
    <tableColumn id="31" xr3:uid="{85ABB91D-645F-495C-BD9C-FA82D49FE986}" uniqueName="31" name="HT Away" queryTableFieldId="1"/>
    <tableColumn id="32" xr3:uid="{618EB90C-5711-458D-932C-843CDF117E58}" uniqueName="32" name="GP" queryTableFieldId="2"/>
    <tableColumn id="33" xr3:uid="{87E48C6F-B61F-4F24-BF40-65A2A55D5FE2}" uniqueName="33" name="W" queryTableFieldId="3"/>
    <tableColumn id="34" xr3:uid="{B9DEB2D6-A147-456B-926E-462AD460B91F}" uniqueName="34" name="D" queryTableFieldId="4"/>
    <tableColumn id="35" xr3:uid="{F8342248-EDD1-4EDC-8BE3-842B67AA8E06}" uniqueName="35" name="L" queryTableFieldId="5"/>
    <tableColumn id="36" xr3:uid="{E756061F-6B5A-40B7-8D9B-43880FBE0E01}" uniqueName="36" name="GF" queryTableFieldId="6"/>
    <tableColumn id="37" xr3:uid="{B16C14B3-9F11-4816-B04E-141EED3B9A07}" uniqueName="37" name="GA" queryTableFieldId="7"/>
    <tableColumn id="38" xr3:uid="{C5175CFD-D760-4E3C-B8E5-964D66ACC649}" uniqueName="38" name="GD" queryTableFieldId="8"/>
    <tableColumn id="39" xr3:uid="{4FBC1F36-8079-4384-B073-45F3B4E4037A}" uniqueName="39" name="Pts" queryTableFieldId="9"/>
    <tableColumn id="40" xr3:uid="{B780B9DC-2385-4F2A-9CFE-8DCB2CE43CC7}" uniqueName="4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V82"/>
  <sheetViews>
    <sheetView tabSelected="1" zoomScaleNormal="100" workbookViewId="0">
      <selection activeCell="C25" sqref="C25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2" width="9.140625" style="22"/>
  </cols>
  <sheetData>
    <row r="1" spans="1:12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12" ht="47.25" customHeight="1" thickBot="1" x14ac:dyDescent="0.3">
      <c r="A2" s="3">
        <f>(B5/B4)-(C5/C4)+(B10/B4)-(B9/B4)</f>
        <v>0.7142857142857143</v>
      </c>
      <c r="B2" s="32" t="s">
        <v>150</v>
      </c>
      <c r="C2" s="33" t="s">
        <v>154</v>
      </c>
      <c r="D2" s="4">
        <f>(C5/C4)-(B5/B4)+(C10/C4)-(C9/C4)</f>
        <v>0.14285714285714279</v>
      </c>
      <c r="F2" s="71" t="s">
        <v>55</v>
      </c>
      <c r="G2" s="71"/>
      <c r="H2" s="71"/>
      <c r="I2" s="71"/>
      <c r="J2" s="71"/>
    </row>
    <row r="3" spans="1:12" ht="15" customHeight="1" thickBot="1" x14ac:dyDescent="0.3">
      <c r="A3" s="5" t="s">
        <v>77</v>
      </c>
      <c r="B3" s="6">
        <f>IFERROR(INDEX(Matches!$A:$A,MATCH(B2,Matches!$B:$B,0)),"-")</f>
        <v>9</v>
      </c>
      <c r="C3" s="6">
        <f>IFERROR(INDEX(Matches!$A:$A,MATCH(C2,Matches!$B:$B,0)),"-")</f>
        <v>1</v>
      </c>
      <c r="D3" s="5" t="s">
        <v>77</v>
      </c>
    </row>
    <row r="4" spans="1:12" ht="15" customHeight="1" thickBot="1" x14ac:dyDescent="0.3">
      <c r="A4" s="5" t="s">
        <v>53</v>
      </c>
      <c r="B4" s="6">
        <f>SUM(B10:B12)</f>
        <v>7</v>
      </c>
      <c r="C4" s="6">
        <f>SUM(C10:C12)</f>
        <v>7</v>
      </c>
      <c r="D4" s="7" t="s">
        <v>54</v>
      </c>
    </row>
    <row r="5" spans="1:12" ht="15" customHeight="1" thickBot="1" x14ac:dyDescent="0.3">
      <c r="A5" s="5" t="s">
        <v>52</v>
      </c>
      <c r="B5" s="6">
        <f>SUM(B6:B8)</f>
        <v>5</v>
      </c>
      <c r="C5" s="6">
        <f>SUM(C6:C8)</f>
        <v>3</v>
      </c>
      <c r="D5" s="5" t="s">
        <v>52</v>
      </c>
    </row>
    <row r="6" spans="1:12" ht="15" customHeight="1" thickBot="1" x14ac:dyDescent="0.3">
      <c r="A6" s="8" t="s">
        <v>45</v>
      </c>
      <c r="B6" s="9">
        <f>IFERROR(INDEX(OGSHome!$E:E,MATCH(B2,OGSHome!$A:$A,0)),"-")</f>
        <v>3</v>
      </c>
      <c r="C6" s="9">
        <f>IFERROR(INDEX(OGSAway!$E:$E,MATCH(C2,OGSAway!$A:$A,0)),"-")</f>
        <v>1</v>
      </c>
      <c r="D6" s="10" t="s">
        <v>45</v>
      </c>
      <c r="H6"/>
    </row>
    <row r="7" spans="1:12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10" t="s">
        <v>46</v>
      </c>
    </row>
    <row r="8" spans="1:12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12" t="s">
        <v>47</v>
      </c>
    </row>
    <row r="9" spans="1:12" ht="15" customHeight="1" thickBot="1" x14ac:dyDescent="0.3">
      <c r="A9" s="13" t="s">
        <v>51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51</v>
      </c>
    </row>
    <row r="10" spans="1:12" ht="15" customHeight="1" thickBot="1" x14ac:dyDescent="0.3">
      <c r="A10" s="7" t="s">
        <v>56</v>
      </c>
      <c r="B10" s="6">
        <f>IFERROR(INDEX(HTHome!$C:$C,MATCH(B2,HTHome!$A:$A,0)),"-")</f>
        <v>3</v>
      </c>
      <c r="C10" s="6">
        <f>IFERROR(INDEX(HTAway!$C$1:$C$29,MATCH(C2,HTAway!$A$1:$A$29,0)),"-")</f>
        <v>3</v>
      </c>
      <c r="D10" s="7" t="s">
        <v>56</v>
      </c>
      <c r="F10" s="70"/>
      <c r="G10" s="70"/>
      <c r="H10" s="70"/>
      <c r="I10" s="70"/>
      <c r="J10" s="70"/>
      <c r="K10" s="70"/>
      <c r="L10" s="70"/>
    </row>
    <row r="11" spans="1:12" ht="15" customHeight="1" thickBot="1" x14ac:dyDescent="0.3">
      <c r="A11" s="7" t="s">
        <v>57</v>
      </c>
      <c r="B11" s="6">
        <f>IFERROR(INDEX(HTHome!$E:$E,MATCH(B2,HTHome!$A:$A,0)),"-")</f>
        <v>1</v>
      </c>
      <c r="C11" s="6">
        <f>IFERROR(INDEX(HTAway!$E$1:$E$29,MATCH(C2,HTAway!$A$1:$A$29,0)),"-")</f>
        <v>1</v>
      </c>
      <c r="D11" s="7" t="s">
        <v>57</v>
      </c>
      <c r="F11" s="70"/>
      <c r="G11" s="70"/>
      <c r="H11" s="70"/>
      <c r="I11" s="70"/>
      <c r="J11" s="70"/>
      <c r="K11" s="70"/>
      <c r="L11" s="70"/>
    </row>
    <row r="12" spans="1:12" ht="15" customHeight="1" thickBot="1" x14ac:dyDescent="0.3">
      <c r="A12" s="7" t="s">
        <v>60</v>
      </c>
      <c r="B12" s="6">
        <f>IFERROR(INDEX(HTHome!$D:$D,MATCH(B2,HTHome!$A:$A,0)),"-")</f>
        <v>3</v>
      </c>
      <c r="C12" s="6">
        <f>IFERROR(INDEX(HTAway!$D$1:$D$29,MATCH(C2,HTAway!$A$1:$A$29,0)),"-")</f>
        <v>3</v>
      </c>
      <c r="D12" s="7" t="s">
        <v>60</v>
      </c>
      <c r="F12" s="70"/>
      <c r="G12" s="70"/>
      <c r="H12" s="70"/>
      <c r="I12" s="70"/>
      <c r="J12" s="70"/>
      <c r="K12" s="70"/>
      <c r="L12" s="70"/>
    </row>
    <row r="13" spans="1:12" ht="15" customHeight="1" thickBot="1" x14ac:dyDescent="0.3">
      <c r="A13" s="5" t="s">
        <v>76</v>
      </c>
      <c r="B13" s="14">
        <f>B5/B4</f>
        <v>0.7142857142857143</v>
      </c>
      <c r="C13" s="14">
        <f>C5/C4</f>
        <v>0.42857142857142855</v>
      </c>
      <c r="D13" s="5" t="s">
        <v>76</v>
      </c>
      <c r="F13" s="70"/>
      <c r="G13" s="70"/>
      <c r="H13" s="70"/>
      <c r="I13" s="70"/>
      <c r="J13" s="70"/>
      <c r="K13" s="70"/>
      <c r="L13" s="70"/>
    </row>
    <row r="14" spans="1:12" ht="15" customHeight="1" thickBot="1" x14ac:dyDescent="0.3">
      <c r="A14" s="15" t="s">
        <v>48</v>
      </c>
      <c r="B14" s="16">
        <f>(B10*3+B12)/B4</f>
        <v>1.7142857142857142</v>
      </c>
      <c r="C14" s="16">
        <f>(C10*3+C12)/C4</f>
        <v>1.7142857142857142</v>
      </c>
      <c r="D14" s="17" t="s">
        <v>48</v>
      </c>
      <c r="F14" s="70"/>
      <c r="G14" s="70"/>
      <c r="H14" s="70"/>
      <c r="I14" s="70"/>
      <c r="J14" s="70"/>
      <c r="K14" s="70"/>
      <c r="L14" s="70"/>
    </row>
    <row r="15" spans="1:12" ht="15.75" thickBot="1" x14ac:dyDescent="0.3">
      <c r="A15" s="15" t="s">
        <v>50</v>
      </c>
      <c r="B15" s="16">
        <f>IFERROR(INDEX(OGSHome!$C:$C,MATCH(B2,OGSHome!$A:$A,0)),"-")</f>
        <v>5</v>
      </c>
      <c r="C15" s="16">
        <f>IFERROR(INDEX(OGSAway!$C:$C,MATCH(C2,OGSAway!$A:$A,0)),"-")</f>
        <v>5</v>
      </c>
      <c r="D15" s="15" t="s">
        <v>50</v>
      </c>
      <c r="F15" s="70"/>
      <c r="G15" s="70"/>
      <c r="H15" s="70"/>
      <c r="I15" s="70"/>
      <c r="J15" s="70"/>
      <c r="K15" s="70"/>
      <c r="L15" s="70"/>
    </row>
    <row r="16" spans="1:12" x14ac:dyDescent="0.25">
      <c r="A16" s="21"/>
      <c r="B16" s="21"/>
      <c r="C16" s="21"/>
      <c r="D16" s="24"/>
      <c r="G16" s="23"/>
    </row>
    <row r="17" spans="1:10" x14ac:dyDescent="0.25">
      <c r="A17" s="21"/>
      <c r="B17" s="21"/>
      <c r="C17" s="21"/>
      <c r="D17" s="21"/>
      <c r="G17" s="24"/>
      <c r="H17" s="24"/>
      <c r="J17" s="25"/>
    </row>
    <row r="18" spans="1:10" x14ac:dyDescent="0.25">
      <c r="A18" s="21"/>
      <c r="B18" s="21"/>
      <c r="C18" s="21"/>
      <c r="D18" s="21"/>
    </row>
    <row r="19" spans="1:10" x14ac:dyDescent="0.25">
      <c r="A19" s="24" t="s">
        <v>116</v>
      </c>
      <c r="B19" s="23" t="s">
        <v>201</v>
      </c>
      <c r="C19" s="88" t="s">
        <v>202</v>
      </c>
      <c r="D19" s="88"/>
    </row>
    <row r="20" spans="1:10" x14ac:dyDescent="0.25">
      <c r="A20" s="21"/>
      <c r="B20" s="23"/>
      <c r="C20" s="21"/>
      <c r="D20" s="21"/>
      <c r="G20" s="23"/>
    </row>
    <row r="21" spans="1:10" x14ac:dyDescent="0.25">
      <c r="A21" s="21"/>
      <c r="B21" s="21" t="s">
        <v>131</v>
      </c>
      <c r="C21" s="21"/>
      <c r="D21" s="21"/>
      <c r="G21" s="24"/>
      <c r="J21" s="25"/>
    </row>
    <row r="22" spans="1:10" x14ac:dyDescent="0.25">
      <c r="A22" s="21"/>
      <c r="B22" s="21"/>
      <c r="C22" s="21"/>
      <c r="D22" s="21"/>
    </row>
    <row r="23" spans="1:10" x14ac:dyDescent="0.25">
      <c r="A23" s="21"/>
      <c r="B23" s="21"/>
      <c r="C23" s="21"/>
      <c r="D23" s="21"/>
    </row>
    <row r="24" spans="1:10" x14ac:dyDescent="0.25">
      <c r="A24" s="21"/>
      <c r="B24" s="21"/>
      <c r="C24" s="21"/>
      <c r="D24" s="21"/>
    </row>
    <row r="25" spans="1:10" x14ac:dyDescent="0.25">
      <c r="A25" s="21"/>
      <c r="B25" s="21"/>
      <c r="C25" s="21"/>
      <c r="D25" s="21"/>
    </row>
    <row r="26" spans="1:10" x14ac:dyDescent="0.25">
      <c r="A26" s="21"/>
      <c r="B26" s="21"/>
      <c r="C26" s="21"/>
      <c r="D26" s="21"/>
    </row>
    <row r="27" spans="1:10" x14ac:dyDescent="0.25">
      <c r="A27" s="21"/>
      <c r="B27" s="21"/>
      <c r="C27" s="21"/>
      <c r="D27" s="21"/>
    </row>
    <row r="28" spans="1:10" x14ac:dyDescent="0.25">
      <c r="A28" s="21"/>
      <c r="B28" s="21"/>
      <c r="C28" s="21"/>
      <c r="D28" s="21"/>
    </row>
    <row r="29" spans="1:10" x14ac:dyDescent="0.25">
      <c r="A29" s="21"/>
      <c r="B29" s="21"/>
      <c r="C29" s="21"/>
      <c r="D29" s="21"/>
    </row>
    <row r="30" spans="1:10" x14ac:dyDescent="0.25">
      <c r="A30" s="21"/>
      <c r="B30" s="21"/>
      <c r="C30" s="21"/>
      <c r="D30" s="21"/>
    </row>
    <row r="31" spans="1:10" x14ac:dyDescent="0.25">
      <c r="A31" s="21"/>
      <c r="B31" s="21"/>
      <c r="C31" s="21"/>
      <c r="D31" s="21"/>
    </row>
    <row r="32" spans="1:10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s="22" customFormat="1" x14ac:dyDescent="0.25">
      <c r="A46" s="21"/>
      <c r="B46" s="21"/>
      <c r="C46" s="21"/>
      <c r="D46" s="21"/>
    </row>
    <row r="47" spans="1:4" s="22" customFormat="1" x14ac:dyDescent="0.25">
      <c r="A47" s="21"/>
      <c r="B47" s="21"/>
      <c r="C47" s="21"/>
      <c r="D47" s="21"/>
    </row>
    <row r="48" spans="1:4" s="22" customFormat="1" x14ac:dyDescent="0.25">
      <c r="A48" s="21"/>
      <c r="B48" s="21"/>
      <c r="C48" s="21"/>
      <c r="D48" s="21"/>
    </row>
    <row r="49" spans="1:4" s="22" customFormat="1" x14ac:dyDescent="0.25">
      <c r="A49" s="21"/>
      <c r="B49" s="21"/>
      <c r="C49" s="21"/>
      <c r="D49" s="21"/>
    </row>
    <row r="50" spans="1:4" s="22" customFormat="1" x14ac:dyDescent="0.25">
      <c r="A50" s="21"/>
      <c r="B50" s="21"/>
      <c r="C50" s="21"/>
      <c r="D50" s="21"/>
    </row>
    <row r="51" spans="1:4" s="22" customFormat="1" x14ac:dyDescent="0.25">
      <c r="A51" s="21"/>
      <c r="B51" s="21"/>
      <c r="C51" s="21"/>
      <c r="D51" s="21"/>
    </row>
    <row r="52" spans="1:4" s="22" customFormat="1" x14ac:dyDescent="0.25">
      <c r="A52" s="21"/>
      <c r="B52" s="21"/>
      <c r="C52" s="21"/>
      <c r="D52" s="21"/>
    </row>
    <row r="53" spans="1:4" s="22" customFormat="1" x14ac:dyDescent="0.25">
      <c r="A53" s="21"/>
      <c r="B53" s="21"/>
      <c r="C53" s="21"/>
      <c r="D53" s="21"/>
    </row>
    <row r="54" spans="1:4" s="22" customFormat="1" x14ac:dyDescent="0.25">
      <c r="A54" s="21"/>
      <c r="B54" s="21"/>
      <c r="C54" s="21"/>
      <c r="D54" s="21"/>
    </row>
    <row r="55" spans="1:4" s="22" customFormat="1" x14ac:dyDescent="0.25">
      <c r="A55" s="21"/>
      <c r="B55" s="21"/>
      <c r="C55" s="21"/>
      <c r="D55" s="21"/>
    </row>
    <row r="56" spans="1:4" s="22" customFormat="1" x14ac:dyDescent="0.25">
      <c r="A56" s="21"/>
      <c r="B56" s="21"/>
      <c r="C56" s="21"/>
      <c r="D56" s="21"/>
    </row>
    <row r="57" spans="1:4" s="22" customFormat="1" x14ac:dyDescent="0.25">
      <c r="A57" s="21"/>
      <c r="B57" s="21"/>
      <c r="C57" s="21"/>
      <c r="D57" s="21"/>
    </row>
    <row r="58" spans="1:4" s="22" customFormat="1" x14ac:dyDescent="0.25">
      <c r="A58" s="21"/>
      <c r="B58" s="21"/>
      <c r="C58" s="21"/>
      <c r="D58" s="21"/>
    </row>
    <row r="59" spans="1:4" s="22" customFormat="1" x14ac:dyDescent="0.25">
      <c r="A59" s="21"/>
      <c r="B59" s="21"/>
      <c r="C59" s="21"/>
      <c r="D59" s="21"/>
    </row>
    <row r="60" spans="1:4" s="22" customFormat="1" x14ac:dyDescent="0.25">
      <c r="A60" s="21"/>
      <c r="B60" s="21"/>
      <c r="C60" s="21"/>
      <c r="D60" s="21"/>
    </row>
    <row r="61" spans="1:4" s="22" customFormat="1" x14ac:dyDescent="0.25">
      <c r="A61" s="21"/>
      <c r="B61" s="21"/>
      <c r="C61" s="21"/>
      <c r="D61" s="21"/>
    </row>
    <row r="62" spans="1:4" s="22" customFormat="1" x14ac:dyDescent="0.25">
      <c r="A62" s="21"/>
      <c r="B62" s="21"/>
      <c r="C62" s="21"/>
      <c r="D62" s="21"/>
    </row>
    <row r="63" spans="1:4" s="22" customFormat="1" x14ac:dyDescent="0.25">
      <c r="A63" s="21"/>
      <c r="B63" s="21"/>
      <c r="C63" s="21"/>
      <c r="D63" s="21"/>
    </row>
    <row r="64" spans="1:4" s="22" customFormat="1" x14ac:dyDescent="0.25">
      <c r="A64" s="21"/>
      <c r="B64" s="21"/>
      <c r="C64" s="21"/>
      <c r="D64" s="21"/>
    </row>
    <row r="65" spans="1:4" s="22" customFormat="1" x14ac:dyDescent="0.25">
      <c r="A65" s="21"/>
      <c r="B65" s="21"/>
      <c r="C65" s="21"/>
      <c r="D65" s="21"/>
    </row>
    <row r="66" spans="1:4" s="22" customFormat="1" x14ac:dyDescent="0.25">
      <c r="A66" s="21"/>
      <c r="B66" s="21"/>
      <c r="C66" s="21"/>
      <c r="D66" s="21"/>
    </row>
    <row r="67" spans="1:4" s="22" customFormat="1" x14ac:dyDescent="0.25">
      <c r="A67" s="21"/>
      <c r="B67" s="21"/>
      <c r="C67" s="21"/>
      <c r="D67" s="21"/>
    </row>
    <row r="68" spans="1:4" s="22" customFormat="1" x14ac:dyDescent="0.25">
      <c r="A68" s="21"/>
      <c r="B68" s="21"/>
      <c r="C68" s="21"/>
      <c r="D68" s="21"/>
    </row>
    <row r="69" spans="1:4" s="22" customFormat="1" x14ac:dyDescent="0.25">
      <c r="A69" s="21"/>
      <c r="B69" s="21"/>
      <c r="C69" s="21"/>
      <c r="D69" s="21"/>
    </row>
    <row r="70" spans="1:4" s="22" customFormat="1" x14ac:dyDescent="0.25">
      <c r="A70" s="21"/>
      <c r="B70" s="21"/>
      <c r="C70" s="21"/>
      <c r="D70" s="21"/>
    </row>
    <row r="71" spans="1:4" s="22" customFormat="1" x14ac:dyDescent="0.25">
      <c r="A71" s="21"/>
      <c r="B71" s="21"/>
      <c r="C71" s="21"/>
      <c r="D71" s="21"/>
    </row>
    <row r="72" spans="1:4" s="22" customFormat="1" x14ac:dyDescent="0.25">
      <c r="A72" s="21"/>
      <c r="B72" s="21"/>
      <c r="C72" s="21"/>
      <c r="D72" s="21"/>
    </row>
    <row r="73" spans="1:4" s="22" customFormat="1" x14ac:dyDescent="0.25">
      <c r="A73" s="21"/>
      <c r="B73" s="21"/>
      <c r="C73" s="21"/>
      <c r="D73" s="21"/>
    </row>
    <row r="74" spans="1:4" s="22" customFormat="1" x14ac:dyDescent="0.25">
      <c r="A74" s="21"/>
      <c r="B74" s="21"/>
      <c r="C74" s="21"/>
      <c r="D74" s="21"/>
    </row>
    <row r="75" spans="1:4" s="22" customFormat="1" x14ac:dyDescent="0.25">
      <c r="A75" s="21"/>
      <c r="B75" s="21"/>
      <c r="C75" s="21"/>
      <c r="D75" s="21"/>
    </row>
    <row r="76" spans="1:4" s="22" customFormat="1" x14ac:dyDescent="0.25">
      <c r="A76" s="21"/>
      <c r="B76" s="21"/>
      <c r="C76" s="21"/>
      <c r="D76" s="21"/>
    </row>
    <row r="77" spans="1:4" s="22" customFormat="1" x14ac:dyDescent="0.25">
      <c r="A77" s="21"/>
      <c r="B77" s="21"/>
      <c r="C77" s="21"/>
      <c r="D77" s="21"/>
    </row>
    <row r="78" spans="1:4" s="22" customFormat="1" x14ac:dyDescent="0.25">
      <c r="A78" s="21"/>
      <c r="B78" s="21"/>
      <c r="C78" s="21"/>
      <c r="D78" s="21"/>
    </row>
    <row r="79" spans="1:4" s="22" customFormat="1" x14ac:dyDescent="0.25">
      <c r="A79" s="21"/>
      <c r="B79" s="21"/>
      <c r="C79" s="21"/>
      <c r="D79" s="21"/>
    </row>
    <row r="80" spans="1:4" s="22" customFormat="1" x14ac:dyDescent="0.25">
      <c r="A80" s="21"/>
      <c r="B80" s="21"/>
      <c r="C80" s="21"/>
      <c r="D80" s="21"/>
    </row>
    <row r="81" spans="1:4" s="22" customFormat="1" x14ac:dyDescent="0.25">
      <c r="A81" s="21"/>
      <c r="B81" s="21"/>
      <c r="C81" s="21"/>
      <c r="D81" s="21"/>
    </row>
    <row r="82" spans="1:4" s="22" customFormat="1" x14ac:dyDescent="0.25">
      <c r="A82" s="21"/>
      <c r="B82" s="21"/>
      <c r="C82" s="21"/>
      <c r="D82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76" priority="2" operator="lessThan">
      <formula>0.8</formula>
    </cfRule>
    <cfRule type="cellIs" dxfId="75" priority="4" operator="greaterThan">
      <formula>0.8</formula>
    </cfRule>
    <cfRule type="cellIs" dxfId="74" priority="5" operator="greaterThan">
      <formula>0.8</formula>
    </cfRule>
    <cfRule type="cellIs" dxfId="73" priority="6" operator="greaterThan">
      <formula>80</formula>
    </cfRule>
  </conditionalFormatting>
  <conditionalFormatting sqref="D2">
    <cfRule type="cellIs" dxfId="72" priority="1" operator="greaterThan">
      <formula>0.8</formula>
    </cfRule>
    <cfRule type="cellIs" dxfId="71" priority="3" operator="lessThan">
      <formula>0.8</formula>
    </cfRule>
  </conditionalFormatting>
  <hyperlinks>
    <hyperlink ref="C19" r:id="rId1" xr:uid="{A2B265BF-2197-4059-9EA7-250D5C01A5FF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628650</xdr:colOff>
                    <xdr:row>15</xdr:row>
                    <xdr:rowOff>142875</xdr:rowOff>
                  </from>
                  <to>
                    <xdr:col>2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3" sqref="B3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-0.4285714285714286</v>
      </c>
      <c r="B2" s="34" t="str">
        <f>'Half-Time'!B2</f>
        <v>Lisen</v>
      </c>
      <c r="C2" s="35" t="str">
        <f>'Half-Time'!C2</f>
        <v>Vyskov</v>
      </c>
      <c r="D2" s="4">
        <f>(C5/C4)-(B5/B4)+(C13/C4)-(C12/C4)</f>
        <v>-0.5714285714285714</v>
      </c>
      <c r="F2" s="74" t="s">
        <v>55</v>
      </c>
      <c r="G2" s="74"/>
      <c r="H2" s="74"/>
      <c r="I2" s="74"/>
      <c r="J2" s="74"/>
      <c r="K2" s="74"/>
      <c r="L2" s="74"/>
    </row>
    <row r="3" spans="1:12" ht="15" customHeight="1" thickBot="1" x14ac:dyDescent="0.3">
      <c r="A3" s="5" t="s">
        <v>77</v>
      </c>
      <c r="B3" s="6">
        <f>IFERROR(INDEX(Matches!$A:$A,MATCH(B2,Matches!$B:$B,0)),"-")</f>
        <v>9</v>
      </c>
      <c r="C3" s="6">
        <f>IFERROR(INDEX(Matches!$A:$A,MATCH(C2,Matches!$B:$B,0)),"-")</f>
        <v>1</v>
      </c>
      <c r="D3" s="5" t="s">
        <v>77</v>
      </c>
      <c r="F3" s="74"/>
      <c r="G3" s="74"/>
      <c r="H3" s="74"/>
      <c r="I3" s="74"/>
      <c r="J3" s="74"/>
      <c r="K3" s="74"/>
      <c r="L3" s="74"/>
    </row>
    <row r="4" spans="1:12" ht="15" customHeight="1" thickBot="1" x14ac:dyDescent="0.3">
      <c r="A4" s="5" t="s">
        <v>53</v>
      </c>
      <c r="B4" s="6">
        <f>SUM(B13:B15)</f>
        <v>7</v>
      </c>
      <c r="C4" s="6">
        <f>SUM(C13:C15)</f>
        <v>7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5</v>
      </c>
      <c r="C5" s="6">
        <f>SUM(C6:C11)</f>
        <v>5</v>
      </c>
      <c r="D5" s="5" t="s">
        <v>67</v>
      </c>
      <c r="F5" s="75" t="str">
        <f>'Half-Time'!B2</f>
        <v>Lisen</v>
      </c>
      <c r="G5" s="75"/>
      <c r="J5" s="76" t="str">
        <f>'Half-Time'!C2</f>
        <v>Vyskov</v>
      </c>
      <c r="K5" s="76"/>
    </row>
    <row r="6" spans="1:12" ht="15" customHeight="1" thickBot="1" x14ac:dyDescent="0.3">
      <c r="A6" s="8" t="s">
        <v>61</v>
      </c>
      <c r="B6" s="9">
        <f>IFERROR(INDEX(OGSHome!$E:E,MATCH(B2,OGSHome!$A:$A,0)),"-")</f>
        <v>3</v>
      </c>
      <c r="C6" s="9">
        <f>IFERROR(INDEX(OGSAway!$E:$E,MATCH(C2,OGSAway!$A:$A,0)),"-")</f>
        <v>1</v>
      </c>
      <c r="D6" s="8" t="s">
        <v>61</v>
      </c>
      <c r="F6" s="73" t="str">
        <f>Overall!I3</f>
        <v>12/7</v>
      </c>
      <c r="G6" s="73"/>
      <c r="H6" s="72" t="s">
        <v>95</v>
      </c>
      <c r="I6" s="72"/>
      <c r="J6" s="73" t="str">
        <f>Overall!K3</f>
        <v>10/7</v>
      </c>
      <c r="K6" s="73"/>
    </row>
    <row r="7" spans="1:12" ht="15" customHeight="1" thickBot="1" x14ac:dyDescent="0.3">
      <c r="A7" s="8" t="s">
        <v>62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8" t="s">
        <v>62</v>
      </c>
      <c r="F7" s="73">
        <f>Overall!I4</f>
        <v>0.43</v>
      </c>
      <c r="G7" s="73"/>
      <c r="H7" s="72" t="s">
        <v>91</v>
      </c>
      <c r="I7" s="72"/>
      <c r="J7" s="73">
        <f>Overall!K4</f>
        <v>0.71</v>
      </c>
      <c r="K7" s="73"/>
    </row>
    <row r="8" spans="1:12" ht="15" customHeight="1" thickBot="1" x14ac:dyDescent="0.3">
      <c r="A8" s="8" t="s">
        <v>63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8" t="s">
        <v>63</v>
      </c>
      <c r="F8" s="73">
        <f>Overall!I5</f>
        <v>0.43</v>
      </c>
      <c r="G8" s="73"/>
      <c r="H8" s="72" t="s">
        <v>96</v>
      </c>
      <c r="I8" s="72"/>
      <c r="J8" s="73">
        <f>Overall!K5</f>
        <v>0.28999999999999998</v>
      </c>
      <c r="K8" s="73"/>
    </row>
    <row r="9" spans="1:12" ht="15" customHeight="1" thickBot="1" x14ac:dyDescent="0.3">
      <c r="A9" s="8" t="s">
        <v>64</v>
      </c>
      <c r="B9" s="9">
        <f>IFERROR(INDEX(OGSHome!$H:$H,MATCH(B2,OGSHome!$A:$A,0)),"-")</f>
        <v>0</v>
      </c>
      <c r="C9" s="9">
        <f>IFERROR(INDEX(OGSAway!$H:$H,MATCH(C2,OGSAway!$A:$A,0)),"-")</f>
        <v>1</v>
      </c>
      <c r="D9" s="8" t="s">
        <v>64</v>
      </c>
      <c r="F9" s="73">
        <f>Overall!I6</f>
        <v>0.36</v>
      </c>
      <c r="G9" s="73"/>
      <c r="H9" s="72" t="s">
        <v>92</v>
      </c>
      <c r="I9" s="72"/>
      <c r="J9" s="73">
        <f>Overall!K6</f>
        <v>0</v>
      </c>
      <c r="K9" s="73"/>
    </row>
    <row r="10" spans="1:12" ht="15" customHeight="1" thickBot="1" x14ac:dyDescent="0.3">
      <c r="A10" s="8" t="s">
        <v>65</v>
      </c>
      <c r="B10" s="9">
        <f>IFERROR(INDEX(OGSHome!$I:$I,MATCH(B2,OGSHome!$A:$A,0)),"-")</f>
        <v>0</v>
      </c>
      <c r="C10" s="9">
        <f>IFERROR(INDEX(OGSAway!$I:$I,MATCH(C2,OGSAway!$A:$A,0)),"-")</f>
        <v>1</v>
      </c>
      <c r="D10" s="8" t="s">
        <v>65</v>
      </c>
      <c r="F10" s="73">
        <f>Overall!I7</f>
        <v>0.79</v>
      </c>
      <c r="G10" s="73"/>
      <c r="H10" s="77" t="s">
        <v>97</v>
      </c>
      <c r="I10" s="77"/>
      <c r="J10" s="73">
        <f>Overall!K7</f>
        <v>1</v>
      </c>
      <c r="K10" s="73"/>
    </row>
    <row r="11" spans="1:12" ht="15" customHeight="1" thickBot="1" x14ac:dyDescent="0.3">
      <c r="A11" s="8" t="s">
        <v>66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66</v>
      </c>
      <c r="F11" s="73">
        <f>Overall!I8</f>
        <v>0.64</v>
      </c>
      <c r="G11" s="73"/>
      <c r="H11" s="77" t="s">
        <v>98</v>
      </c>
      <c r="I11" s="77"/>
      <c r="J11" s="73">
        <f>Overall!K8</f>
        <v>0.79</v>
      </c>
      <c r="K11" s="7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7</v>
      </c>
      <c r="C12" s="6" t="str">
        <f>IFERROR(INDEX(OGCAway!$B:$B,MATCH(C2,OGCAway!$A:$A,0)),"-")</f>
        <v>7</v>
      </c>
      <c r="D12" s="13" t="s">
        <v>69</v>
      </c>
      <c r="F12" s="73">
        <f>Overall!I9</f>
        <v>0.5</v>
      </c>
      <c r="G12" s="73"/>
      <c r="H12" s="77" t="s">
        <v>99</v>
      </c>
      <c r="I12" s="77"/>
      <c r="J12" s="73">
        <f>Overall!K9</f>
        <v>0.5</v>
      </c>
      <c r="K12" s="73"/>
    </row>
    <row r="13" spans="1:12" ht="15" customHeight="1" thickBot="1" x14ac:dyDescent="0.3">
      <c r="A13" s="7" t="s">
        <v>72</v>
      </c>
      <c r="B13" s="6">
        <f>IFERROR(INDEX(Matches!$N:$N,MATCH(B2,Matches!$B:$B,0)),"-")</f>
        <v>4</v>
      </c>
      <c r="C13" s="6">
        <f>IFERROR(INDEX(Matches!$W:$W,MATCH(C2,Matches!$B:$B,0)),"-")</f>
        <v>3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1</v>
      </c>
      <c r="C14" s="6">
        <f>IFERROR(INDEX(Matches!$Y:$Y,MATCH(C2,Matches!$B:$B,0)),"-")</f>
        <v>1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2</v>
      </c>
      <c r="C15" s="6">
        <f>IFERROR(INDEX(Matches!$X:$X,MATCH(C2,Matches!$B:$B,0)),"-")</f>
        <v>3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0.7142857142857143</v>
      </c>
      <c r="C16" s="14">
        <f>C5/C4</f>
        <v>0.7142857142857143</v>
      </c>
      <c r="D16" s="5" t="s">
        <v>75</v>
      </c>
      <c r="F16" s="80">
        <f>IFERROR(INDEX(ODDS!$O:$O,MATCH(B2,ODDS!$N:$N,0)),"-")</f>
        <v>1.9642857142857142</v>
      </c>
      <c r="G16" s="81"/>
      <c r="H16" s="79" t="s">
        <v>112</v>
      </c>
      <c r="I16" s="79"/>
      <c r="J16" s="81">
        <f>IFERROR(INDEX(ODDS!$P:$P,MATCH(C2,ODDS!$N:$N,0)),"-")</f>
        <v>2.7014285714285715</v>
      </c>
      <c r="K16" s="82"/>
    </row>
    <row r="17" spans="1:11" ht="15" customHeight="1" thickBot="1" x14ac:dyDescent="0.3">
      <c r="A17" s="15" t="s">
        <v>48</v>
      </c>
      <c r="B17" s="16">
        <f>(B13*3+B15)/B4</f>
        <v>2</v>
      </c>
      <c r="C17" s="16">
        <f>(C13*3+C15)/C4</f>
        <v>1.7142857142857142</v>
      </c>
      <c r="D17" s="17" t="s">
        <v>48</v>
      </c>
      <c r="F17" s="84">
        <f>IFERROR(INDEX(ODDS!$Q:$Q,MATCH(B2,ODDS!$N:$N,0)),"-")</f>
        <v>1.8925000000000001</v>
      </c>
      <c r="G17" s="85"/>
      <c r="H17" s="83" t="s">
        <v>115</v>
      </c>
      <c r="I17" s="83"/>
      <c r="J17" s="85">
        <f>IFERROR(INDEX(ODDS!$R:$R,MATCH(C2,ODDS!$N:$N,0)),"-")</f>
        <v>3.2533333333333334</v>
      </c>
      <c r="K17" s="86"/>
    </row>
    <row r="18" spans="1:11" ht="15.75" thickBot="1" x14ac:dyDescent="0.3">
      <c r="A18" s="15" t="s">
        <v>50</v>
      </c>
      <c r="B18" s="16">
        <f>IFERROR(INDEX(OGSHome!$C:$C,MATCH(B2,OGSHome!$A:$A,0)),"-")</f>
        <v>5</v>
      </c>
      <c r="C18" s="16">
        <f>IFERROR(INDEX(OGSAway!$C:$C,MATCH(C2,OGSAway!$A:$A,0)),"-")</f>
        <v>5</v>
      </c>
      <c r="D18" s="15" t="s">
        <v>50</v>
      </c>
    </row>
    <row r="19" spans="1:11" x14ac:dyDescent="0.25">
      <c r="A19" s="22"/>
      <c r="B19" s="22"/>
      <c r="C19" s="22"/>
      <c r="D19" s="22"/>
      <c r="G19" s="23"/>
    </row>
    <row r="20" spans="1:11" x14ac:dyDescent="0.25">
      <c r="A20" s="22"/>
      <c r="B20" s="22"/>
      <c r="C20" s="22"/>
      <c r="D20" s="22"/>
      <c r="G20" s="24"/>
      <c r="J20" s="25"/>
    </row>
    <row r="21" spans="1:11" s="22" customFormat="1" x14ac:dyDescent="0.25">
      <c r="A21" s="78"/>
      <c r="B21" s="87"/>
      <c r="C21" s="87"/>
      <c r="D21" s="78"/>
    </row>
    <row r="22" spans="1:11" s="22" customFormat="1" x14ac:dyDescent="0.25">
      <c r="A22" s="78"/>
      <c r="B22" s="87"/>
      <c r="C22" s="87"/>
      <c r="D22" s="78"/>
    </row>
    <row r="23" spans="1:11" s="22" customFormat="1" x14ac:dyDescent="0.25">
      <c r="A23" s="78"/>
      <c r="B23" s="87"/>
      <c r="C23" s="87"/>
      <c r="D23" s="78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70" priority="25" operator="lessThan">
      <formula>0.8</formula>
    </cfRule>
    <cfRule type="cellIs" dxfId="69" priority="27" operator="greaterThan">
      <formula>0.8</formula>
    </cfRule>
    <cfRule type="cellIs" dxfId="68" priority="28" operator="greaterThan">
      <formula>0.8</formula>
    </cfRule>
    <cfRule type="cellIs" dxfId="67" priority="29" operator="greaterThan">
      <formula>80</formula>
    </cfRule>
  </conditionalFormatting>
  <conditionalFormatting sqref="D2">
    <cfRule type="cellIs" dxfId="66" priority="24" operator="greaterThan">
      <formula>0.8</formula>
    </cfRule>
    <cfRule type="cellIs" dxfId="65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8"/>
  <sheetViews>
    <sheetView zoomScale="90" zoomScaleNormal="90" workbookViewId="0">
      <selection activeCell="B2" sqref="B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168</v>
      </c>
      <c r="B1" s="64" t="s">
        <v>169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170</v>
      </c>
      <c r="L1" s="67" t="s">
        <v>171</v>
      </c>
      <c r="M1" s="64" t="s">
        <v>172</v>
      </c>
      <c r="N1" s="64" t="s">
        <v>173</v>
      </c>
    </row>
    <row r="2" spans="1:14" s="22" customFormat="1" ht="16.5" thickTop="1" thickBot="1" x14ac:dyDescent="0.3">
      <c r="A2" s="65" t="s">
        <v>132</v>
      </c>
      <c r="B2" s="65">
        <f>IFERROR(INDEX(HTHome!$B:$B,MATCH(A2,HTHome!$A:$A,0)),"-")</f>
        <v>6</v>
      </c>
      <c r="C2" s="65">
        <f>IFERROR(INDEX(OGSHome!$D:$D,MATCH(A2,OGSHome!$A:$A,0)),"-")</f>
        <v>11</v>
      </c>
      <c r="D2" s="65">
        <f>IFERROR(INDEX(OGSHome!$E:$E,MATCH(A2,OGSHome!$A:$A,0)),"-")</f>
        <v>4</v>
      </c>
      <c r="E2" s="65">
        <f>IFERROR(INDEX(OGSHome!$F:$F,MATCH(A2,OGSHome!$A:$A,0)),"-")</f>
        <v>2</v>
      </c>
      <c r="F2" s="66">
        <f>IFERROR(INDEX(HTHome!$C:$C,MATCH(A2,HTHome!$A:$A,0)),"-")</f>
        <v>6</v>
      </c>
      <c r="G2" s="66">
        <f>IFERROR(INDEX(HTHome!$E:$E,MATCH(A2,HTHome!$A:$A,0)),"-")</f>
        <v>0</v>
      </c>
      <c r="H2" s="66">
        <f>IFERROR(INDEX(HTHome!$D:$D,MATCH(A2,HTHome!$A:$A,0)),"-")</f>
        <v>0</v>
      </c>
      <c r="I2" s="66">
        <f t="shared" ref="I2:I32" si="0">SUM(C2:E2)</f>
        <v>17</v>
      </c>
      <c r="J2" s="66">
        <f>IFERROR(INDEX(OGCHome!$Q:$Q,MATCH(A2,OGCHome!$A:$A,0)),"-")</f>
        <v>0</v>
      </c>
      <c r="K2" s="68">
        <f t="shared" ref="K2:K32" si="1">I2/B2</f>
        <v>2.8333333333333335</v>
      </c>
      <c r="L2" s="68">
        <f>IFERROR(INDEX('HT(Away) %'!$K:$K,MATCH(A2,'HT(Away) %'!$A:$A,0)),"-")</f>
        <v>0.2857142857142857</v>
      </c>
      <c r="M2" s="68">
        <f t="shared" ref="M2:M32" si="2">(I2/B2)-(J2/B2)+(F2/B2)-(G2/B2)</f>
        <v>3.8333333333333335</v>
      </c>
      <c r="N2" s="68">
        <f>AVERAGE(IFERROR(INDEX('HT(Away) %'!$M:$M,MATCH(A2,'HT(Away) %'!$A:$A,0)),"-"),M2)</f>
        <v>2.1309523809523809</v>
      </c>
    </row>
    <row r="3" spans="1:14" s="22" customFormat="1" ht="16.5" thickTop="1" thickBot="1" x14ac:dyDescent="0.3">
      <c r="A3" s="65" t="s">
        <v>139</v>
      </c>
      <c r="B3" s="65">
        <f>IFERROR(INDEX(HTHome!$B:$B,MATCH(A3,HTHome!$A:$A,0)),"-")</f>
        <v>7</v>
      </c>
      <c r="C3" s="65">
        <f>IFERROR(INDEX(OGSHome!$D:$D,MATCH(A3,OGSHome!$A:$A,0)),"-")</f>
        <v>14</v>
      </c>
      <c r="D3" s="65">
        <f>IFERROR(INDEX(OGSHome!$E:$E,MATCH(A3,OGSHome!$A:$A,0)),"-")</f>
        <v>2</v>
      </c>
      <c r="E3" s="65">
        <f>IFERROR(INDEX(OGSHome!$F:$F,MATCH(A3,OGSHome!$A:$A,0)),"-")</f>
        <v>2</v>
      </c>
      <c r="F3" s="66">
        <f>IFERROR(INDEX(HTHome!$C:$C,MATCH(A3,HTHome!$A:$A,0)),"-")</f>
        <v>5</v>
      </c>
      <c r="G3" s="66">
        <f>IFERROR(INDEX(HTHome!$E:$E,MATCH(A3,HTHome!$A:$A,0)),"-")</f>
        <v>0</v>
      </c>
      <c r="H3" s="66">
        <f>IFERROR(INDEX(HTHome!$D:$D,MATCH(A3,HTHome!$A:$A,0)),"-")</f>
        <v>2</v>
      </c>
      <c r="I3" s="66">
        <f t="shared" si="0"/>
        <v>18</v>
      </c>
      <c r="J3" s="66">
        <f>IFERROR(INDEX(OGCHome!$Q:$Q,MATCH(A3,OGCHome!$A:$A,0)),"-")</f>
        <v>1</v>
      </c>
      <c r="K3" s="68">
        <f t="shared" si="1"/>
        <v>2.5714285714285716</v>
      </c>
      <c r="L3" s="68">
        <f>IFERROR(INDEX('HT(Away) %'!$K:$K,MATCH(A3,'HT(Away) %'!$A:$A,0)),"-")</f>
        <v>0.5</v>
      </c>
      <c r="M3" s="68">
        <f t="shared" si="2"/>
        <v>3.1428571428571432</v>
      </c>
      <c r="N3" s="68">
        <f>AVERAGE(IFERROR(INDEX('HT(Away) %'!$M:$M,MATCH(A3,'HT(Away) %'!$A:$A,0)),"-"),M3)</f>
        <v>1.7380952380952384</v>
      </c>
    </row>
    <row r="4" spans="1:14" s="22" customFormat="1" ht="16.5" thickTop="1" thickBot="1" x14ac:dyDescent="0.3">
      <c r="A4" s="65" t="s">
        <v>148</v>
      </c>
      <c r="B4" s="65">
        <f>IFERROR(INDEX(HTHome!$B:$B,MATCH(A4,HTHome!$A:$A,0)),"-")</f>
        <v>6</v>
      </c>
      <c r="C4" s="65">
        <f>IFERROR(INDEX(OGSHome!$D:$D,MATCH(A4,OGSHome!$A:$A,0)),"-")</f>
        <v>30</v>
      </c>
      <c r="D4" s="65">
        <f>IFERROR(INDEX(OGSHome!$E:$E,MATCH(A4,OGSHome!$A:$A,0)),"-")</f>
        <v>2</v>
      </c>
      <c r="E4" s="65">
        <f>IFERROR(INDEX(OGSHome!$F:$F,MATCH(A4,OGSHome!$A:$A,0)),"-")</f>
        <v>1</v>
      </c>
      <c r="F4" s="66">
        <f>IFERROR(INDEX(HTHome!$C:$C,MATCH(A4,HTHome!$A:$A,0)),"-")</f>
        <v>3</v>
      </c>
      <c r="G4" s="66">
        <f>IFERROR(INDEX(HTHome!$E:$E,MATCH(A4,HTHome!$A:$A,0)),"-")</f>
        <v>1</v>
      </c>
      <c r="H4" s="66">
        <f>IFERROR(INDEX(HTHome!$D:$D,MATCH(A4,HTHome!$A:$A,0)),"-")</f>
        <v>2</v>
      </c>
      <c r="I4" s="66">
        <f t="shared" si="0"/>
        <v>33</v>
      </c>
      <c r="J4" s="66">
        <f>IFERROR(INDEX(OGCHome!$Q:$Q,MATCH(A4,OGCHome!$A:$A,0)),"-")</f>
        <v>1</v>
      </c>
      <c r="K4" s="68">
        <f t="shared" si="1"/>
        <v>5.5</v>
      </c>
      <c r="L4" s="68">
        <f>IFERROR(INDEX('HT(Away) %'!$K:$K,MATCH(A4,'HT(Away) %'!$A:$A,0)),"-")</f>
        <v>3.75</v>
      </c>
      <c r="M4" s="68">
        <f t="shared" si="2"/>
        <v>5.6666666666666661</v>
      </c>
      <c r="N4" s="68">
        <f>AVERAGE(IFERROR(INDEX('HT(Away) %'!$M:$M,MATCH(A4,'HT(Away) %'!$A:$A,0)),"-"),M4)</f>
        <v>4.833333333333333</v>
      </c>
    </row>
    <row r="5" spans="1:14" s="22" customFormat="1" ht="16.5" thickTop="1" thickBot="1" x14ac:dyDescent="0.3">
      <c r="A5" s="65" t="s">
        <v>157</v>
      </c>
      <c r="B5" s="65">
        <f>IFERROR(INDEX(HTHome!$B:$B,MATCH(A5,HTHome!$A:$A,0)),"-")</f>
        <v>6</v>
      </c>
      <c r="C5" s="65">
        <f>IFERROR(INDEX(OGSHome!$D:$D,MATCH(A5,OGSHome!$A:$A,0)),"-")</f>
        <v>16</v>
      </c>
      <c r="D5" s="65">
        <f>IFERROR(INDEX(OGSHome!$E:$E,MATCH(A5,OGSHome!$A:$A,0)),"-")</f>
        <v>4</v>
      </c>
      <c r="E5" s="65">
        <f>IFERROR(INDEX(OGSHome!$F:$F,MATCH(A5,OGSHome!$A:$A,0)),"-")</f>
        <v>0</v>
      </c>
      <c r="F5" s="66">
        <f>IFERROR(INDEX(HTHome!$C:$C,MATCH(A5,HTHome!$A:$A,0)),"-")</f>
        <v>4</v>
      </c>
      <c r="G5" s="66">
        <f>IFERROR(INDEX(HTHome!$E:$E,MATCH(A5,HTHome!$A:$A,0)),"-")</f>
        <v>1</v>
      </c>
      <c r="H5" s="66">
        <f>IFERROR(INDEX(HTHome!$D:$D,MATCH(A5,HTHome!$A:$A,0)),"-")</f>
        <v>1</v>
      </c>
      <c r="I5" s="66">
        <f t="shared" si="0"/>
        <v>20</v>
      </c>
      <c r="J5" s="66">
        <f>IFERROR(INDEX(OGCHome!$Q:$Q,MATCH(A5,OGCHome!$A:$A,0)),"-")</f>
        <v>1</v>
      </c>
      <c r="K5" s="68">
        <f t="shared" si="1"/>
        <v>3.3333333333333335</v>
      </c>
      <c r="L5" s="68">
        <f>IFERROR(INDEX('HT(Away) %'!$K:$K,MATCH(A5,'HT(Away) %'!$A:$A,0)),"-")</f>
        <v>4.125</v>
      </c>
      <c r="M5" s="68">
        <f t="shared" si="2"/>
        <v>3.666666666666667</v>
      </c>
      <c r="N5" s="68">
        <f>AVERAGE(IFERROR(INDEX('HT(Away) %'!$M:$M,MATCH(A5,'HT(Away) %'!$A:$A,0)),"-"),M5)</f>
        <v>3.5833333333333335</v>
      </c>
    </row>
    <row r="6" spans="1:14" s="22" customFormat="1" ht="16.5" thickTop="1" thickBot="1" x14ac:dyDescent="0.3">
      <c r="A6" s="65" t="s">
        <v>154</v>
      </c>
      <c r="B6" s="65">
        <f>IFERROR(INDEX(HTHome!$B:$B,MATCH(A6,HTHome!$A:$A,0)),"-")</f>
        <v>7</v>
      </c>
      <c r="C6" s="65">
        <f>IFERROR(INDEX(OGSHome!$D:$D,MATCH(A6,OGSHome!$A:$A,0)),"-")</f>
        <v>29</v>
      </c>
      <c r="D6" s="65">
        <f>IFERROR(INDEX(OGSHome!$E:$E,MATCH(A6,OGSHome!$A:$A,0)),"-")</f>
        <v>2</v>
      </c>
      <c r="E6" s="65">
        <f>IFERROR(INDEX(OGSHome!$F:$F,MATCH(A6,OGSHome!$A:$A,0)),"-")</f>
        <v>1</v>
      </c>
      <c r="F6" s="66">
        <f>IFERROR(INDEX(HTHome!$C:$C,MATCH(A6,HTHome!$A:$A,0)),"-")</f>
        <v>3</v>
      </c>
      <c r="G6" s="66">
        <f>IFERROR(INDEX(HTHome!$E:$E,MATCH(A6,HTHome!$A:$A,0)),"-")</f>
        <v>2</v>
      </c>
      <c r="H6" s="66">
        <f>IFERROR(INDEX(HTHome!$D:$D,MATCH(A6,HTHome!$A:$A,0)),"-")</f>
        <v>2</v>
      </c>
      <c r="I6" s="66">
        <f t="shared" si="0"/>
        <v>32</v>
      </c>
      <c r="J6" s="66">
        <f>IFERROR(INDEX(OGCHome!$Q:$Q,MATCH(A6,OGCHome!$A:$A,0)),"-")</f>
        <v>2</v>
      </c>
      <c r="K6" s="68">
        <f t="shared" si="1"/>
        <v>4.5714285714285712</v>
      </c>
      <c r="L6" s="68">
        <f>IFERROR(INDEX('HT(Away) %'!$K:$K,MATCH(A6,'HT(Away) %'!$A:$A,0)),"-")</f>
        <v>5.5714285714285712</v>
      </c>
      <c r="M6" s="68">
        <f t="shared" si="2"/>
        <v>4.4285714285714288</v>
      </c>
      <c r="N6" s="68">
        <f>AVERAGE(IFERROR(INDEX('HT(Away) %'!$M:$M,MATCH(A6,'HT(Away) %'!$A:$A,0)),"-"),M6)</f>
        <v>5.0714285714285712</v>
      </c>
    </row>
    <row r="7" spans="1:14" s="22" customFormat="1" ht="16.5" thickTop="1" thickBot="1" x14ac:dyDescent="0.3">
      <c r="A7" s="65" t="s">
        <v>155</v>
      </c>
      <c r="B7" s="65">
        <f>IFERROR(INDEX(HTHome!$B:$B,MATCH(A7,HTHome!$A:$A,0)),"-")</f>
        <v>7</v>
      </c>
      <c r="C7" s="65">
        <f>IFERROR(INDEX(OGSHome!$D:$D,MATCH(A7,OGSHome!$A:$A,0)),"-")</f>
        <v>31</v>
      </c>
      <c r="D7" s="65">
        <f>IFERROR(INDEX(OGSHome!$E:$E,MATCH(A7,OGSHome!$A:$A,0)),"-")</f>
        <v>2</v>
      </c>
      <c r="E7" s="65">
        <f>IFERROR(INDEX(OGSHome!$F:$F,MATCH(A7,OGSHome!$A:$A,0)),"-")</f>
        <v>0</v>
      </c>
      <c r="F7" s="66">
        <f>IFERROR(INDEX(HTHome!$C:$C,MATCH(A7,HTHome!$A:$A,0)),"-")</f>
        <v>2</v>
      </c>
      <c r="G7" s="66">
        <f>IFERROR(INDEX(HTHome!$E:$E,MATCH(A7,HTHome!$A:$A,0)),"-")</f>
        <v>1</v>
      </c>
      <c r="H7" s="66">
        <f>IFERROR(INDEX(HTHome!$D:$D,MATCH(A7,HTHome!$A:$A,0)),"-")</f>
        <v>4</v>
      </c>
      <c r="I7" s="66">
        <f t="shared" si="0"/>
        <v>33</v>
      </c>
      <c r="J7" s="66">
        <f>IFERROR(INDEX(OGCHome!$Q:$Q,MATCH(A7,OGCHome!$A:$A,0)),"-")</f>
        <v>2</v>
      </c>
      <c r="K7" s="68">
        <f t="shared" si="1"/>
        <v>4.7142857142857144</v>
      </c>
      <c r="L7" s="68">
        <f>IFERROR(INDEX('HT(Away) %'!$K:$K,MATCH(A7,'HT(Away) %'!$A:$A,0)),"-")</f>
        <v>4.5714285714285712</v>
      </c>
      <c r="M7" s="68">
        <f t="shared" si="2"/>
        <v>4.5714285714285712</v>
      </c>
      <c r="N7" s="68">
        <f>AVERAGE(IFERROR(INDEX('HT(Away) %'!$M:$M,MATCH(A7,'HT(Away) %'!$A:$A,0)),"-"),M7)</f>
        <v>4.6428571428571423</v>
      </c>
    </row>
    <row r="8" spans="1:14" s="22" customFormat="1" ht="16.5" thickTop="1" thickBot="1" x14ac:dyDescent="0.3">
      <c r="A8" s="65" t="s">
        <v>133</v>
      </c>
      <c r="B8" s="65">
        <f>IFERROR(INDEX(HTHome!$B:$B,MATCH(A8,HTHome!$A:$A,0)),"-")</f>
        <v>6</v>
      </c>
      <c r="C8" s="65">
        <f>IFERROR(INDEX(OGSHome!$D:$D,MATCH(A8,OGSHome!$A:$A,0)),"-")</f>
        <v>47</v>
      </c>
      <c r="D8" s="65">
        <f>IFERROR(INDEX(OGSHome!$E:$E,MATCH(A8,OGSHome!$A:$A,0)),"-")</f>
        <v>1</v>
      </c>
      <c r="E8" s="65">
        <f>IFERROR(INDEX(OGSHome!$F:$F,MATCH(A8,OGSHome!$A:$A,0)),"-")</f>
        <v>0</v>
      </c>
      <c r="F8" s="66">
        <f>IFERROR(INDEX(HTHome!$C:$C,MATCH(A8,HTHome!$A:$A,0)),"-")</f>
        <v>2</v>
      </c>
      <c r="G8" s="66">
        <f>IFERROR(INDEX(HTHome!$E:$E,MATCH(A8,HTHome!$A:$A,0)),"-")</f>
        <v>0</v>
      </c>
      <c r="H8" s="66">
        <f>IFERROR(INDEX(HTHome!$D:$D,MATCH(A8,HTHome!$A:$A,0)),"-")</f>
        <v>4</v>
      </c>
      <c r="I8" s="66">
        <f t="shared" si="0"/>
        <v>48</v>
      </c>
      <c r="J8" s="66">
        <f>IFERROR(INDEX(OGCHome!$Q:$Q,MATCH(A8,OGCHome!$A:$A,0)),"-")</f>
        <v>1</v>
      </c>
      <c r="K8" s="68">
        <f t="shared" si="1"/>
        <v>8</v>
      </c>
      <c r="L8" s="68">
        <f>IFERROR(INDEX('HT(Away) %'!$K:$K,MATCH(A8,'HT(Away) %'!$A:$A,0)),"-")</f>
        <v>0.42857142857142855</v>
      </c>
      <c r="M8" s="68">
        <f t="shared" si="2"/>
        <v>8.1666666666666661</v>
      </c>
      <c r="N8" s="68">
        <f>AVERAGE(IFERROR(INDEX('HT(Away) %'!$M:$M,MATCH(A8,'HT(Away) %'!$A:$A,0)),"-"),M8)</f>
        <v>4.2261904761904763</v>
      </c>
    </row>
    <row r="9" spans="1:14" s="22" customFormat="1" ht="16.5" thickTop="1" thickBot="1" x14ac:dyDescent="0.3">
      <c r="A9" s="65" t="s">
        <v>152</v>
      </c>
      <c r="B9" s="65">
        <f>IFERROR(INDEX(HTHome!$B:$B,MATCH(A9,HTHome!$A:$A,0)),"-")</f>
        <v>8</v>
      </c>
      <c r="C9" s="65">
        <f>IFERROR(INDEX(OGSHome!$D:$D,MATCH(A9,OGSHome!$A:$A,0)),"-")</f>
        <v>13</v>
      </c>
      <c r="D9" s="65">
        <f>IFERROR(INDEX(OGSHome!$E:$E,MATCH(A9,OGSHome!$A:$A,0)),"-")</f>
        <v>4</v>
      </c>
      <c r="E9" s="65">
        <f>IFERROR(INDEX(OGSHome!$F:$F,MATCH(A9,OGSHome!$A:$A,0)),"-")</f>
        <v>0</v>
      </c>
      <c r="F9" s="66">
        <f>IFERROR(INDEX(HTHome!$C:$C,MATCH(A9,HTHome!$A:$A,0)),"-")</f>
        <v>5</v>
      </c>
      <c r="G9" s="66">
        <f>IFERROR(INDEX(HTHome!$E:$E,MATCH(A9,HTHome!$A:$A,0)),"-")</f>
        <v>0</v>
      </c>
      <c r="H9" s="66">
        <f>IFERROR(INDEX(HTHome!$D:$D,MATCH(A9,HTHome!$A:$A,0)),"-")</f>
        <v>3</v>
      </c>
      <c r="I9" s="66">
        <f t="shared" si="0"/>
        <v>17</v>
      </c>
      <c r="J9" s="66">
        <f>IFERROR(INDEX(OGCHome!$Q:$Q,MATCH(A9,OGCHome!$A:$A,0)),"-")</f>
        <v>0</v>
      </c>
      <c r="K9" s="68">
        <f t="shared" si="1"/>
        <v>2.125</v>
      </c>
      <c r="L9" s="68">
        <f>IFERROR(INDEX('HT(Away) %'!$K:$K,MATCH(A9,'HT(Away) %'!$A:$A,0)),"-")</f>
        <v>8</v>
      </c>
      <c r="M9" s="68">
        <f t="shared" si="2"/>
        <v>2.75</v>
      </c>
      <c r="N9" s="68">
        <f>AVERAGE(IFERROR(INDEX('HT(Away) %'!$M:$M,MATCH(A9,'HT(Away) %'!$A:$A,0)),"-"),M9)</f>
        <v>5.2916666666666661</v>
      </c>
    </row>
    <row r="10" spans="1:14" s="22" customFormat="1" ht="16.5" thickTop="1" thickBot="1" x14ac:dyDescent="0.3">
      <c r="A10" s="65" t="s">
        <v>138</v>
      </c>
      <c r="B10" s="65">
        <f>IFERROR(INDEX(HTHome!$B:$B,MATCH(A10,HTHome!$A:$A,0)),"-")</f>
        <v>6</v>
      </c>
      <c r="C10" s="65">
        <f>IFERROR(INDEX(OGSHome!$D:$D,MATCH(A10,OGSHome!$A:$A,0)),"-")</f>
        <v>27</v>
      </c>
      <c r="D10" s="65">
        <f>IFERROR(INDEX(OGSHome!$E:$E,MATCH(A10,OGSHome!$A:$A,0)),"-")</f>
        <v>1</v>
      </c>
      <c r="E10" s="65">
        <f>IFERROR(INDEX(OGSHome!$F:$F,MATCH(A10,OGSHome!$A:$A,0)),"-")</f>
        <v>2</v>
      </c>
      <c r="F10" s="66">
        <f>IFERROR(INDEX(HTHome!$C:$C,MATCH(A10,HTHome!$A:$A,0)),"-")</f>
        <v>4</v>
      </c>
      <c r="G10" s="66">
        <f>IFERROR(INDEX(HTHome!$E:$E,MATCH(A10,HTHome!$A:$A,0)),"-")</f>
        <v>1</v>
      </c>
      <c r="H10" s="66">
        <f>IFERROR(INDEX(HTHome!$D:$D,MATCH(A10,HTHome!$A:$A,0)),"-")</f>
        <v>1</v>
      </c>
      <c r="I10" s="66">
        <f t="shared" si="0"/>
        <v>30</v>
      </c>
      <c r="J10" s="66">
        <f>IFERROR(INDEX(OGCHome!$Q:$Q,MATCH(A10,OGCHome!$A:$A,0)),"-")</f>
        <v>1</v>
      </c>
      <c r="K10" s="68">
        <f t="shared" si="1"/>
        <v>5</v>
      </c>
      <c r="L10" s="68">
        <f>IFERROR(INDEX('HT(Away) %'!$K:$K,MATCH(A10,'HT(Away) %'!$A:$A,0)),"-")</f>
        <v>0</v>
      </c>
      <c r="M10" s="68">
        <f t="shared" si="2"/>
        <v>5.333333333333333</v>
      </c>
      <c r="N10" s="68">
        <f>AVERAGE(IFERROR(INDEX('HT(Away) %'!$M:$M,MATCH(A10,'HT(Away) %'!$A:$A,0)),"-"),M10)</f>
        <v>2.0952380952380949</v>
      </c>
    </row>
    <row r="11" spans="1:14" s="22" customFormat="1" ht="16.5" thickTop="1" thickBot="1" x14ac:dyDescent="0.3">
      <c r="A11" s="65" t="s">
        <v>153</v>
      </c>
      <c r="B11" s="65">
        <f>IFERROR(INDEX(HTHome!$B:$B,MATCH(A11,HTHome!$A:$A,0)),"-")</f>
        <v>7</v>
      </c>
      <c r="C11" s="65">
        <f>IFERROR(INDEX(OGSHome!$D:$D,MATCH(A11,OGSHome!$A:$A,0)),"-")</f>
        <v>32</v>
      </c>
      <c r="D11" s="65">
        <f>IFERROR(INDEX(OGSHome!$E:$E,MATCH(A11,OGSHome!$A:$A,0)),"-")</f>
        <v>0</v>
      </c>
      <c r="E11" s="65">
        <f>IFERROR(INDEX(OGSHome!$F:$F,MATCH(A11,OGSHome!$A:$A,0)),"-")</f>
        <v>1</v>
      </c>
      <c r="F11" s="66">
        <f>IFERROR(INDEX(HTHome!$C:$C,MATCH(A11,HTHome!$A:$A,0)),"-")</f>
        <v>2</v>
      </c>
      <c r="G11" s="66">
        <f>IFERROR(INDEX(HTHome!$E:$E,MATCH(A11,HTHome!$A:$A,0)),"-")</f>
        <v>2</v>
      </c>
      <c r="H11" s="66">
        <f>IFERROR(INDEX(HTHome!$D:$D,MATCH(A11,HTHome!$A:$A,0)),"-")</f>
        <v>3</v>
      </c>
      <c r="I11" s="66">
        <f t="shared" si="0"/>
        <v>33</v>
      </c>
      <c r="J11" s="66">
        <f>IFERROR(INDEX(OGCHome!$Q:$Q,MATCH(A11,OGCHome!$A:$A,0)),"-")</f>
        <v>2</v>
      </c>
      <c r="K11" s="68">
        <f t="shared" si="1"/>
        <v>4.7142857142857144</v>
      </c>
      <c r="L11" s="68">
        <f>IFERROR(INDEX('HT(Away) %'!$K:$K,MATCH(A11,'HT(Away) %'!$A:$A,0)),"-")</f>
        <v>2.4285714285714284</v>
      </c>
      <c r="M11" s="68">
        <f t="shared" si="2"/>
        <v>4.4285714285714288</v>
      </c>
      <c r="N11" s="68">
        <f>AVERAGE(IFERROR(INDEX('HT(Away) %'!$M:$M,MATCH(A11,'HT(Away) %'!$A:$A,0)),"-"),M11)</f>
        <v>3.1428571428571428</v>
      </c>
    </row>
    <row r="12" spans="1:14" s="22" customFormat="1" ht="16.5" thickTop="1" thickBot="1" x14ac:dyDescent="0.3">
      <c r="A12" s="65" t="s">
        <v>140</v>
      </c>
      <c r="B12" s="65">
        <f>IFERROR(INDEX(HTHome!$B:$B,MATCH(A12,HTHome!$A:$A,0)),"-")</f>
        <v>7</v>
      </c>
      <c r="C12" s="65">
        <f>IFERROR(INDEX(OGSHome!$D:$D,MATCH(A12,OGSHome!$A:$A,0)),"-")</f>
        <v>30</v>
      </c>
      <c r="D12" s="65">
        <f>IFERROR(INDEX(OGSHome!$E:$E,MATCH(A12,OGSHome!$A:$A,0)),"-")</f>
        <v>3</v>
      </c>
      <c r="E12" s="65">
        <f>IFERROR(INDEX(OGSHome!$F:$F,MATCH(A12,OGSHome!$A:$A,0)),"-")</f>
        <v>0</v>
      </c>
      <c r="F12" s="66">
        <f>IFERROR(INDEX(HTHome!$C:$C,MATCH(A12,HTHome!$A:$A,0)),"-")</f>
        <v>2</v>
      </c>
      <c r="G12" s="66">
        <f>IFERROR(INDEX(HTHome!$E:$E,MATCH(A12,HTHome!$A:$A,0)),"-")</f>
        <v>1</v>
      </c>
      <c r="H12" s="66">
        <f>IFERROR(INDEX(HTHome!$D:$D,MATCH(A12,HTHome!$A:$A,0)),"-")</f>
        <v>4</v>
      </c>
      <c r="I12" s="66">
        <f t="shared" si="0"/>
        <v>33</v>
      </c>
      <c r="J12" s="66">
        <f>IFERROR(INDEX(OGCHome!$Q:$Q,MATCH(A12,OGCHome!$A:$A,0)),"-")</f>
        <v>1</v>
      </c>
      <c r="K12" s="68">
        <f t="shared" si="1"/>
        <v>4.7142857142857144</v>
      </c>
      <c r="L12" s="68">
        <f>IFERROR(INDEX('HT(Away) %'!$K:$K,MATCH(A12,'HT(Away) %'!$A:$A,0)),"-")</f>
        <v>0.16666666666666666</v>
      </c>
      <c r="M12" s="68">
        <f t="shared" si="2"/>
        <v>4.7142857142857135</v>
      </c>
      <c r="N12" s="68">
        <f>AVERAGE(IFERROR(INDEX('HT(Away) %'!$M:$M,MATCH(A12,'HT(Away) %'!$A:$A,0)),"-"),M12)</f>
        <v>2.2738095238095233</v>
      </c>
    </row>
    <row r="13" spans="1:14" s="22" customFormat="1" ht="16.5" thickTop="1" thickBot="1" x14ac:dyDescent="0.3">
      <c r="A13" s="65" t="s">
        <v>149</v>
      </c>
      <c r="B13" s="65">
        <f>IFERROR(INDEX(HTHome!$B:$B,MATCH(A13,HTHome!$A:$A,0)),"-")</f>
        <v>8</v>
      </c>
      <c r="C13" s="65">
        <f>IFERROR(INDEX(OGSHome!$D:$D,MATCH(A13,OGSHome!$A:$A,0)),"-")</f>
        <v>24</v>
      </c>
      <c r="D13" s="65">
        <f>IFERROR(INDEX(OGSHome!$E:$E,MATCH(A13,OGSHome!$A:$A,0)),"-")</f>
        <v>1</v>
      </c>
      <c r="E13" s="65">
        <f>IFERROR(INDEX(OGSHome!$F:$F,MATCH(A13,OGSHome!$A:$A,0)),"-")</f>
        <v>1</v>
      </c>
      <c r="F13" s="66">
        <f>IFERROR(INDEX(HTHome!$C:$C,MATCH(A13,HTHome!$A:$A,0)),"-")</f>
        <v>3</v>
      </c>
      <c r="G13" s="66">
        <f>IFERROR(INDEX(HTHome!$E:$E,MATCH(A13,HTHome!$A:$A,0)),"-")</f>
        <v>1</v>
      </c>
      <c r="H13" s="66">
        <f>IFERROR(INDEX(HTHome!$D:$D,MATCH(A13,HTHome!$A:$A,0)),"-")</f>
        <v>4</v>
      </c>
      <c r="I13" s="66">
        <f t="shared" si="0"/>
        <v>26</v>
      </c>
      <c r="J13" s="66">
        <f>IFERROR(INDEX(OGCHome!$Q:$Q,MATCH(A13,OGCHome!$A:$A,0)),"-")</f>
        <v>2</v>
      </c>
      <c r="K13" s="68">
        <f t="shared" si="1"/>
        <v>3.25</v>
      </c>
      <c r="L13" s="68">
        <f>IFERROR(INDEX('HT(Away) %'!$K:$K,MATCH(A13,'HT(Away) %'!$A:$A,0)),"-")</f>
        <v>3.8333333333333335</v>
      </c>
      <c r="M13" s="68">
        <f t="shared" si="2"/>
        <v>3.25</v>
      </c>
      <c r="N13" s="68">
        <f>AVERAGE(IFERROR(INDEX('HT(Away) %'!$M:$M,MATCH(A13,'HT(Away) %'!$A:$A,0)),"-"),M13)</f>
        <v>3.291666666666667</v>
      </c>
    </row>
    <row r="14" spans="1:14" s="22" customFormat="1" ht="16.5" thickTop="1" thickBot="1" x14ac:dyDescent="0.3">
      <c r="A14" s="65" t="s">
        <v>135</v>
      </c>
      <c r="B14" s="65">
        <f>IFERROR(INDEX(HTHome!$B:$B,MATCH(A14,HTHome!$A:$A,0)),"-")</f>
        <v>6</v>
      </c>
      <c r="C14" s="65">
        <f>IFERROR(INDEX(OGSHome!$D:$D,MATCH(A14,OGSHome!$A:$A,0)),"-")</f>
        <v>28</v>
      </c>
      <c r="D14" s="65">
        <f>IFERROR(INDEX(OGSHome!$E:$E,MATCH(A14,OGSHome!$A:$A,0)),"-")</f>
        <v>0</v>
      </c>
      <c r="E14" s="65">
        <f>IFERROR(INDEX(OGSHome!$F:$F,MATCH(A14,OGSHome!$A:$A,0)),"-")</f>
        <v>1</v>
      </c>
      <c r="F14" s="66">
        <f>IFERROR(INDEX(HTHome!$C:$C,MATCH(A14,HTHome!$A:$A,0)),"-")</f>
        <v>1</v>
      </c>
      <c r="G14" s="66">
        <f>IFERROR(INDEX(HTHome!$E:$E,MATCH(A14,HTHome!$A:$A,0)),"-")</f>
        <v>1</v>
      </c>
      <c r="H14" s="66">
        <f>IFERROR(INDEX(HTHome!$D:$D,MATCH(A14,HTHome!$A:$A,0)),"-")</f>
        <v>4</v>
      </c>
      <c r="I14" s="66">
        <f t="shared" si="0"/>
        <v>29</v>
      </c>
      <c r="J14" s="66">
        <f>IFERROR(INDEX(OGCHome!$Q:$Q,MATCH(A14,OGCHome!$A:$A,0)),"-")</f>
        <v>1</v>
      </c>
      <c r="K14" s="68">
        <f t="shared" si="1"/>
        <v>4.833333333333333</v>
      </c>
      <c r="L14" s="68">
        <f>IFERROR(INDEX('HT(Away) %'!$K:$K,MATCH(A14,'HT(Away) %'!$A:$A,0)),"-")</f>
        <v>0.14285714285714285</v>
      </c>
      <c r="M14" s="68">
        <f t="shared" si="2"/>
        <v>4.6666666666666661</v>
      </c>
      <c r="N14" s="68">
        <f>AVERAGE(IFERROR(INDEX('HT(Away) %'!$M:$M,MATCH(A14,'HT(Away) %'!$A:$A,0)),"-"),M14)</f>
        <v>2.2619047619047614</v>
      </c>
    </row>
    <row r="15" spans="1:14" s="22" customFormat="1" ht="16.5" thickTop="1" thickBot="1" x14ac:dyDescent="0.3">
      <c r="A15" s="65" t="s">
        <v>136</v>
      </c>
      <c r="B15" s="65">
        <f>IFERROR(INDEX(HTHome!$B:$B,MATCH(A15,HTHome!$A:$A,0)),"-")</f>
        <v>7</v>
      </c>
      <c r="C15" s="65">
        <f>IFERROR(INDEX(OGSHome!$D:$D,MATCH(A15,OGSHome!$A:$A,0)),"-")</f>
        <v>38</v>
      </c>
      <c r="D15" s="65">
        <f>IFERROR(INDEX(OGSHome!$E:$E,MATCH(A15,OGSHome!$A:$A,0)),"-")</f>
        <v>1</v>
      </c>
      <c r="E15" s="65">
        <f>IFERROR(INDEX(OGSHome!$F:$F,MATCH(A15,OGSHome!$A:$A,0)),"-")</f>
        <v>1</v>
      </c>
      <c r="F15" s="66">
        <f>IFERROR(INDEX(HTHome!$C:$C,MATCH(A15,HTHome!$A:$A,0)),"-")</f>
        <v>3</v>
      </c>
      <c r="G15" s="66">
        <f>IFERROR(INDEX(HTHome!$E:$E,MATCH(A15,HTHome!$A:$A,0)),"-")</f>
        <v>1</v>
      </c>
      <c r="H15" s="66">
        <f>IFERROR(INDEX(HTHome!$D:$D,MATCH(A15,HTHome!$A:$A,0)),"-")</f>
        <v>3</v>
      </c>
      <c r="I15" s="66">
        <f t="shared" si="0"/>
        <v>40</v>
      </c>
      <c r="J15" s="66">
        <f>IFERROR(INDEX(OGCHome!$Q:$Q,MATCH(A15,OGCHome!$A:$A,0)),"-")</f>
        <v>2</v>
      </c>
      <c r="K15" s="68">
        <f t="shared" si="1"/>
        <v>5.7142857142857144</v>
      </c>
      <c r="L15" s="68">
        <f>IFERROR(INDEX('HT(Away) %'!$K:$K,MATCH(A15,'HT(Away) %'!$A:$A,0)),"-")</f>
        <v>0.5</v>
      </c>
      <c r="M15" s="68">
        <f t="shared" si="2"/>
        <v>5.7142857142857144</v>
      </c>
      <c r="N15" s="68">
        <f>AVERAGE(IFERROR(INDEX('HT(Away) %'!$M:$M,MATCH(A15,'HT(Away) %'!$A:$A,0)),"-"),M15)</f>
        <v>2.7738095238095237</v>
      </c>
    </row>
    <row r="16" spans="1:14" s="22" customFormat="1" ht="16.5" thickTop="1" thickBot="1" x14ac:dyDescent="0.3">
      <c r="A16" s="65" t="s">
        <v>141</v>
      </c>
      <c r="B16" s="65">
        <f>IFERROR(INDEX(HTHome!$B:$B,MATCH(A16,HTHome!$A:$A,0)),"-")</f>
        <v>7</v>
      </c>
      <c r="C16" s="65">
        <f>IFERROR(INDEX(OGSHome!$D:$D,MATCH(A16,OGSHome!$A:$A,0)),"-")</f>
        <v>33</v>
      </c>
      <c r="D16" s="65">
        <f>IFERROR(INDEX(OGSHome!$E:$E,MATCH(A16,OGSHome!$A:$A,0)),"-")</f>
        <v>1</v>
      </c>
      <c r="E16" s="65">
        <f>IFERROR(INDEX(OGSHome!$F:$F,MATCH(A16,OGSHome!$A:$A,0)),"-")</f>
        <v>2</v>
      </c>
      <c r="F16" s="66">
        <f>IFERROR(INDEX(HTHome!$C:$C,MATCH(A16,HTHome!$A:$A,0)),"-")</f>
        <v>4</v>
      </c>
      <c r="G16" s="66">
        <f>IFERROR(INDEX(HTHome!$E:$E,MATCH(A16,HTHome!$A:$A,0)),"-")</f>
        <v>0</v>
      </c>
      <c r="H16" s="66">
        <f>IFERROR(INDEX(HTHome!$D:$D,MATCH(A16,HTHome!$A:$A,0)),"-")</f>
        <v>3</v>
      </c>
      <c r="I16" s="66">
        <f t="shared" si="0"/>
        <v>36</v>
      </c>
      <c r="J16" s="66">
        <f>IFERROR(INDEX(OGCHome!$Q:$Q,MATCH(A16,OGCHome!$A:$A,0)),"-")</f>
        <v>2</v>
      </c>
      <c r="K16" s="68">
        <f t="shared" si="1"/>
        <v>5.1428571428571432</v>
      </c>
      <c r="L16" s="68">
        <f>IFERROR(INDEX('HT(Away) %'!$K:$K,MATCH(A16,'HT(Away) %'!$A:$A,0)),"-")</f>
        <v>0.4</v>
      </c>
      <c r="M16" s="68">
        <f t="shared" si="2"/>
        <v>5.4285714285714288</v>
      </c>
      <c r="N16" s="68">
        <f>AVERAGE(IFERROR(INDEX('HT(Away) %'!$M:$M,MATCH(A16,'HT(Away) %'!$A:$A,0)),"-"),M16)</f>
        <v>2.5142857142857142</v>
      </c>
    </row>
    <row r="17" spans="1:14" s="22" customFormat="1" ht="16.5" thickTop="1" thickBot="1" x14ac:dyDescent="0.3">
      <c r="A17" s="65" t="s">
        <v>134</v>
      </c>
      <c r="B17" s="65">
        <f>IFERROR(INDEX(HTHome!$B:$B,MATCH(A17,HTHome!$A:$A,0)),"-")</f>
        <v>6</v>
      </c>
      <c r="C17" s="65">
        <f>IFERROR(INDEX(OGSHome!$D:$D,MATCH(A17,OGSHome!$A:$A,0)),"-")</f>
        <v>16</v>
      </c>
      <c r="D17" s="65">
        <f>IFERROR(INDEX(OGSHome!$E:$E,MATCH(A17,OGSHome!$A:$A,0)),"-")</f>
        <v>2</v>
      </c>
      <c r="E17" s="65">
        <f>IFERROR(INDEX(OGSHome!$F:$F,MATCH(A17,OGSHome!$A:$A,0)),"-")</f>
        <v>2</v>
      </c>
      <c r="F17" s="66">
        <f>IFERROR(INDEX(HTHome!$C:$C,MATCH(A17,HTHome!$A:$A,0)),"-")</f>
        <v>4</v>
      </c>
      <c r="G17" s="66">
        <f>IFERROR(INDEX(HTHome!$E:$E,MATCH(A17,HTHome!$A:$A,0)),"-")</f>
        <v>1</v>
      </c>
      <c r="H17" s="66">
        <f>IFERROR(INDEX(HTHome!$D:$D,MATCH(A17,HTHome!$A:$A,0)),"-")</f>
        <v>1</v>
      </c>
      <c r="I17" s="66">
        <f t="shared" si="0"/>
        <v>20</v>
      </c>
      <c r="J17" s="66">
        <f>IFERROR(INDEX(OGCHome!$Q:$Q,MATCH(A17,OGCHome!$A:$A,0)),"-")</f>
        <v>1</v>
      </c>
      <c r="K17" s="68">
        <f t="shared" si="1"/>
        <v>3.3333333333333335</v>
      </c>
      <c r="L17" s="68">
        <f>IFERROR(INDEX('HT(Away) %'!$K:$K,MATCH(A17,'HT(Away) %'!$A:$A,0)),"-")</f>
        <v>0.5</v>
      </c>
      <c r="M17" s="68">
        <f t="shared" si="2"/>
        <v>3.666666666666667</v>
      </c>
      <c r="N17" s="68">
        <f>AVERAGE(IFERROR(INDEX('HT(Away) %'!$M:$M,MATCH(A17,'HT(Away) %'!$A:$A,0)),"-"),M17)</f>
        <v>1.9166666666666667</v>
      </c>
    </row>
    <row r="18" spans="1:14" s="22" customFormat="1" ht="16.5" thickTop="1" thickBot="1" x14ac:dyDescent="0.3">
      <c r="A18" s="65" t="s">
        <v>150</v>
      </c>
      <c r="B18" s="65">
        <f>IFERROR(INDEX(HTHome!$B:$B,MATCH(A18,HTHome!$A:$A,0)),"-")</f>
        <v>7</v>
      </c>
      <c r="C18" s="65">
        <f>IFERROR(INDEX(OGSHome!$D:$D,MATCH(A18,OGSHome!$A:$A,0)),"-")</f>
        <v>21</v>
      </c>
      <c r="D18" s="65">
        <f>IFERROR(INDEX(OGSHome!$E:$E,MATCH(A18,OGSHome!$A:$A,0)),"-")</f>
        <v>3</v>
      </c>
      <c r="E18" s="65">
        <f>IFERROR(INDEX(OGSHome!$F:$F,MATCH(A18,OGSHome!$A:$A,0)),"-")</f>
        <v>1</v>
      </c>
      <c r="F18" s="66">
        <f>IFERROR(INDEX(HTHome!$C:$C,MATCH(A18,HTHome!$A:$A,0)),"-")</f>
        <v>3</v>
      </c>
      <c r="G18" s="66">
        <f>IFERROR(INDEX(HTHome!$E:$E,MATCH(A18,HTHome!$A:$A,0)),"-")</f>
        <v>1</v>
      </c>
      <c r="H18" s="66">
        <f>IFERROR(INDEX(HTHome!$D:$D,MATCH(A18,HTHome!$A:$A,0)),"-")</f>
        <v>3</v>
      </c>
      <c r="I18" s="66">
        <f t="shared" si="0"/>
        <v>25</v>
      </c>
      <c r="J18" s="66">
        <f>IFERROR(INDEX(OGCHome!$Q:$Q,MATCH(A18,OGCHome!$A:$A,0)),"-")</f>
        <v>1</v>
      </c>
      <c r="K18" s="68">
        <f t="shared" si="1"/>
        <v>3.5714285714285716</v>
      </c>
      <c r="L18" s="68">
        <f>IFERROR(INDEX('HT(Away) %'!$K:$K,MATCH(A18,'HT(Away) %'!$A:$A,0)),"-")</f>
        <v>7</v>
      </c>
      <c r="M18" s="68">
        <f t="shared" si="2"/>
        <v>3.7142857142857144</v>
      </c>
      <c r="N18" s="68">
        <f>AVERAGE(IFERROR(INDEX('HT(Away) %'!$M:$M,MATCH(A18,'HT(Away) %'!$A:$A,0)),"-"),M18)</f>
        <v>5.1428571428571423</v>
      </c>
    </row>
    <row r="19" spans="1:14" s="22" customFormat="1" ht="16.5" thickTop="1" thickBot="1" x14ac:dyDescent="0.3">
      <c r="A19" s="65" t="s">
        <v>160</v>
      </c>
      <c r="B19" s="65">
        <f>IFERROR(INDEX(HTHome!$B:$B,MATCH(A19,HTHome!$A:$A,0)),"-")</f>
        <v>7</v>
      </c>
      <c r="C19" s="65">
        <f>IFERROR(INDEX(OGSHome!$D:$D,MATCH(A19,OGSHome!$A:$A,0)),"-")</f>
        <v>8</v>
      </c>
      <c r="D19" s="65">
        <f>IFERROR(INDEX(OGSHome!$E:$E,MATCH(A19,OGSHome!$A:$A,0)),"-")</f>
        <v>4</v>
      </c>
      <c r="E19" s="65">
        <f>IFERROR(INDEX(OGSHome!$F:$F,MATCH(A19,OGSHome!$A:$A,0)),"-")</f>
        <v>0</v>
      </c>
      <c r="F19" s="66">
        <f>IFERROR(INDEX(HTHome!$C:$C,MATCH(A19,HTHome!$A:$A,0)),"-")</f>
        <v>1</v>
      </c>
      <c r="G19" s="66">
        <f>IFERROR(INDEX(HTHome!$E:$E,MATCH(A19,HTHome!$A:$A,0)),"-")</f>
        <v>2</v>
      </c>
      <c r="H19" s="66">
        <f>IFERROR(INDEX(HTHome!$D:$D,MATCH(A19,HTHome!$A:$A,0)),"-")</f>
        <v>4</v>
      </c>
      <c r="I19" s="66">
        <f t="shared" si="0"/>
        <v>12</v>
      </c>
      <c r="J19" s="66">
        <f>IFERROR(INDEX(OGCHome!$Q:$Q,MATCH(A19,OGCHome!$A:$A,0)),"-")</f>
        <v>2</v>
      </c>
      <c r="K19" s="68">
        <f t="shared" si="1"/>
        <v>1.7142857142857142</v>
      </c>
      <c r="L19" s="68">
        <f>IFERROR(INDEX('HT(Away) %'!$K:$K,MATCH(A19,'HT(Away) %'!$A:$A,0)),"-")</f>
        <v>3</v>
      </c>
      <c r="M19" s="68">
        <f t="shared" si="2"/>
        <v>1.2857142857142856</v>
      </c>
      <c r="N19" s="68">
        <f>AVERAGE(IFERROR(INDEX('HT(Away) %'!$M:$M,MATCH(A19,'HT(Away) %'!$A:$A,0)),"-"),M19)</f>
        <v>2</v>
      </c>
    </row>
    <row r="20" spans="1:14" s="22" customFormat="1" ht="16.5" thickTop="1" thickBot="1" x14ac:dyDescent="0.3">
      <c r="A20" s="65" t="s">
        <v>151</v>
      </c>
      <c r="B20" s="65">
        <f>IFERROR(INDEX(HTHome!$B:$B,MATCH(A20,HTHome!$A:$A,0)),"-")</f>
        <v>7</v>
      </c>
      <c r="C20" s="65">
        <f>IFERROR(INDEX(OGSHome!$D:$D,MATCH(A20,OGSHome!$A:$A,0)),"-")</f>
        <v>26</v>
      </c>
      <c r="D20" s="65">
        <f>IFERROR(INDEX(OGSHome!$E:$E,MATCH(A20,OGSHome!$A:$A,0)),"-")</f>
        <v>0</v>
      </c>
      <c r="E20" s="65">
        <f>IFERROR(INDEX(OGSHome!$F:$F,MATCH(A20,OGSHome!$A:$A,0)),"-")</f>
        <v>1</v>
      </c>
      <c r="F20" s="66">
        <f>IFERROR(INDEX(HTHome!$C:$C,MATCH(A20,HTHome!$A:$A,0)),"-")</f>
        <v>1</v>
      </c>
      <c r="G20" s="66">
        <f>IFERROR(INDEX(HTHome!$E:$E,MATCH(A20,HTHome!$A:$A,0)),"-")</f>
        <v>4</v>
      </c>
      <c r="H20" s="66">
        <f>IFERROR(INDEX(HTHome!$D:$D,MATCH(A20,HTHome!$A:$A,0)),"-")</f>
        <v>2</v>
      </c>
      <c r="I20" s="66">
        <f t="shared" si="0"/>
        <v>27</v>
      </c>
      <c r="J20" s="66">
        <f>IFERROR(INDEX(OGCHome!$Q:$Q,MATCH(A20,OGCHome!$A:$A,0)),"-")</f>
        <v>4</v>
      </c>
      <c r="K20" s="68">
        <f t="shared" si="1"/>
        <v>3.8571428571428572</v>
      </c>
      <c r="L20" s="68">
        <f>IFERROR(INDEX('HT(Away) %'!$K:$K,MATCH(A20,'HT(Away) %'!$A:$A,0)),"-")</f>
        <v>4</v>
      </c>
      <c r="M20" s="68">
        <f t="shared" si="2"/>
        <v>2.8571428571428568</v>
      </c>
      <c r="N20" s="68">
        <f>AVERAGE(IFERROR(INDEX('HT(Away) %'!$M:$M,MATCH(A20,'HT(Away) %'!$A:$A,0)),"-"),M20)</f>
        <v>3.4285714285714284</v>
      </c>
    </row>
    <row r="21" spans="1:14" s="22" customFormat="1" ht="16.5" thickTop="1" thickBot="1" x14ac:dyDescent="0.3">
      <c r="A21" s="65" t="s">
        <v>161</v>
      </c>
      <c r="B21" s="65">
        <f>IFERROR(INDEX(HTHome!$B:$B,MATCH(A21,HTHome!$A:$A,0)),"-")</f>
        <v>8</v>
      </c>
      <c r="C21" s="65">
        <f>IFERROR(INDEX(OGSHome!$D:$D,MATCH(A21,OGSHome!$A:$A,0)),"-")</f>
        <v>24</v>
      </c>
      <c r="D21" s="65">
        <f>IFERROR(INDEX(OGSHome!$E:$E,MATCH(A21,OGSHome!$A:$A,0)),"-")</f>
        <v>2</v>
      </c>
      <c r="E21" s="65">
        <f>IFERROR(INDEX(OGSHome!$F:$F,MATCH(A21,OGSHome!$A:$A,0)),"-")</f>
        <v>1</v>
      </c>
      <c r="F21" s="66">
        <f>IFERROR(INDEX(HTHome!$C:$C,MATCH(A21,HTHome!$A:$A,0)),"-")</f>
        <v>1</v>
      </c>
      <c r="G21" s="66">
        <f>IFERROR(INDEX(HTHome!$E:$E,MATCH(A21,HTHome!$A:$A,0)),"-")</f>
        <v>3</v>
      </c>
      <c r="H21" s="66">
        <f>IFERROR(INDEX(HTHome!$D:$D,MATCH(A21,HTHome!$A:$A,0)),"-")</f>
        <v>4</v>
      </c>
      <c r="I21" s="66">
        <f t="shared" si="0"/>
        <v>27</v>
      </c>
      <c r="J21" s="66">
        <f>IFERROR(INDEX(OGCHome!$Q:$Q,MATCH(A21,OGCHome!$A:$A,0)),"-")</f>
        <v>4</v>
      </c>
      <c r="K21" s="68">
        <f t="shared" si="1"/>
        <v>3.375</v>
      </c>
      <c r="L21" s="68">
        <f>IFERROR(INDEX('HT(Away) %'!$K:$K,MATCH(A21,'HT(Away) %'!$A:$A,0)),"-")</f>
        <v>5.666666666666667</v>
      </c>
      <c r="M21" s="68">
        <f t="shared" si="2"/>
        <v>2.625</v>
      </c>
      <c r="N21" s="68">
        <f>AVERAGE(IFERROR(INDEX('HT(Away) %'!$M:$M,MATCH(A21,'HT(Away) %'!$A:$A,0)),"-"),M21)</f>
        <v>3.8958333333333339</v>
      </c>
    </row>
    <row r="22" spans="1:14" s="22" customFormat="1" ht="16.5" thickTop="1" thickBot="1" x14ac:dyDescent="0.3">
      <c r="A22" s="65" t="s">
        <v>144</v>
      </c>
      <c r="B22" s="65">
        <f>IFERROR(INDEX(HTHome!$B:$B,MATCH(A22,HTHome!$A:$A,0)),"-")</f>
        <v>7</v>
      </c>
      <c r="C22" s="65">
        <f>IFERROR(INDEX(OGSHome!$D:$D,MATCH(A22,OGSHome!$A:$A,0)),"-")</f>
        <v>54</v>
      </c>
      <c r="D22" s="65">
        <f>IFERROR(INDEX(OGSHome!$E:$E,MATCH(A22,OGSHome!$A:$A,0)),"-")</f>
        <v>1</v>
      </c>
      <c r="E22" s="65">
        <f>IFERROR(INDEX(OGSHome!$F:$F,MATCH(A22,OGSHome!$A:$A,0)),"-")</f>
        <v>0</v>
      </c>
      <c r="F22" s="66">
        <f>IFERROR(INDEX(HTHome!$C:$C,MATCH(A22,HTHome!$A:$A,0)),"-")</f>
        <v>0</v>
      </c>
      <c r="G22" s="66">
        <f>IFERROR(INDEX(HTHome!$E:$E,MATCH(A22,HTHome!$A:$A,0)),"-")</f>
        <v>1</v>
      </c>
      <c r="H22" s="66">
        <f>IFERROR(INDEX(HTHome!$D:$D,MATCH(A22,HTHome!$A:$A,0)),"-")</f>
        <v>6</v>
      </c>
      <c r="I22" s="66">
        <f t="shared" si="0"/>
        <v>55</v>
      </c>
      <c r="J22" s="66">
        <f>IFERROR(INDEX(OGCHome!$Q:$Q,MATCH(A22,OGCHome!$A:$A,0)),"-")</f>
        <v>1</v>
      </c>
      <c r="K22" s="68">
        <f t="shared" si="1"/>
        <v>7.8571428571428568</v>
      </c>
      <c r="L22" s="68">
        <f>IFERROR(INDEX('HT(Away) %'!$K:$K,MATCH(A22,'HT(Away) %'!$A:$A,0)),"-")</f>
        <v>0.16666666666666666</v>
      </c>
      <c r="M22" s="68">
        <f t="shared" si="2"/>
        <v>7.5714285714285703</v>
      </c>
      <c r="N22" s="68">
        <f>AVERAGE(IFERROR(INDEX('HT(Away) %'!$M:$M,MATCH(A22,'HT(Away) %'!$A:$A,0)),"-"),M22)</f>
        <v>3.6190476190476186</v>
      </c>
    </row>
    <row r="23" spans="1:14" s="22" customFormat="1" ht="16.5" thickTop="1" thickBot="1" x14ac:dyDescent="0.3">
      <c r="A23" s="65" t="s">
        <v>146</v>
      </c>
      <c r="B23" s="65">
        <f>IFERROR(INDEX(HTHome!$B:$B,MATCH(A23,HTHome!$A:$A,0)),"-")</f>
        <v>6</v>
      </c>
      <c r="C23" s="65">
        <f>IFERROR(INDEX(OGSHome!$D:$D,MATCH(A23,OGSHome!$A:$A,0)),"-")</f>
        <v>55</v>
      </c>
      <c r="D23" s="65">
        <f>IFERROR(INDEX(OGSHome!$E:$E,MATCH(A23,OGSHome!$A:$A,0)),"-")</f>
        <v>0</v>
      </c>
      <c r="E23" s="65">
        <f>IFERROR(INDEX(OGSHome!$F:$F,MATCH(A23,OGSHome!$A:$A,0)),"-")</f>
        <v>0</v>
      </c>
      <c r="F23" s="66">
        <f>IFERROR(INDEX(HTHome!$C:$C,MATCH(A23,HTHome!$A:$A,0)),"-")</f>
        <v>1</v>
      </c>
      <c r="G23" s="66">
        <f>IFERROR(INDEX(HTHome!$E:$E,MATCH(A23,HTHome!$A:$A,0)),"-")</f>
        <v>2</v>
      </c>
      <c r="H23" s="66">
        <f>IFERROR(INDEX(HTHome!$D:$D,MATCH(A23,HTHome!$A:$A,0)),"-")</f>
        <v>3</v>
      </c>
      <c r="I23" s="66">
        <f t="shared" si="0"/>
        <v>55</v>
      </c>
      <c r="J23" s="66">
        <f>IFERROR(INDEX(OGCHome!$Q:$Q,MATCH(A23,OGCHome!$A:$A,0)),"-")</f>
        <v>4</v>
      </c>
      <c r="K23" s="68">
        <f t="shared" si="1"/>
        <v>9.1666666666666661</v>
      </c>
      <c r="L23" s="68">
        <f>IFERROR(INDEX('HT(Away) %'!$K:$K,MATCH(A23,'HT(Away) %'!$A:$A,0)),"-")</f>
        <v>0</v>
      </c>
      <c r="M23" s="68">
        <f t="shared" si="2"/>
        <v>8.3333333333333321</v>
      </c>
      <c r="N23" s="68">
        <f>AVERAGE(IFERROR(INDEX('HT(Away) %'!$M:$M,MATCH(A23,'HT(Away) %'!$A:$A,0)),"-"),M23)</f>
        <v>3.8095238095238089</v>
      </c>
    </row>
    <row r="24" spans="1:14" s="22" customFormat="1" ht="16.5" thickTop="1" thickBot="1" x14ac:dyDescent="0.3">
      <c r="A24" s="65" t="s">
        <v>156</v>
      </c>
      <c r="B24" s="65">
        <f>IFERROR(INDEX(HTHome!$B:$B,MATCH(A24,HTHome!$A:$A,0)),"-")</f>
        <v>7</v>
      </c>
      <c r="C24" s="65">
        <f>IFERROR(INDEX(OGSHome!$D:$D,MATCH(A24,OGSHome!$A:$A,0)),"-")</f>
        <v>24</v>
      </c>
      <c r="D24" s="65">
        <f>IFERROR(INDEX(OGSHome!$E:$E,MATCH(A24,OGSHome!$A:$A,0)),"-")</f>
        <v>1</v>
      </c>
      <c r="E24" s="65">
        <f>IFERROR(INDEX(OGSHome!$F:$F,MATCH(A24,OGSHome!$A:$A,0)),"-")</f>
        <v>1</v>
      </c>
      <c r="F24" s="66">
        <f>IFERROR(INDEX(HTHome!$C:$C,MATCH(A24,HTHome!$A:$A,0)),"-")</f>
        <v>2</v>
      </c>
      <c r="G24" s="66">
        <f>IFERROR(INDEX(HTHome!$E:$E,MATCH(A24,HTHome!$A:$A,0)),"-")</f>
        <v>2</v>
      </c>
      <c r="H24" s="66">
        <f>IFERROR(INDEX(HTHome!$D:$D,MATCH(A24,HTHome!$A:$A,0)),"-")</f>
        <v>3</v>
      </c>
      <c r="I24" s="66">
        <f t="shared" si="0"/>
        <v>26</v>
      </c>
      <c r="J24" s="66">
        <f>IFERROR(INDEX(OGCHome!$Q:$Q,MATCH(A24,OGCHome!$A:$A,0)),"-")</f>
        <v>2</v>
      </c>
      <c r="K24" s="68">
        <f t="shared" si="1"/>
        <v>3.7142857142857144</v>
      </c>
      <c r="L24" s="68">
        <f>IFERROR(INDEX('HT(Away) %'!$K:$K,MATCH(A24,'HT(Away) %'!$A:$A,0)),"-")</f>
        <v>3.8571428571428572</v>
      </c>
      <c r="M24" s="68">
        <f t="shared" si="2"/>
        <v>3.4285714285714288</v>
      </c>
      <c r="N24" s="68">
        <f>AVERAGE(IFERROR(INDEX('HT(Away) %'!$M:$M,MATCH(A24,'HT(Away) %'!$A:$A,0)),"-"),M24)</f>
        <v>3.3571428571428577</v>
      </c>
    </row>
    <row r="25" spans="1:14" s="22" customFormat="1" ht="16.5" thickTop="1" thickBot="1" x14ac:dyDescent="0.3">
      <c r="A25" s="65" t="s">
        <v>142</v>
      </c>
      <c r="B25" s="65">
        <f>IFERROR(INDEX(HTHome!$B:$B,MATCH(A25,HTHome!$A:$A,0)),"-")</f>
        <v>6</v>
      </c>
      <c r="C25" s="65">
        <f>IFERROR(INDEX(OGSHome!$D:$D,MATCH(A25,OGSHome!$A:$A,0)),"-")</f>
        <v>32</v>
      </c>
      <c r="D25" s="65">
        <f>IFERROR(INDEX(OGSHome!$E:$E,MATCH(A25,OGSHome!$A:$A,0)),"-")</f>
        <v>2</v>
      </c>
      <c r="E25" s="65">
        <f>IFERROR(INDEX(OGSHome!$F:$F,MATCH(A25,OGSHome!$A:$A,0)),"-")</f>
        <v>0</v>
      </c>
      <c r="F25" s="66">
        <f>IFERROR(INDEX(HTHome!$C:$C,MATCH(A25,HTHome!$A:$A,0)),"-")</f>
        <v>2</v>
      </c>
      <c r="G25" s="66">
        <f>IFERROR(INDEX(HTHome!$E:$E,MATCH(A25,HTHome!$A:$A,0)),"-")</f>
        <v>1</v>
      </c>
      <c r="H25" s="66">
        <f>IFERROR(INDEX(HTHome!$D:$D,MATCH(A25,HTHome!$A:$A,0)),"-")</f>
        <v>3</v>
      </c>
      <c r="I25" s="66">
        <f t="shared" si="0"/>
        <v>34</v>
      </c>
      <c r="J25" s="66">
        <f>IFERROR(INDEX(OGCHome!$Q:$Q,MATCH(A25,OGCHome!$A:$A,0)),"-")</f>
        <v>1</v>
      </c>
      <c r="K25" s="68">
        <f t="shared" si="1"/>
        <v>5.666666666666667</v>
      </c>
      <c r="L25" s="68">
        <f>IFERROR(INDEX('HT(Away) %'!$K:$K,MATCH(A25,'HT(Away) %'!$A:$A,0)),"-")</f>
        <v>0.14285714285714285</v>
      </c>
      <c r="M25" s="68">
        <f t="shared" si="2"/>
        <v>5.6666666666666661</v>
      </c>
      <c r="N25" s="68">
        <f>AVERAGE(IFERROR(INDEX('HT(Away) %'!$M:$M,MATCH(A25,'HT(Away) %'!$A:$A,0)),"-"),M25)</f>
        <v>2.2619047619047619</v>
      </c>
    </row>
    <row r="26" spans="1:14" s="22" customFormat="1" ht="16.5" thickTop="1" thickBot="1" x14ac:dyDescent="0.3">
      <c r="A26" s="65" t="s">
        <v>145</v>
      </c>
      <c r="B26" s="65">
        <f>IFERROR(INDEX(HTHome!$B:$B,MATCH(A26,HTHome!$A:$A,0)),"-")</f>
        <v>7</v>
      </c>
      <c r="C26" s="65">
        <f>IFERROR(INDEX(OGSHome!$D:$D,MATCH(A26,OGSHome!$A:$A,0)),"-")</f>
        <v>35</v>
      </c>
      <c r="D26" s="65">
        <f>IFERROR(INDEX(OGSHome!$E:$E,MATCH(A26,OGSHome!$A:$A,0)),"-")</f>
        <v>0</v>
      </c>
      <c r="E26" s="65">
        <f>IFERROR(INDEX(OGSHome!$F:$F,MATCH(A26,OGSHome!$A:$A,0)),"-")</f>
        <v>1</v>
      </c>
      <c r="F26" s="66">
        <f>IFERROR(INDEX(HTHome!$C:$C,MATCH(A26,HTHome!$A:$A,0)),"-")</f>
        <v>3</v>
      </c>
      <c r="G26" s="66">
        <f>IFERROR(INDEX(HTHome!$E:$E,MATCH(A26,HTHome!$A:$A,0)),"-")</f>
        <v>3</v>
      </c>
      <c r="H26" s="66">
        <f>IFERROR(INDEX(HTHome!$D:$D,MATCH(A26,HTHome!$A:$A,0)),"-")</f>
        <v>1</v>
      </c>
      <c r="I26" s="66">
        <f t="shared" si="0"/>
        <v>36</v>
      </c>
      <c r="J26" s="66">
        <f>IFERROR(INDEX(OGCHome!$Q:$Q,MATCH(A26,OGCHome!$A:$A,0)),"-")</f>
        <v>3</v>
      </c>
      <c r="K26" s="68">
        <f t="shared" si="1"/>
        <v>5.1428571428571432</v>
      </c>
      <c r="L26" s="68">
        <f>IFERROR(INDEX('HT(Away) %'!$K:$K,MATCH(A26,'HT(Away) %'!$A:$A,0)),"-")</f>
        <v>0.33333333333333331</v>
      </c>
      <c r="M26" s="68">
        <f t="shared" si="2"/>
        <v>4.7142857142857144</v>
      </c>
      <c r="N26" s="68">
        <f>AVERAGE(IFERROR(INDEX('HT(Away) %'!$M:$M,MATCH(A26,'HT(Away) %'!$A:$A,0)),"-"),M26)</f>
        <v>2.2738095238095237</v>
      </c>
    </row>
    <row r="27" spans="1:14" s="22" customFormat="1" ht="16.5" thickTop="1" thickBot="1" x14ac:dyDescent="0.3">
      <c r="A27" s="65" t="s">
        <v>137</v>
      </c>
      <c r="B27" s="65">
        <f>IFERROR(INDEX(HTHome!$B:$B,MATCH(A27,HTHome!$A:$A,0)),"-")</f>
        <v>7</v>
      </c>
      <c r="C27" s="65">
        <f>IFERROR(INDEX(OGSHome!$D:$D,MATCH(A27,OGSHome!$A:$A,0)),"-")</f>
        <v>44</v>
      </c>
      <c r="D27" s="65">
        <f>IFERROR(INDEX(OGSHome!$E:$E,MATCH(A27,OGSHome!$A:$A,0)),"-")</f>
        <v>1</v>
      </c>
      <c r="E27" s="65">
        <f>IFERROR(INDEX(OGSHome!$F:$F,MATCH(A27,OGSHome!$A:$A,0)),"-")</f>
        <v>0</v>
      </c>
      <c r="F27" s="66">
        <f>IFERROR(INDEX(HTHome!$C:$C,MATCH(A27,HTHome!$A:$A,0)),"-")</f>
        <v>1</v>
      </c>
      <c r="G27" s="66">
        <f>IFERROR(INDEX(HTHome!$E:$E,MATCH(A27,HTHome!$A:$A,0)),"-")</f>
        <v>4</v>
      </c>
      <c r="H27" s="66">
        <f>IFERROR(INDEX(HTHome!$D:$D,MATCH(A27,HTHome!$A:$A,0)),"-")</f>
        <v>2</v>
      </c>
      <c r="I27" s="66">
        <f t="shared" si="0"/>
        <v>45</v>
      </c>
      <c r="J27" s="66">
        <f>IFERROR(INDEX(OGCHome!$Q:$Q,MATCH(A27,OGCHome!$A:$A,0)),"-")</f>
        <v>4</v>
      </c>
      <c r="K27" s="68">
        <f t="shared" si="1"/>
        <v>6.4285714285714288</v>
      </c>
      <c r="L27" s="68">
        <f>IFERROR(INDEX('HT(Away) %'!$K:$K,MATCH(A27,'HT(Away) %'!$A:$A,0)),"-")</f>
        <v>0.33333333333333331</v>
      </c>
      <c r="M27" s="68">
        <f t="shared" si="2"/>
        <v>5.4285714285714297</v>
      </c>
      <c r="N27" s="68">
        <f>AVERAGE(IFERROR(INDEX('HT(Away) %'!$M:$M,MATCH(A27,'HT(Away) %'!$A:$A,0)),"-"),M27)</f>
        <v>2.5476190476190483</v>
      </c>
    </row>
    <row r="28" spans="1:14" s="22" customFormat="1" ht="16.5" thickTop="1" thickBot="1" x14ac:dyDescent="0.3">
      <c r="A28" s="65" t="s">
        <v>163</v>
      </c>
      <c r="B28" s="65">
        <f>IFERROR(INDEX(HTHome!$B:$B,MATCH(A28,HTHome!$A:$A,0)),"-")</f>
        <v>7</v>
      </c>
      <c r="C28" s="65">
        <f>IFERROR(INDEX(OGSHome!$D:$D,MATCH(A28,OGSHome!$A:$A,0)),"-")</f>
        <v>48</v>
      </c>
      <c r="D28" s="65">
        <f>IFERROR(INDEX(OGSHome!$E:$E,MATCH(A28,OGSHome!$A:$A,0)),"-")</f>
        <v>0</v>
      </c>
      <c r="E28" s="65">
        <f>IFERROR(INDEX(OGSHome!$F:$F,MATCH(A28,OGSHome!$A:$A,0)),"-")</f>
        <v>0</v>
      </c>
      <c r="F28" s="66">
        <f>IFERROR(INDEX(HTHome!$C:$C,MATCH(A28,HTHome!$A:$A,0)),"-")</f>
        <v>0</v>
      </c>
      <c r="G28" s="66">
        <f>IFERROR(INDEX(HTHome!$E:$E,MATCH(A28,HTHome!$A:$A,0)),"-")</f>
        <v>3</v>
      </c>
      <c r="H28" s="66">
        <f>IFERROR(INDEX(HTHome!$D:$D,MATCH(A28,HTHome!$A:$A,0)),"-")</f>
        <v>4</v>
      </c>
      <c r="I28" s="66">
        <f t="shared" si="0"/>
        <v>48</v>
      </c>
      <c r="J28" s="66">
        <f>IFERROR(INDEX(OGCHome!$Q:$Q,MATCH(A28,OGCHome!$A:$A,0)),"-")</f>
        <v>4</v>
      </c>
      <c r="K28" s="68">
        <f t="shared" si="1"/>
        <v>6.8571428571428568</v>
      </c>
      <c r="L28" s="68">
        <f>IFERROR(INDEX('HT(Away) %'!$K:$K,MATCH(A28,'HT(Away) %'!$A:$A,0)),"-")</f>
        <v>5</v>
      </c>
      <c r="M28" s="68">
        <f t="shared" si="2"/>
        <v>5.8571428571428568</v>
      </c>
      <c r="N28" s="68">
        <f>AVERAGE(IFERROR(INDEX('HT(Away) %'!$M:$M,MATCH(A28,'HT(Away) %'!$A:$A,0)),"-"),M28)</f>
        <v>4.7857142857142856</v>
      </c>
    </row>
    <row r="29" spans="1:14" s="22" customFormat="1" ht="16.5" thickTop="1" thickBot="1" x14ac:dyDescent="0.3">
      <c r="A29" s="65" t="s">
        <v>143</v>
      </c>
      <c r="B29" s="65">
        <f>IFERROR(INDEX(HTHome!$B:$B,MATCH(A29,HTHome!$A:$A,0)),"-")</f>
        <v>5</v>
      </c>
      <c r="C29" s="65">
        <f>IFERROR(INDEX(OGSHome!$D:$D,MATCH(A29,OGSHome!$A:$A,0)),"-")</f>
        <v>27</v>
      </c>
      <c r="D29" s="65">
        <f>IFERROR(INDEX(OGSHome!$E:$E,MATCH(A29,OGSHome!$A:$A,0)),"-")</f>
        <v>1</v>
      </c>
      <c r="E29" s="65">
        <f>IFERROR(INDEX(OGSHome!$F:$F,MATCH(A29,OGSHome!$A:$A,0)),"-")</f>
        <v>0</v>
      </c>
      <c r="F29" s="66">
        <f>IFERROR(INDEX(HTHome!$C:$C,MATCH(A29,HTHome!$A:$A,0)),"-")</f>
        <v>2</v>
      </c>
      <c r="G29" s="66">
        <f>IFERROR(INDEX(HTHome!$E:$E,MATCH(A29,HTHome!$A:$A,0)),"-")</f>
        <v>3</v>
      </c>
      <c r="H29" s="66">
        <f>IFERROR(INDEX(HTHome!$D:$D,MATCH(A29,HTHome!$A:$A,0)),"-")</f>
        <v>0</v>
      </c>
      <c r="I29" s="66">
        <f t="shared" si="0"/>
        <v>28</v>
      </c>
      <c r="J29" s="66">
        <f>IFERROR(INDEX(OGCHome!$Q:$Q,MATCH(A29,OGCHome!$A:$A,0)),"-")</f>
        <v>3</v>
      </c>
      <c r="K29" s="68">
        <f t="shared" si="1"/>
        <v>5.6</v>
      </c>
      <c r="L29" s="68">
        <f>IFERROR(INDEX('HT(Away) %'!$K:$K,MATCH(A29,'HT(Away) %'!$A:$A,0)),"-")</f>
        <v>0.125</v>
      </c>
      <c r="M29" s="68">
        <f t="shared" si="2"/>
        <v>4.8000000000000007</v>
      </c>
      <c r="N29" s="68">
        <f>AVERAGE(IFERROR(INDEX('HT(Away) %'!$M:$M,MATCH(A29,'HT(Away) %'!$A:$A,0)),"-"),M29)</f>
        <v>2.1500000000000004</v>
      </c>
    </row>
    <row r="30" spans="1:14" s="22" customFormat="1" ht="16.5" thickTop="1" thickBot="1" x14ac:dyDescent="0.3">
      <c r="A30" s="65" t="s">
        <v>159</v>
      </c>
      <c r="B30" s="65">
        <f>IFERROR(INDEX(HTHome!$B:$B,MATCH(A30,HTHome!$A:$A,0)),"-")</f>
        <v>6</v>
      </c>
      <c r="C30" s="65">
        <f>IFERROR(INDEX(OGSHome!$D:$D,MATCH(A30,OGSHome!$A:$A,0)),"-")</f>
        <v>51</v>
      </c>
      <c r="D30" s="65">
        <f>IFERROR(INDEX(OGSHome!$E:$E,MATCH(A30,OGSHome!$A:$A,0)),"-")</f>
        <v>1</v>
      </c>
      <c r="E30" s="65">
        <f>IFERROR(INDEX(OGSHome!$F:$F,MATCH(A30,OGSHome!$A:$A,0)),"-")</f>
        <v>1</v>
      </c>
      <c r="F30" s="66">
        <f>IFERROR(INDEX(HTHome!$C:$C,MATCH(A30,HTHome!$A:$A,0)),"-")</f>
        <v>1</v>
      </c>
      <c r="G30" s="66">
        <f>IFERROR(INDEX(HTHome!$E:$E,MATCH(A30,HTHome!$A:$A,0)),"-")</f>
        <v>1</v>
      </c>
      <c r="H30" s="66">
        <f>IFERROR(INDEX(HTHome!$D:$D,MATCH(A30,HTHome!$A:$A,0)),"-")</f>
        <v>4</v>
      </c>
      <c r="I30" s="66">
        <f t="shared" si="0"/>
        <v>53</v>
      </c>
      <c r="J30" s="66">
        <f>IFERROR(INDEX(OGCHome!$Q:$Q,MATCH(A30,OGCHome!$A:$A,0)),"-")</f>
        <v>1</v>
      </c>
      <c r="K30" s="68">
        <f t="shared" si="1"/>
        <v>8.8333333333333339</v>
      </c>
      <c r="L30" s="68">
        <f>IFERROR(INDEX('HT(Away) %'!$K:$K,MATCH(A30,'HT(Away) %'!$A:$A,0)),"-")</f>
        <v>7.125</v>
      </c>
      <c r="M30" s="68">
        <f t="shared" si="2"/>
        <v>8.6666666666666679</v>
      </c>
      <c r="N30" s="68">
        <f>AVERAGE(IFERROR(INDEX('HT(Away) %'!$M:$M,MATCH(A30,'HT(Away) %'!$A:$A,0)),"-"),M30)</f>
        <v>7.3333333333333339</v>
      </c>
    </row>
    <row r="31" spans="1:14" s="22" customFormat="1" ht="16.5" thickTop="1" thickBot="1" x14ac:dyDescent="0.3">
      <c r="A31" s="65" t="s">
        <v>162</v>
      </c>
      <c r="B31" s="65">
        <f>IFERROR(INDEX(HTHome!$B:$B,MATCH(A31,HTHome!$A:$A,0)),"-")</f>
        <v>7</v>
      </c>
      <c r="C31" s="65">
        <f>IFERROR(INDEX(OGSHome!$D:$D,MATCH(A31,OGSHome!$A:$A,0)),"-")</f>
        <v>5</v>
      </c>
      <c r="D31" s="65">
        <f>IFERROR(INDEX(OGSHome!$E:$E,MATCH(A31,OGSHome!$A:$A,0)),"-")</f>
        <v>2</v>
      </c>
      <c r="E31" s="65">
        <f>IFERROR(INDEX(OGSHome!$F:$F,MATCH(A31,OGSHome!$A:$A,0)),"-")</f>
        <v>0</v>
      </c>
      <c r="F31" s="66">
        <f>IFERROR(INDEX(HTHome!$C:$C,MATCH(A31,HTHome!$A:$A,0)),"-")</f>
        <v>3</v>
      </c>
      <c r="G31" s="66">
        <f>IFERROR(INDEX(HTHome!$E:$E,MATCH(A31,HTHome!$A:$A,0)),"-")</f>
        <v>2</v>
      </c>
      <c r="H31" s="66">
        <f>IFERROR(INDEX(HTHome!$D:$D,MATCH(A31,HTHome!$A:$A,0)),"-")</f>
        <v>2</v>
      </c>
      <c r="I31" s="66">
        <f t="shared" si="0"/>
        <v>7</v>
      </c>
      <c r="J31" s="66">
        <f>IFERROR(INDEX(OGCHome!$Q:$Q,MATCH(A31,OGCHome!$A:$A,0)),"-")</f>
        <v>4</v>
      </c>
      <c r="K31" s="68">
        <f t="shared" si="1"/>
        <v>1</v>
      </c>
      <c r="L31" s="68">
        <f>IFERROR(INDEX('HT(Away) %'!$K:$K,MATCH(A31,'HT(Away) %'!$A:$A,0)),"-")</f>
        <v>3</v>
      </c>
      <c r="M31" s="68">
        <f t="shared" si="2"/>
        <v>0.57142857142857151</v>
      </c>
      <c r="N31" s="68">
        <f>AVERAGE(IFERROR(INDEX('HT(Away) %'!$M:$M,MATCH(A31,'HT(Away) %'!$A:$A,0)),"-"),M31)</f>
        <v>1.2142857142857142</v>
      </c>
    </row>
    <row r="32" spans="1:14" s="22" customFormat="1" ht="16.5" thickTop="1" thickBot="1" x14ac:dyDescent="0.3">
      <c r="A32" s="65" t="s">
        <v>147</v>
      </c>
      <c r="B32" s="65">
        <f>IFERROR(INDEX(HTHome!$B:$B,MATCH(A32,HTHome!$A:$A,0)),"-")</f>
        <v>7</v>
      </c>
      <c r="C32" s="65">
        <f>IFERROR(INDEX(OGSHome!$D:$D,MATCH(A32,OGSHome!$A:$A,0)),"-")</f>
        <v>66</v>
      </c>
      <c r="D32" s="65">
        <f>IFERROR(INDEX(OGSHome!$E:$E,MATCH(A32,OGSHome!$A:$A,0)),"-")</f>
        <v>0</v>
      </c>
      <c r="E32" s="65">
        <f>IFERROR(INDEX(OGSHome!$F:$F,MATCH(A32,OGSHome!$A:$A,0)),"-")</f>
        <v>0</v>
      </c>
      <c r="F32" s="66">
        <f>IFERROR(INDEX(HTHome!$C:$C,MATCH(A32,HTHome!$A:$A,0)),"-")</f>
        <v>1</v>
      </c>
      <c r="G32" s="66">
        <f>IFERROR(INDEX(HTHome!$E:$E,MATCH(A32,HTHome!$A:$A,0)),"-")</f>
        <v>4</v>
      </c>
      <c r="H32" s="66">
        <f>IFERROR(INDEX(HTHome!$D:$D,MATCH(A32,HTHome!$A:$A,0)),"-")</f>
        <v>2</v>
      </c>
      <c r="I32" s="66">
        <f t="shared" si="0"/>
        <v>66</v>
      </c>
      <c r="J32" s="66">
        <f>IFERROR(INDEX(OGCHome!$Q:$Q,MATCH(A32,OGCHome!$A:$A,0)),"-")</f>
        <v>5</v>
      </c>
      <c r="K32" s="68">
        <f t="shared" si="1"/>
        <v>9.4285714285714288</v>
      </c>
      <c r="L32" s="68">
        <f>IFERROR(INDEX('HT(Away) %'!$K:$K,MATCH(A32,'HT(Away) %'!$A:$A,0)),"-")</f>
        <v>0.16666666666666666</v>
      </c>
      <c r="M32" s="68">
        <f t="shared" si="2"/>
        <v>8.2857142857142865</v>
      </c>
      <c r="N32" s="68">
        <f>AVERAGE(IFERROR(INDEX('HT(Away) %'!$M:$M,MATCH(A32,'HT(Away) %'!$A:$A,0)),"-"),M32)</f>
        <v>3.7261904761904767</v>
      </c>
    </row>
    <row r="33" spans="1:5" s="22" customFormat="1" ht="15.75" thickTop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</sheetData>
  <sheetProtection selectLockedCells="1"/>
  <autoFilter ref="A1:N1" xr:uid="{00000000-0009-0000-0000-000002000000}">
    <sortState xmlns:xlrd2="http://schemas.microsoft.com/office/spreadsheetml/2017/richdata2" ref="A2:N32">
      <sortCondition descending="1" ref="N1"/>
    </sortState>
  </autoFilter>
  <conditionalFormatting sqref="K2:K32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3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2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3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8"/>
  <sheetViews>
    <sheetView zoomScale="90" zoomScaleNormal="90" workbookViewId="0">
      <selection activeCell="R5" sqref="R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174</v>
      </c>
      <c r="B1" s="67" t="s">
        <v>175</v>
      </c>
      <c r="C1" s="67" t="s">
        <v>45</v>
      </c>
      <c r="D1" s="67" t="s">
        <v>46</v>
      </c>
      <c r="E1" s="67" t="s">
        <v>47</v>
      </c>
      <c r="F1" s="67" t="s">
        <v>56</v>
      </c>
      <c r="G1" s="67" t="s">
        <v>57</v>
      </c>
      <c r="H1" s="67" t="s">
        <v>60</v>
      </c>
      <c r="I1" s="67" t="s">
        <v>52</v>
      </c>
      <c r="J1" s="67" t="s">
        <v>51</v>
      </c>
      <c r="K1" s="67" t="s">
        <v>171</v>
      </c>
      <c r="L1" s="64" t="s">
        <v>170</v>
      </c>
      <c r="M1" s="67" t="s">
        <v>176</v>
      </c>
      <c r="N1" s="67" t="s">
        <v>173</v>
      </c>
    </row>
    <row r="2" spans="1:14" s="22" customFormat="1" ht="16.5" thickTop="1" thickBot="1" x14ac:dyDescent="0.3">
      <c r="A2" s="65" t="s">
        <v>132</v>
      </c>
      <c r="B2" s="65">
        <f>IFERROR(INDEX(HTAway!$B:$B,MATCH(A2,HTAway!$A:$A,0)),"-")</f>
        <v>7</v>
      </c>
      <c r="C2" s="65" t="str">
        <f>IFERROR(INDEX(OGSAway!$D:$D,MATCH(A2,OGSAway!$A:$A,0)),"-")</f>
        <v>42</v>
      </c>
      <c r="D2" s="65">
        <f>IFERROR(INDEX(OGSAway!$E:$E,MATCH(A2,OGSAway!$A:$A,0)),"-")</f>
        <v>2</v>
      </c>
      <c r="E2" s="65">
        <f>IFERROR(INDEX(OGSAway!$F:$F,MATCH(A2,OGSAway!$A:$A,0)),"-")</f>
        <v>0</v>
      </c>
      <c r="F2" s="66">
        <f>IFERROR(INDEX(HTAway!$C:$C,MATCH(A2,HTAway!$A:$A,0)),"-")</f>
        <v>3</v>
      </c>
      <c r="G2" s="66">
        <f>IFERROR(INDEX(HTAway!$E:$E,MATCH(A2,HTAway!$A:$A,0)),"-")</f>
        <v>1</v>
      </c>
      <c r="H2" s="66">
        <f>IFERROR(INDEX(HTAway!$D:$D,MATCH(A2,HTAway!$A:$A,0)),"-")</f>
        <v>3</v>
      </c>
      <c r="I2" s="66">
        <f t="shared" ref="I2:I32" si="0">SUM(C2:E2)</f>
        <v>2</v>
      </c>
      <c r="J2" s="66">
        <f>IFERROR(INDEX(OGCAway!$Q:$Q,MATCH(A2,OGCAway!$A:$A,0)),"-")</f>
        <v>1</v>
      </c>
      <c r="K2" s="68">
        <f t="shared" ref="K2:K32" si="1">I2/B2</f>
        <v>0.2857142857142857</v>
      </c>
      <c r="L2" s="68">
        <f>IFERROR(INDEX('HT(Home) %'!$K:$K,MATCH(A2,'HT(Home) %'!$A:$A,0)),"-")</f>
        <v>2.8333333333333335</v>
      </c>
      <c r="M2" s="68">
        <f t="shared" ref="M2:M32" si="2">(I2/B2)-(J2/B2)+(F2/B2)-(G2/B2)</f>
        <v>0.42857142857142855</v>
      </c>
      <c r="N2" s="68">
        <f>AVERAGE(IFERROR(INDEX('HT(Home) %'!$M:$M,MATCH(A2,'HT(Home) %'!$A:$A,0)),"-"),M2)</f>
        <v>2.1309523809523809</v>
      </c>
    </row>
    <row r="3" spans="1:14" s="22" customFormat="1" ht="16.5" thickTop="1" thickBot="1" x14ac:dyDescent="0.3">
      <c r="A3" s="65" t="s">
        <v>139</v>
      </c>
      <c r="B3" s="65">
        <f>IFERROR(INDEX(HTAway!$B:$B,MATCH(A3,HTAway!$A:$A,0)),"-")</f>
        <v>6</v>
      </c>
      <c r="C3" s="65" t="str">
        <f>IFERROR(INDEX(OGSAway!$D:$D,MATCH(A3,OGSAway!$A:$A,0)),"-")</f>
        <v>10</v>
      </c>
      <c r="D3" s="65">
        <f>IFERROR(INDEX(OGSAway!$E:$E,MATCH(A3,OGSAway!$A:$A,0)),"-")</f>
        <v>3</v>
      </c>
      <c r="E3" s="65">
        <f>IFERROR(INDEX(OGSAway!$F:$F,MATCH(A3,OGSAway!$A:$A,0)),"-")</f>
        <v>0</v>
      </c>
      <c r="F3" s="66">
        <f>IFERROR(INDEX(HTAway!$C:$C,MATCH(A3,HTAway!$A:$A,0)),"-")</f>
        <v>2</v>
      </c>
      <c r="G3" s="66">
        <f>IFERROR(INDEX(HTAway!$E:$E,MATCH(A3,HTAway!$A:$A,0)),"-")</f>
        <v>1</v>
      </c>
      <c r="H3" s="66">
        <f>IFERROR(INDEX(HTAway!$D:$D,MATCH(A3,HTAway!$A:$A,0)),"-")</f>
        <v>3</v>
      </c>
      <c r="I3" s="66">
        <f t="shared" si="0"/>
        <v>3</v>
      </c>
      <c r="J3" s="66">
        <f>IFERROR(INDEX(OGCAway!$Q:$Q,MATCH(A3,OGCAway!$A:$A,0)),"-")</f>
        <v>2</v>
      </c>
      <c r="K3" s="68">
        <f t="shared" si="1"/>
        <v>0.5</v>
      </c>
      <c r="L3" s="68">
        <f>IFERROR(INDEX('HT(Home) %'!$K:$K,MATCH(A3,'HT(Home) %'!$A:$A,0)),"-")</f>
        <v>2.5714285714285716</v>
      </c>
      <c r="M3" s="68">
        <f t="shared" si="2"/>
        <v>0.33333333333333337</v>
      </c>
      <c r="N3" s="68">
        <f>AVERAGE(IFERROR(INDEX('HT(Home) %'!$M:$M,MATCH(A3,'HT(Home) %'!$A:$A,0)),"-"),M3)</f>
        <v>1.7380952380952384</v>
      </c>
    </row>
    <row r="4" spans="1:14" s="22" customFormat="1" ht="16.5" thickTop="1" thickBot="1" x14ac:dyDescent="0.3">
      <c r="A4" s="65" t="s">
        <v>148</v>
      </c>
      <c r="B4" s="65">
        <f>IFERROR(INDEX(HTAway!$B:$B,MATCH(A4,HTAway!$A:$A,0)),"-")</f>
        <v>8</v>
      </c>
      <c r="C4" s="65">
        <f>IFERROR(INDEX(OGSAway!$D:$D,MATCH(A4,OGSAway!$A:$A,0)),"-")</f>
        <v>28</v>
      </c>
      <c r="D4" s="65">
        <f>IFERROR(INDEX(OGSAway!$E:$E,MATCH(A4,OGSAway!$A:$A,0)),"-")</f>
        <v>2</v>
      </c>
      <c r="E4" s="65">
        <f>IFERROR(INDEX(OGSAway!$F:$F,MATCH(A4,OGSAway!$A:$A,0)),"-")</f>
        <v>0</v>
      </c>
      <c r="F4" s="66">
        <f>IFERROR(INDEX(HTAway!$C:$C,MATCH(A4,HTAway!$A:$A,0)),"-")</f>
        <v>4</v>
      </c>
      <c r="G4" s="66">
        <f>IFERROR(INDEX(HTAway!$E:$E,MATCH(A4,HTAway!$A:$A,0)),"-")</f>
        <v>1</v>
      </c>
      <c r="H4" s="66">
        <f>IFERROR(INDEX(HTAway!$D:$D,MATCH(A4,HTAway!$A:$A,0)),"-")</f>
        <v>3</v>
      </c>
      <c r="I4" s="66">
        <f t="shared" si="0"/>
        <v>30</v>
      </c>
      <c r="J4" s="66">
        <f>IFERROR(INDEX(OGCAway!$Q:$Q,MATCH(A4,OGCAway!$A:$A,0)),"-")</f>
        <v>1</v>
      </c>
      <c r="K4" s="68">
        <f t="shared" si="1"/>
        <v>3.75</v>
      </c>
      <c r="L4" s="68">
        <f>IFERROR(INDEX('HT(Home) %'!$K:$K,MATCH(A4,'HT(Home) %'!$A:$A,0)),"-")</f>
        <v>5.5</v>
      </c>
      <c r="M4" s="68">
        <f t="shared" si="2"/>
        <v>4</v>
      </c>
      <c r="N4" s="68">
        <f>AVERAGE(IFERROR(INDEX('HT(Home) %'!$M:$M,MATCH(A4,'HT(Home) %'!$A:$A,0)),"-"),M4)</f>
        <v>4.833333333333333</v>
      </c>
    </row>
    <row r="5" spans="1:14" s="22" customFormat="1" ht="16.5" thickTop="1" thickBot="1" x14ac:dyDescent="0.3">
      <c r="A5" s="65" t="s">
        <v>157</v>
      </c>
      <c r="B5" s="65">
        <f>IFERROR(INDEX(HTAway!$B:$B,MATCH(A5,HTAway!$A:$A,0)),"-")</f>
        <v>8</v>
      </c>
      <c r="C5" s="65">
        <f>IFERROR(INDEX(OGSAway!$D:$D,MATCH(A5,OGSAway!$A:$A,0)),"-")</f>
        <v>30</v>
      </c>
      <c r="D5" s="65">
        <f>IFERROR(INDEX(OGSAway!$E:$E,MATCH(A5,OGSAway!$A:$A,0)),"-")</f>
        <v>3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3</v>
      </c>
      <c r="H5" s="66">
        <f>IFERROR(INDEX(HTAway!$D:$D,MATCH(A5,HTAway!$A:$A,0)),"-")</f>
        <v>4</v>
      </c>
      <c r="I5" s="66">
        <f t="shared" si="0"/>
        <v>33</v>
      </c>
      <c r="J5" s="66">
        <f>IFERROR(INDEX(OGCAway!$Q:$Q,MATCH(A5,OGCAway!$A:$A,0)),"-")</f>
        <v>3</v>
      </c>
      <c r="K5" s="68">
        <f t="shared" si="1"/>
        <v>4.125</v>
      </c>
      <c r="L5" s="68">
        <f>IFERROR(INDEX('HT(Home) %'!$K:$K,MATCH(A5,'HT(Home) %'!$A:$A,0)),"-")</f>
        <v>3.3333333333333335</v>
      </c>
      <c r="M5" s="68">
        <f t="shared" si="2"/>
        <v>3.5</v>
      </c>
      <c r="N5" s="68">
        <f>AVERAGE(IFERROR(INDEX('HT(Home) %'!$M:$M,MATCH(A5,'HT(Home) %'!$A:$A,0)),"-"),M5)</f>
        <v>3.5833333333333335</v>
      </c>
    </row>
    <row r="6" spans="1:14" s="22" customFormat="1" ht="16.5" thickTop="1" thickBot="1" x14ac:dyDescent="0.3">
      <c r="A6" s="65" t="s">
        <v>154</v>
      </c>
      <c r="B6" s="65">
        <f>IFERROR(INDEX(HTAway!$B:$B,MATCH(A6,HTAway!$A:$A,0)),"-")</f>
        <v>7</v>
      </c>
      <c r="C6" s="65">
        <f>IFERROR(INDEX(OGSAway!$D:$D,MATCH(A6,OGSAway!$A:$A,0)),"-")</f>
        <v>37</v>
      </c>
      <c r="D6" s="65">
        <f>IFERROR(INDEX(OGSAway!$E:$E,MATCH(A6,OGSAway!$A:$A,0)),"-")</f>
        <v>1</v>
      </c>
      <c r="E6" s="65">
        <f>IFERROR(INDEX(OGSAway!$F:$F,MATCH(A6,OGSAway!$A:$A,0)),"-")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1</v>
      </c>
      <c r="H6" s="66">
        <f>IFERROR(INDEX(HTAway!$D:$D,MATCH(A6,HTAway!$A:$A,0)),"-")</f>
        <v>3</v>
      </c>
      <c r="I6" s="66">
        <f t="shared" si="0"/>
        <v>39</v>
      </c>
      <c r="J6" s="66">
        <f>IFERROR(INDEX(OGCAway!$Q:$Q,MATCH(A6,OGCAway!$A:$A,0)),"-")</f>
        <v>1</v>
      </c>
      <c r="K6" s="68">
        <f t="shared" si="1"/>
        <v>5.5714285714285712</v>
      </c>
      <c r="L6" s="68">
        <f>IFERROR(INDEX('HT(Home) %'!$K:$K,MATCH(A6,'HT(Home) %'!$A:$A,0)),"-")</f>
        <v>4.5714285714285712</v>
      </c>
      <c r="M6" s="68">
        <f t="shared" si="2"/>
        <v>5.7142857142857135</v>
      </c>
      <c r="N6" s="68">
        <f>AVERAGE(IFERROR(INDEX('HT(Home) %'!$M:$M,MATCH(A6,'HT(Home) %'!$A:$A,0)),"-"),M6)</f>
        <v>5.0714285714285712</v>
      </c>
    </row>
    <row r="7" spans="1:14" s="22" customFormat="1" ht="16.5" thickTop="1" thickBot="1" x14ac:dyDescent="0.3">
      <c r="A7" s="65" t="s">
        <v>155</v>
      </c>
      <c r="B7" s="65">
        <f>IFERROR(INDEX(HTAway!$B:$B,MATCH(A7,HTAway!$A:$A,0)),"-")</f>
        <v>7</v>
      </c>
      <c r="C7" s="65">
        <f>IFERROR(INDEX(OGSAway!$D:$D,MATCH(A7,OGSAway!$A:$A,0)),"-")</f>
        <v>30</v>
      </c>
      <c r="D7" s="65">
        <f>IFERROR(INDEX(OGSAway!$E:$E,MATCH(A7,OGSAway!$A:$A,0)),"-")</f>
        <v>2</v>
      </c>
      <c r="E7" s="65">
        <f>IFERROR(INDEX(OGSAway!$F:$F,MATCH(A7,OGSAway!$A:$A,0)),"-")</f>
        <v>0</v>
      </c>
      <c r="F7" s="66">
        <f>IFERROR(INDEX(HTAway!$C:$C,MATCH(A7,HTAway!$A:$A,0)),"-")</f>
        <v>3</v>
      </c>
      <c r="G7" s="66">
        <f>IFERROR(INDEX(HTAway!$E:$E,MATCH(A7,HTAway!$A:$A,0)),"-")</f>
        <v>1</v>
      </c>
      <c r="H7" s="66">
        <f>IFERROR(INDEX(HTAway!$D:$D,MATCH(A7,HTAway!$A:$A,0)),"-")</f>
        <v>3</v>
      </c>
      <c r="I7" s="66">
        <f t="shared" si="0"/>
        <v>32</v>
      </c>
      <c r="J7" s="66">
        <f>IFERROR(INDEX(OGCAway!$Q:$Q,MATCH(A7,OGCAway!$A:$A,0)),"-")</f>
        <v>1</v>
      </c>
      <c r="K7" s="68">
        <f t="shared" si="1"/>
        <v>4.5714285714285712</v>
      </c>
      <c r="L7" s="68">
        <f>IFERROR(INDEX('HT(Home) %'!$K:$K,MATCH(A7,'HT(Home) %'!$A:$A,0)),"-")</f>
        <v>4.7142857142857144</v>
      </c>
      <c r="M7" s="68">
        <f t="shared" si="2"/>
        <v>4.7142857142857135</v>
      </c>
      <c r="N7" s="68">
        <f>AVERAGE(IFERROR(INDEX('HT(Home) %'!$M:$M,MATCH(A7,'HT(Home) %'!$A:$A,0)),"-"),M7)</f>
        <v>4.6428571428571423</v>
      </c>
    </row>
    <row r="8" spans="1:14" s="22" customFormat="1" ht="16.5" thickTop="1" thickBot="1" x14ac:dyDescent="0.3">
      <c r="A8" s="65" t="s">
        <v>133</v>
      </c>
      <c r="B8" s="65">
        <f>IFERROR(INDEX(HTAway!$B:$B,MATCH(A8,HTAway!$A:$A,0)),"-")</f>
        <v>7</v>
      </c>
      <c r="C8" s="65" t="str">
        <f>IFERROR(INDEX(OGSAway!$D:$D,MATCH(A8,OGSAway!$A:$A,0)),"-")</f>
        <v>30</v>
      </c>
      <c r="D8" s="65">
        <f>IFERROR(INDEX(OGSAway!$E:$E,MATCH(A8,OGSAway!$A:$A,0)),"-")</f>
        <v>1</v>
      </c>
      <c r="E8" s="65">
        <f>IFERROR(INDEX(OGSAway!$F:$F,MATCH(A8,OGSAway!$A:$A,0)),"-")</f>
        <v>2</v>
      </c>
      <c r="F8" s="66">
        <f>IFERROR(INDEX(HTAway!$C:$C,MATCH(A8,HTAway!$A:$A,0)),"-")</f>
        <v>3</v>
      </c>
      <c r="G8" s="66">
        <f>IFERROR(INDEX(HTAway!$E:$E,MATCH(A8,HTAway!$A:$A,0)),"-")</f>
        <v>2</v>
      </c>
      <c r="H8" s="66">
        <f>IFERROR(INDEX(HTAway!$D:$D,MATCH(A8,HTAway!$A:$A,0)),"-")</f>
        <v>2</v>
      </c>
      <c r="I8" s="66">
        <f t="shared" si="0"/>
        <v>3</v>
      </c>
      <c r="J8" s="66">
        <f>IFERROR(INDEX(OGCAway!$Q:$Q,MATCH(A8,OGCAway!$A:$A,0)),"-")</f>
        <v>2</v>
      </c>
      <c r="K8" s="68">
        <f t="shared" si="1"/>
        <v>0.42857142857142855</v>
      </c>
      <c r="L8" s="68">
        <f>IFERROR(INDEX('HT(Home) %'!$K:$K,MATCH(A8,'HT(Home) %'!$A:$A,0)),"-")</f>
        <v>8</v>
      </c>
      <c r="M8" s="68">
        <f t="shared" si="2"/>
        <v>0.2857142857142857</v>
      </c>
      <c r="N8" s="68">
        <f>AVERAGE(IFERROR(INDEX('HT(Home) %'!$M:$M,MATCH(A8,'HT(Home) %'!$A:$A,0)),"-"),M8)</f>
        <v>4.2261904761904763</v>
      </c>
    </row>
    <row r="9" spans="1:14" s="22" customFormat="1" ht="16.5" thickTop="1" thickBot="1" x14ac:dyDescent="0.3">
      <c r="A9" s="65" t="s">
        <v>152</v>
      </c>
      <c r="B9" s="65">
        <f>IFERROR(INDEX(HTAway!$B:$B,MATCH(A9,HTAway!$A:$A,0)),"-")</f>
        <v>6</v>
      </c>
      <c r="C9" s="65">
        <f>IFERROR(INDEX(OGSAway!$D:$D,MATCH(A9,OGSAway!$A:$A,0)),"-")</f>
        <v>47</v>
      </c>
      <c r="D9" s="65">
        <f>IFERROR(INDEX(OGSAway!$E:$E,MATCH(A9,OGSAway!$A:$A,0)),"-")</f>
        <v>0</v>
      </c>
      <c r="E9" s="65">
        <f>IFERROR(INDEX(OGSAway!$F:$F,MATCH(A9,OGSAway!$A:$A,0)),"-")</f>
        <v>1</v>
      </c>
      <c r="F9" s="66">
        <f>IFERROR(INDEX(HTAway!$C:$C,MATCH(A9,HTAway!$A:$A,0)),"-")</f>
        <v>2</v>
      </c>
      <c r="G9" s="66">
        <f>IFERROR(INDEX(HTAway!$E:$E,MATCH(A9,HTAway!$A:$A,0)),"-")</f>
        <v>1</v>
      </c>
      <c r="H9" s="66">
        <f>IFERROR(INDEX(HTAway!$D:$D,MATCH(A9,HTAway!$A:$A,0)),"-")</f>
        <v>3</v>
      </c>
      <c r="I9" s="66">
        <f t="shared" si="0"/>
        <v>48</v>
      </c>
      <c r="J9" s="66">
        <f>IFERROR(INDEX(OGCAway!$Q:$Q,MATCH(A9,OGCAway!$A:$A,0)),"-")</f>
        <v>2</v>
      </c>
      <c r="K9" s="68">
        <f t="shared" si="1"/>
        <v>8</v>
      </c>
      <c r="L9" s="68">
        <f>IFERROR(INDEX('HT(Home) %'!$K:$K,MATCH(A9,'HT(Home) %'!$A:$A,0)),"-")</f>
        <v>2.125</v>
      </c>
      <c r="M9" s="68">
        <f t="shared" si="2"/>
        <v>7.833333333333333</v>
      </c>
      <c r="N9" s="68">
        <f>AVERAGE(IFERROR(INDEX('HT(Home) %'!$M:$M,MATCH(A9,'HT(Home) %'!$A:$A,0)),"-"),M9)</f>
        <v>5.2916666666666661</v>
      </c>
    </row>
    <row r="10" spans="1:14" s="22" customFormat="1" ht="16.5" thickTop="1" thickBot="1" x14ac:dyDescent="0.3">
      <c r="A10" s="65" t="s">
        <v>153</v>
      </c>
      <c r="B10" s="65">
        <f>IFERROR(INDEX(HTAway!$B:$B,MATCH(A10,HTAway!$A:$A,0)),"-")</f>
        <v>7</v>
      </c>
      <c r="C10" s="65">
        <f>IFERROR(INDEX(OGSAway!$D:$D,MATCH(A10,OGSAway!$A:$A,0)),"-")</f>
        <v>14</v>
      </c>
      <c r="D10" s="65">
        <f>IFERROR(INDEX(OGSAway!$E:$E,MATCH(A10,OGSAway!$A:$A,0)),"-")</f>
        <v>2</v>
      </c>
      <c r="E10" s="65">
        <f>IFERROR(INDEX(OGSAway!$F:$F,MATCH(A10,OGSAway!$A:$A,0)),"-")</f>
        <v>1</v>
      </c>
      <c r="F10" s="66">
        <f>IFERROR(INDEX(HTAway!$C:$C,MATCH(A10,HTAway!$A:$A,0)),"-")</f>
        <v>3</v>
      </c>
      <c r="G10" s="66">
        <f>IFERROR(INDEX(HTAway!$E:$E,MATCH(A10,HTAway!$A:$A,0)),"-")</f>
        <v>3</v>
      </c>
      <c r="H10" s="66">
        <f>IFERROR(INDEX(HTAway!$D:$D,MATCH(A10,HTAway!$A:$A,0)),"-")</f>
        <v>1</v>
      </c>
      <c r="I10" s="66">
        <f t="shared" si="0"/>
        <v>17</v>
      </c>
      <c r="J10" s="66">
        <f>IFERROR(INDEX(OGCAway!$Q:$Q,MATCH(A10,OGCAway!$A:$A,0)),"-")</f>
        <v>4</v>
      </c>
      <c r="K10" s="68">
        <f t="shared" si="1"/>
        <v>2.4285714285714284</v>
      </c>
      <c r="L10" s="68">
        <f>IFERROR(INDEX('HT(Home) %'!$K:$K,MATCH(A10,'HT(Home) %'!$A:$A,0)),"-")</f>
        <v>4.7142857142857144</v>
      </c>
      <c r="M10" s="68">
        <f t="shared" si="2"/>
        <v>1.857142857142857</v>
      </c>
      <c r="N10" s="68">
        <f>AVERAGE(IFERROR(INDEX('HT(Home) %'!$M:$M,MATCH(A10,'HT(Home) %'!$A:$A,0)),"-"),M10)</f>
        <v>3.1428571428571428</v>
      </c>
    </row>
    <row r="11" spans="1:14" s="22" customFormat="1" ht="16.5" thickTop="1" thickBot="1" x14ac:dyDescent="0.3">
      <c r="A11" s="65" t="s">
        <v>138</v>
      </c>
      <c r="B11" s="65">
        <f>IFERROR(INDEX(HTAway!$B:$B,MATCH(A11,HTAway!$A:$A,0)),"-")</f>
        <v>7</v>
      </c>
      <c r="C11" s="65" t="str">
        <f>IFERROR(INDEX(OGSAway!$D:$D,MATCH(A11,OGSAway!$A:$A,0)),"-")</f>
        <v>-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4</v>
      </c>
      <c r="H11" s="66">
        <f>IFERROR(INDEX(HTAway!$D:$D,MATCH(A11,HTAway!$A:$A,0)),"-")</f>
        <v>3</v>
      </c>
      <c r="I11" s="66">
        <f t="shared" si="0"/>
        <v>0</v>
      </c>
      <c r="J11" s="66">
        <f>IFERROR(INDEX(OGCAway!$Q:$Q,MATCH(A11,OGCAway!$A:$A,0)),"-")</f>
        <v>4</v>
      </c>
      <c r="K11" s="68">
        <f t="shared" si="1"/>
        <v>0</v>
      </c>
      <c r="L11" s="68">
        <f>IFERROR(INDEX('HT(Home) %'!$K:$K,MATCH(A11,'HT(Home) %'!$A:$A,0)),"-")</f>
        <v>5</v>
      </c>
      <c r="M11" s="68">
        <f t="shared" si="2"/>
        <v>-1.1428571428571428</v>
      </c>
      <c r="N11" s="68">
        <f>AVERAGE(IFERROR(INDEX('HT(Home) %'!$M:$M,MATCH(A11,'HT(Home) %'!$A:$A,0)),"-"),M11)</f>
        <v>2.0952380952380949</v>
      </c>
    </row>
    <row r="12" spans="1:14" s="22" customFormat="1" ht="16.5" thickTop="1" thickBot="1" x14ac:dyDescent="0.3">
      <c r="A12" s="65" t="s">
        <v>140</v>
      </c>
      <c r="B12" s="65">
        <f>IFERROR(INDEX(HTAway!$B:$B,MATCH(A12,HTAway!$A:$A,0)),"-")</f>
        <v>6</v>
      </c>
      <c r="C12" s="65" t="str">
        <f>IFERROR(INDEX(OGSAway!$D:$D,MATCH(A12,OGSAway!$A:$A,0)),"-")</f>
        <v>33</v>
      </c>
      <c r="D12" s="65">
        <f>IFERROR(INDEX(OGSAway!$E:$E,MATCH(A12,OGSAway!$A:$A,0)),"-")</f>
        <v>0</v>
      </c>
      <c r="E12" s="65">
        <f>IFERROR(INDEX(OGSAway!$F:$F,MATCH(A12,OGSAway!$A:$A,0)),"-")</f>
        <v>1</v>
      </c>
      <c r="F12" s="66">
        <f>IFERROR(INDEX(HTAway!$C:$C,MATCH(A12,HTAway!$A:$A,0)),"-")</f>
        <v>2</v>
      </c>
      <c r="G12" s="66">
        <f>IFERROR(INDEX(HTAway!$E:$E,MATCH(A12,HTAway!$A:$A,0)),"-")</f>
        <v>2</v>
      </c>
      <c r="H12" s="66">
        <f>IFERROR(INDEX(HTAway!$D:$D,MATCH(A12,HTAway!$A:$A,0)),"-")</f>
        <v>2</v>
      </c>
      <c r="I12" s="66">
        <f t="shared" si="0"/>
        <v>1</v>
      </c>
      <c r="J12" s="66">
        <f>IFERROR(INDEX(OGCAway!$Q:$Q,MATCH(A12,OGCAway!$A:$A,0)),"-")</f>
        <v>2</v>
      </c>
      <c r="K12" s="68">
        <f t="shared" si="1"/>
        <v>0.16666666666666666</v>
      </c>
      <c r="L12" s="68">
        <f>IFERROR(INDEX('HT(Home) %'!$K:$K,MATCH(A12,'HT(Home) %'!$A:$A,0)),"-")</f>
        <v>4.7142857142857144</v>
      </c>
      <c r="M12" s="68">
        <f t="shared" si="2"/>
        <v>-0.16666666666666666</v>
      </c>
      <c r="N12" s="68">
        <f>AVERAGE(IFERROR(INDEX('HT(Home) %'!$M:$M,MATCH(A12,'HT(Home) %'!$A:$A,0)),"-"),M12)</f>
        <v>2.2738095238095233</v>
      </c>
    </row>
    <row r="13" spans="1:14" s="22" customFormat="1" ht="16.5" thickTop="1" thickBot="1" x14ac:dyDescent="0.3">
      <c r="A13" s="65" t="s">
        <v>135</v>
      </c>
      <c r="B13" s="65">
        <f>IFERROR(INDEX(HTAway!$B:$B,MATCH(A13,HTAway!$A:$A,0)),"-")</f>
        <v>7</v>
      </c>
      <c r="C13" s="65" t="str">
        <f>IFERROR(INDEX(OGSAway!$D:$D,MATCH(A13,OGSAway!$A:$A,0)),"-")</f>
        <v>45</v>
      </c>
      <c r="D13" s="65">
        <f>IFERROR(INDEX(OGSAway!$E:$E,MATCH(A13,OGSAway!$A:$A,0)),"-")</f>
        <v>1</v>
      </c>
      <c r="E13" s="65">
        <f>IFERROR(INDEX(OGSAway!$F:$F,MATCH(A13,OGSAway!$A:$A,0)),"-")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2</v>
      </c>
      <c r="H13" s="66">
        <f>IFERROR(INDEX(HTAway!$D:$D,MATCH(A13,HTAway!$A:$A,0)),"-")</f>
        <v>4</v>
      </c>
      <c r="I13" s="66">
        <f t="shared" si="0"/>
        <v>1</v>
      </c>
      <c r="J13" s="66">
        <f>IFERROR(INDEX(OGCAway!$Q:$Q,MATCH(A13,OGCAway!$A:$A,0)),"-")</f>
        <v>1</v>
      </c>
      <c r="K13" s="68">
        <f t="shared" si="1"/>
        <v>0.14285714285714285</v>
      </c>
      <c r="L13" s="68">
        <f>IFERROR(INDEX('HT(Home) %'!$K:$K,MATCH(A13,'HT(Home) %'!$A:$A,0)),"-")</f>
        <v>4.833333333333333</v>
      </c>
      <c r="M13" s="68">
        <f t="shared" si="2"/>
        <v>-0.14285714285714285</v>
      </c>
      <c r="N13" s="68">
        <f>AVERAGE(IFERROR(INDEX('HT(Home) %'!$M:$M,MATCH(A13,'HT(Home) %'!$A:$A,0)),"-"),M13)</f>
        <v>2.2619047619047614</v>
      </c>
    </row>
    <row r="14" spans="1:14" s="22" customFormat="1" ht="16.5" thickTop="1" thickBot="1" x14ac:dyDescent="0.3">
      <c r="A14" s="65" t="s">
        <v>136</v>
      </c>
      <c r="B14" s="65">
        <f>IFERROR(INDEX(HTAway!$B:$B,MATCH(A14,HTAway!$A:$A,0)),"-")</f>
        <v>6</v>
      </c>
      <c r="C14" s="65" t="str">
        <f>IFERROR(INDEX(OGSAway!$D:$D,MATCH(A14,OGSAway!$A:$A,0)),"-")</f>
        <v>14</v>
      </c>
      <c r="D14" s="65">
        <f>IFERROR(INDEX(OGSAway!$E:$E,MATCH(A14,OGSAway!$A:$A,0)),"-")</f>
        <v>2</v>
      </c>
      <c r="E14" s="65">
        <f>IFERROR(INDEX(OGSAway!$F:$F,MATCH(A14,OGSAway!$A:$A,0)),"-")</f>
        <v>1</v>
      </c>
      <c r="F14" s="66">
        <f>IFERROR(INDEX(HTAway!$C:$C,MATCH(A14,HTAway!$A:$A,0)),"-")</f>
        <v>2</v>
      </c>
      <c r="G14" s="66">
        <f>IFERROR(INDEX(HTAway!$E:$E,MATCH(A14,HTAway!$A:$A,0)),"-")</f>
        <v>3</v>
      </c>
      <c r="H14" s="66">
        <f>IFERROR(INDEX(HTAway!$D:$D,MATCH(A14,HTAway!$A:$A,0)),"-")</f>
        <v>1</v>
      </c>
      <c r="I14" s="66">
        <f t="shared" si="0"/>
        <v>3</v>
      </c>
      <c r="J14" s="66">
        <f>IFERROR(INDEX(OGCAway!$Q:$Q,MATCH(A14,OGCAway!$A:$A,0)),"-")</f>
        <v>3</v>
      </c>
      <c r="K14" s="68">
        <f t="shared" si="1"/>
        <v>0.5</v>
      </c>
      <c r="L14" s="68">
        <f>IFERROR(INDEX('HT(Home) %'!$K:$K,MATCH(A14,'HT(Home) %'!$A:$A,0)),"-")</f>
        <v>5.7142857142857144</v>
      </c>
      <c r="M14" s="68">
        <f t="shared" si="2"/>
        <v>-0.16666666666666669</v>
      </c>
      <c r="N14" s="68">
        <f>AVERAGE(IFERROR(INDEX('HT(Home) %'!$M:$M,MATCH(A14,'HT(Home) %'!$A:$A,0)),"-"),M14)</f>
        <v>2.7738095238095237</v>
      </c>
    </row>
    <row r="15" spans="1:14" s="22" customFormat="1" ht="16.5" thickTop="1" thickBot="1" x14ac:dyDescent="0.3">
      <c r="A15" s="65" t="s">
        <v>149</v>
      </c>
      <c r="B15" s="65">
        <f>IFERROR(INDEX(HTAway!$B:$B,MATCH(A15,HTAway!$A:$A,0)),"-")</f>
        <v>6</v>
      </c>
      <c r="C15" s="65">
        <f>IFERROR(INDEX(OGSAway!$D:$D,MATCH(A15,OGSAway!$A:$A,0)),"-")</f>
        <v>22</v>
      </c>
      <c r="D15" s="65">
        <f>IFERROR(INDEX(OGSAway!$E:$E,MATCH(A15,OGSAway!$A:$A,0)),"-")</f>
        <v>1</v>
      </c>
      <c r="E15" s="65">
        <f>IFERROR(INDEX(OGSAway!$F:$F,MATCH(A15,OGSAway!$A:$A,0)),"-")</f>
        <v>0</v>
      </c>
      <c r="F15" s="66">
        <f>IFERROR(INDEX(HTAway!$C:$C,MATCH(A15,HTAway!$A:$A,0)),"-")</f>
        <v>3</v>
      </c>
      <c r="G15" s="66">
        <f>IFERROR(INDEX(HTAway!$E:$E,MATCH(A15,HTAway!$A:$A,0)),"-")</f>
        <v>2</v>
      </c>
      <c r="H15" s="66">
        <f>IFERROR(INDEX(HTAway!$D:$D,MATCH(A15,HTAway!$A:$A,0)),"-")</f>
        <v>1</v>
      </c>
      <c r="I15" s="66">
        <f t="shared" si="0"/>
        <v>23</v>
      </c>
      <c r="J15" s="66">
        <f>IFERROR(INDEX(OGCAway!$Q:$Q,MATCH(A15,OGCAway!$A:$A,0)),"-")</f>
        <v>4</v>
      </c>
      <c r="K15" s="68">
        <f t="shared" si="1"/>
        <v>3.8333333333333335</v>
      </c>
      <c r="L15" s="68">
        <f>IFERROR(INDEX('HT(Home) %'!$K:$K,MATCH(A15,'HT(Home) %'!$A:$A,0)),"-")</f>
        <v>3.25</v>
      </c>
      <c r="M15" s="68">
        <f t="shared" si="2"/>
        <v>3.3333333333333335</v>
      </c>
      <c r="N15" s="68">
        <f>AVERAGE(IFERROR(INDEX('HT(Home) %'!$M:$M,MATCH(A15,'HT(Home) %'!$A:$A,0)),"-"),M15)</f>
        <v>3.291666666666667</v>
      </c>
    </row>
    <row r="16" spans="1:14" s="22" customFormat="1" ht="16.5" thickTop="1" thickBot="1" x14ac:dyDescent="0.3">
      <c r="A16" s="65" t="s">
        <v>141</v>
      </c>
      <c r="B16" s="65">
        <f>IFERROR(INDEX(HTAway!$B:$B,MATCH(A16,HTAway!$A:$A,0)),"-")</f>
        <v>5</v>
      </c>
      <c r="C16" s="65" t="str">
        <f>IFERROR(INDEX(OGSAway!$D:$D,MATCH(A16,OGSAway!$A:$A,0)),"-")</f>
        <v>6</v>
      </c>
      <c r="D16" s="65">
        <f>IFERROR(INDEX(OGSAway!$E:$E,MATCH(A16,OGSAway!$A:$A,0)),"-")</f>
        <v>2</v>
      </c>
      <c r="E16" s="65">
        <f>IFERROR(INDEX(OGSAway!$F:$F,MATCH(A16,OGSAway!$A:$A,0)),"-")</f>
        <v>0</v>
      </c>
      <c r="F16" s="66">
        <f>IFERROR(INDEX(HTAway!$C:$C,MATCH(A16,HTAway!$A:$A,0)),"-")</f>
        <v>2</v>
      </c>
      <c r="G16" s="66">
        <f>IFERROR(INDEX(HTAway!$E:$E,MATCH(A16,HTAway!$A:$A,0)),"-")</f>
        <v>3</v>
      </c>
      <c r="H16" s="66">
        <f>IFERROR(INDEX(HTAway!$D:$D,MATCH(A16,HTAway!$A:$A,0)),"-")</f>
        <v>0</v>
      </c>
      <c r="I16" s="66">
        <f t="shared" si="0"/>
        <v>2</v>
      </c>
      <c r="J16" s="66">
        <f>IFERROR(INDEX(OGCAway!$Q:$Q,MATCH(A16,OGCAway!$A:$A,0)),"-")</f>
        <v>3</v>
      </c>
      <c r="K16" s="68">
        <f t="shared" si="1"/>
        <v>0.4</v>
      </c>
      <c r="L16" s="68">
        <f>IFERROR(INDEX('HT(Home) %'!$K:$K,MATCH(A16,'HT(Home) %'!$A:$A,0)),"-")</f>
        <v>5.1428571428571432</v>
      </c>
      <c r="M16" s="68">
        <f t="shared" si="2"/>
        <v>-0.39999999999999991</v>
      </c>
      <c r="N16" s="68">
        <f>AVERAGE(IFERROR(INDEX('HT(Home) %'!$M:$M,MATCH(A16,'HT(Home) %'!$A:$A,0)),"-"),M16)</f>
        <v>2.5142857142857142</v>
      </c>
    </row>
    <row r="17" spans="1:14" s="22" customFormat="1" ht="16.5" thickTop="1" thickBot="1" x14ac:dyDescent="0.3">
      <c r="A17" s="65" t="s">
        <v>134</v>
      </c>
      <c r="B17" s="65">
        <f>IFERROR(INDEX(HTAway!$B:$B,MATCH(A17,HTAway!$A:$A,0)),"-")</f>
        <v>6</v>
      </c>
      <c r="C17" s="65" t="str">
        <f>IFERROR(INDEX(OGSAway!$D:$D,MATCH(A17,OGSAway!$A:$A,0)),"-")</f>
        <v>8</v>
      </c>
      <c r="D17" s="65">
        <f>IFERROR(INDEX(OGSAway!$E:$E,MATCH(A17,OGSAway!$A:$A,0)),"-")</f>
        <v>3</v>
      </c>
      <c r="E17" s="65">
        <f>IFERROR(INDEX(OGSAway!$F:$F,MATCH(A17,OGSAway!$A:$A,0)),"-")</f>
        <v>0</v>
      </c>
      <c r="F17" s="66">
        <f>IFERROR(INDEX(HTAway!$C:$C,MATCH(A17,HTAway!$A:$A,0)),"-")</f>
        <v>2</v>
      </c>
      <c r="G17" s="66">
        <f>IFERROR(INDEX(HTAway!$E:$E,MATCH(A17,HTAway!$A:$A,0)),"-")</f>
        <v>2</v>
      </c>
      <c r="H17" s="66">
        <f>IFERROR(INDEX(HTAway!$D:$D,MATCH(A17,HTAway!$A:$A,0)),"-")</f>
        <v>2</v>
      </c>
      <c r="I17" s="66">
        <f t="shared" si="0"/>
        <v>3</v>
      </c>
      <c r="J17" s="66">
        <f>IFERROR(INDEX(OGCAway!$Q:$Q,MATCH(A17,OGCAway!$A:$A,0)),"-")</f>
        <v>2</v>
      </c>
      <c r="K17" s="68">
        <f t="shared" si="1"/>
        <v>0.5</v>
      </c>
      <c r="L17" s="68">
        <f>IFERROR(INDEX('HT(Home) %'!$K:$K,MATCH(A17,'HT(Home) %'!$A:$A,0)),"-")</f>
        <v>3.3333333333333335</v>
      </c>
      <c r="M17" s="68">
        <f t="shared" si="2"/>
        <v>0.16666666666666669</v>
      </c>
      <c r="N17" s="68">
        <f>AVERAGE(IFERROR(INDEX('HT(Home) %'!$M:$M,MATCH(A17,'HT(Home) %'!$A:$A,0)),"-"),M17)</f>
        <v>1.9166666666666667</v>
      </c>
    </row>
    <row r="18" spans="1:14" s="22" customFormat="1" ht="16.5" thickTop="1" thickBot="1" x14ac:dyDescent="0.3">
      <c r="A18" s="65" t="s">
        <v>150</v>
      </c>
      <c r="B18" s="65">
        <f>IFERROR(INDEX(HTAway!$B:$B,MATCH(A18,HTAway!$A:$A,0)),"-")</f>
        <v>7</v>
      </c>
      <c r="C18" s="65">
        <f>IFERROR(INDEX(OGSAway!$D:$D,MATCH(A18,OGSAway!$A:$A,0)),"-")</f>
        <v>48</v>
      </c>
      <c r="D18" s="65">
        <f>IFERROR(INDEX(OGSAway!$E:$E,MATCH(A18,OGSAway!$A:$A,0)),"-")</f>
        <v>0</v>
      </c>
      <c r="E18" s="65">
        <f>IFERROR(INDEX(OGSAway!$F:$F,MATCH(A18,OGSAway!$A:$A,0)),"-")</f>
        <v>1</v>
      </c>
      <c r="F18" s="66">
        <f>IFERROR(INDEX(HTAway!$C:$C,MATCH(A18,HTAway!$A:$A,0)),"-")</f>
        <v>2</v>
      </c>
      <c r="G18" s="66">
        <f>IFERROR(INDEX(HTAway!$E:$E,MATCH(A18,HTAway!$A:$A,0)),"-")</f>
        <v>2</v>
      </c>
      <c r="H18" s="66">
        <f>IFERROR(INDEX(HTAway!$D:$D,MATCH(A18,HTAway!$A:$A,0)),"-")</f>
        <v>3</v>
      </c>
      <c r="I18" s="66">
        <f t="shared" si="0"/>
        <v>49</v>
      </c>
      <c r="J18" s="66">
        <f>IFERROR(INDEX(OGCAway!$Q:$Q,MATCH(A18,OGCAway!$A:$A,0)),"-")</f>
        <v>3</v>
      </c>
      <c r="K18" s="68">
        <f t="shared" si="1"/>
        <v>7</v>
      </c>
      <c r="L18" s="68">
        <f>IFERROR(INDEX('HT(Home) %'!$K:$K,MATCH(A18,'HT(Home) %'!$A:$A,0)),"-")</f>
        <v>3.5714285714285716</v>
      </c>
      <c r="M18" s="68">
        <f t="shared" si="2"/>
        <v>6.5714285714285712</v>
      </c>
      <c r="N18" s="68">
        <f>AVERAGE(IFERROR(INDEX('HT(Home) %'!$M:$M,MATCH(A18,'HT(Home) %'!$A:$A,0)),"-"),M18)</f>
        <v>5.1428571428571423</v>
      </c>
    </row>
    <row r="19" spans="1:14" s="22" customFormat="1" ht="16.5" thickTop="1" thickBot="1" x14ac:dyDescent="0.3">
      <c r="A19" s="65" t="s">
        <v>160</v>
      </c>
      <c r="B19" s="65">
        <f>IFERROR(INDEX(HTAway!$B:$B,MATCH(A19,HTAway!$A:$A,0)),"-")</f>
        <v>7</v>
      </c>
      <c r="C19" s="65">
        <f>IFERROR(INDEX(OGSAway!$D:$D,MATCH(A19,OGSAway!$A:$A,0)),"-")</f>
        <v>19</v>
      </c>
      <c r="D19" s="65">
        <f>IFERROR(INDEX(OGSAway!$E:$E,MATCH(A19,OGSAway!$A:$A,0)),"-")</f>
        <v>2</v>
      </c>
      <c r="E19" s="65">
        <f>IFERROR(INDEX(OGSAway!$F:$F,MATCH(A19,OGSAway!$A:$A,0)),"-")</f>
        <v>0</v>
      </c>
      <c r="F19" s="66">
        <f>IFERROR(INDEX(HTAway!$C:$C,MATCH(A19,HTAway!$A:$A,0)),"-")</f>
        <v>1</v>
      </c>
      <c r="G19" s="66">
        <f>IFERROR(INDEX(HTAway!$E:$E,MATCH(A19,HTAway!$A:$A,0)),"-")</f>
        <v>1</v>
      </c>
      <c r="H19" s="66">
        <f>IFERROR(INDEX(HTAway!$D:$D,MATCH(A19,HTAway!$A:$A,0)),"-")</f>
        <v>5</v>
      </c>
      <c r="I19" s="66">
        <f t="shared" si="0"/>
        <v>21</v>
      </c>
      <c r="J19" s="66">
        <f>IFERROR(INDEX(OGCAway!$Q:$Q,MATCH(A19,OGCAway!$A:$A,0)),"-")</f>
        <v>2</v>
      </c>
      <c r="K19" s="68">
        <f t="shared" si="1"/>
        <v>3</v>
      </c>
      <c r="L19" s="68">
        <f>IFERROR(INDEX('HT(Home) %'!$K:$K,MATCH(A19,'HT(Home) %'!$A:$A,0)),"-")</f>
        <v>1.7142857142857142</v>
      </c>
      <c r="M19" s="68">
        <f t="shared" si="2"/>
        <v>2.7142857142857144</v>
      </c>
      <c r="N19" s="68">
        <f>AVERAGE(IFERROR(INDEX('HT(Home) %'!$M:$M,MATCH(A19,'HT(Home) %'!$A:$A,0)),"-"),M19)</f>
        <v>2</v>
      </c>
    </row>
    <row r="20" spans="1:14" s="22" customFormat="1" ht="16.5" thickTop="1" thickBot="1" x14ac:dyDescent="0.3">
      <c r="A20" s="65" t="s">
        <v>151</v>
      </c>
      <c r="B20" s="65">
        <f>IFERROR(INDEX(HTAway!$B:$B,MATCH(A20,HTAway!$A:$A,0)),"-")</f>
        <v>7</v>
      </c>
      <c r="C20" s="65">
        <f>IFERROR(INDEX(OGSAway!$D:$D,MATCH(A20,OGSAway!$A:$A,0)),"-")</f>
        <v>26</v>
      </c>
      <c r="D20" s="65">
        <f>IFERROR(INDEX(OGSAway!$E:$E,MATCH(A20,OGSAway!$A:$A,0)),"-")</f>
        <v>1</v>
      </c>
      <c r="E20" s="65">
        <f>IFERROR(INDEX(OGSAway!$F:$F,MATCH(A20,OGSAway!$A:$A,0)),"-")</f>
        <v>1</v>
      </c>
      <c r="F20" s="66">
        <f>IFERROR(INDEX(HTAway!$C:$C,MATCH(A20,HTAway!$A:$A,0)),"-")</f>
        <v>2</v>
      </c>
      <c r="G20" s="66">
        <f>IFERROR(INDEX(HTAway!$E:$E,MATCH(A20,HTAway!$A:$A,0)),"-")</f>
        <v>1</v>
      </c>
      <c r="H20" s="66">
        <f>IFERROR(INDEX(HTAway!$D:$D,MATCH(A20,HTAway!$A:$A,0)),"-")</f>
        <v>4</v>
      </c>
      <c r="I20" s="66">
        <f t="shared" si="0"/>
        <v>28</v>
      </c>
      <c r="J20" s="66">
        <f>IFERROR(INDEX(OGCAway!$Q:$Q,MATCH(A20,OGCAway!$A:$A,0)),"-")</f>
        <v>1</v>
      </c>
      <c r="K20" s="68">
        <f t="shared" si="1"/>
        <v>4</v>
      </c>
      <c r="L20" s="68">
        <f>IFERROR(INDEX('HT(Home) %'!$K:$K,MATCH(A20,'HT(Home) %'!$A:$A,0)),"-")</f>
        <v>3.8571428571428572</v>
      </c>
      <c r="M20" s="68">
        <f t="shared" si="2"/>
        <v>4</v>
      </c>
      <c r="N20" s="68">
        <f>AVERAGE(IFERROR(INDEX('HT(Home) %'!$M:$M,MATCH(A20,'HT(Home) %'!$A:$A,0)),"-"),M20)</f>
        <v>3.4285714285714284</v>
      </c>
    </row>
    <row r="21" spans="1:14" s="22" customFormat="1" ht="16.5" thickTop="1" thickBot="1" x14ac:dyDescent="0.3">
      <c r="A21" s="65" t="s">
        <v>161</v>
      </c>
      <c r="B21" s="65">
        <f>IFERROR(INDEX(HTAway!$B:$B,MATCH(A21,HTAway!$A:$A,0)),"-")</f>
        <v>6</v>
      </c>
      <c r="C21" s="65">
        <f>IFERROR(INDEX(OGSAway!$D:$D,MATCH(A21,OGSAway!$A:$A,0)),"-")</f>
        <v>33</v>
      </c>
      <c r="D21" s="65">
        <f>IFERROR(INDEX(OGSAway!$E:$E,MATCH(A21,OGSAway!$A:$A,0)),"-")</f>
        <v>0</v>
      </c>
      <c r="E21" s="65">
        <f>IFERROR(INDEX(OGSAway!$F:$F,MATCH(A21,OGSAway!$A:$A,0)),"-")</f>
        <v>1</v>
      </c>
      <c r="F21" s="66">
        <f>IFERROR(INDEX(HTAway!$C:$C,MATCH(A21,HTAway!$A:$A,0)),"-")</f>
        <v>1</v>
      </c>
      <c r="G21" s="66">
        <f>IFERROR(INDEX(HTAway!$E:$E,MATCH(A21,HTAway!$A:$A,0)),"-")</f>
        <v>2</v>
      </c>
      <c r="H21" s="66">
        <f>IFERROR(INDEX(HTAway!$D:$D,MATCH(A21,HTAway!$A:$A,0)),"-")</f>
        <v>3</v>
      </c>
      <c r="I21" s="66">
        <f t="shared" si="0"/>
        <v>34</v>
      </c>
      <c r="J21" s="66">
        <f>IFERROR(INDEX(OGCAway!$Q:$Q,MATCH(A21,OGCAway!$A:$A,0)),"-")</f>
        <v>2</v>
      </c>
      <c r="K21" s="68">
        <f t="shared" si="1"/>
        <v>5.666666666666667</v>
      </c>
      <c r="L21" s="68">
        <f>IFERROR(INDEX('HT(Home) %'!$K:$K,MATCH(A21,'HT(Home) %'!$A:$A,0)),"-")</f>
        <v>3.375</v>
      </c>
      <c r="M21" s="68">
        <f t="shared" si="2"/>
        <v>5.1666666666666679</v>
      </c>
      <c r="N21" s="68">
        <f>AVERAGE(IFERROR(INDEX('HT(Home) %'!$M:$M,MATCH(A21,'HT(Home) %'!$A:$A,0)),"-"),M21)</f>
        <v>3.8958333333333339</v>
      </c>
    </row>
    <row r="22" spans="1:14" s="22" customFormat="1" ht="16.5" thickTop="1" thickBot="1" x14ac:dyDescent="0.3">
      <c r="A22" s="65" t="s">
        <v>144</v>
      </c>
      <c r="B22" s="65">
        <f>IFERROR(INDEX(HTAway!$B:$B,MATCH(A22,HTAway!$A:$A,0)),"-")</f>
        <v>6</v>
      </c>
      <c r="C22" s="65" t="str">
        <f>IFERROR(INDEX(OGSAway!$D:$D,MATCH(A22,OGSAway!$A:$A,0)),"-")</f>
        <v>44</v>
      </c>
      <c r="D22" s="65">
        <f>IFERROR(INDEX(OGSAway!$E:$E,MATCH(A22,OGSAway!$A:$A,0)),"-")</f>
        <v>1</v>
      </c>
      <c r="E22" s="65">
        <f>IFERROR(INDEX(OGSAway!$F:$F,MATCH(A22,OGSAway!$A:$A,0)),"-")</f>
        <v>0</v>
      </c>
      <c r="F22" s="66">
        <f>IFERROR(INDEX(HTAway!$C:$C,MATCH(A22,HTAway!$A:$A,0)),"-")</f>
        <v>1</v>
      </c>
      <c r="G22" s="66">
        <f>IFERROR(INDEX(HTAway!$E:$E,MATCH(A22,HTAway!$A:$A,0)),"-")</f>
        <v>2</v>
      </c>
      <c r="H22" s="66">
        <f>IFERROR(INDEX(HTAway!$D:$D,MATCH(A22,HTAway!$A:$A,0)),"-")</f>
        <v>3</v>
      </c>
      <c r="I22" s="66">
        <f t="shared" si="0"/>
        <v>1</v>
      </c>
      <c r="J22" s="66">
        <f>IFERROR(INDEX(OGCAway!$Q:$Q,MATCH(A22,OGCAway!$A:$A,0)),"-")</f>
        <v>2</v>
      </c>
      <c r="K22" s="68">
        <f t="shared" si="1"/>
        <v>0.16666666666666666</v>
      </c>
      <c r="L22" s="68">
        <f>IFERROR(INDEX('HT(Home) %'!$K:$K,MATCH(A22,'HT(Home) %'!$A:$A,0)),"-")</f>
        <v>7.8571428571428568</v>
      </c>
      <c r="M22" s="68">
        <f t="shared" si="2"/>
        <v>-0.33333333333333331</v>
      </c>
      <c r="N22" s="68">
        <f>AVERAGE(IFERROR(INDEX('HT(Home) %'!$M:$M,MATCH(A22,'HT(Home) %'!$A:$A,0)),"-"),M22)</f>
        <v>3.6190476190476186</v>
      </c>
    </row>
    <row r="23" spans="1:14" s="22" customFormat="1" ht="16.5" thickTop="1" thickBot="1" x14ac:dyDescent="0.3">
      <c r="A23" s="65" t="s">
        <v>146</v>
      </c>
      <c r="B23" s="65">
        <f>IFERROR(INDEX(HTAway!$B:$B,MATCH(A23,HTAway!$A:$A,0)),"-")</f>
        <v>7</v>
      </c>
      <c r="C23" s="65" t="str">
        <f>IFERROR(INDEX(OGSAway!$D:$D,MATCH(A23,OGSAway!$A:$A,0)),"-")</f>
        <v>-</v>
      </c>
      <c r="D23" s="65">
        <f>IFERROR(INDEX(OGSAway!$E:$E,MATCH(A23,OGSAway!$A:$A,0)),"-")</f>
        <v>0</v>
      </c>
      <c r="E23" s="65">
        <f>IFERROR(INDEX(OGSAway!$F:$F,MATCH(A23,OGSAway!$A:$A,0)),"-")</f>
        <v>0</v>
      </c>
      <c r="F23" s="66">
        <f>IFERROR(INDEX(HTAway!$C:$C,MATCH(A23,HTAway!$A:$A,0)),"-")</f>
        <v>0</v>
      </c>
      <c r="G23" s="66">
        <f>IFERROR(INDEX(HTAway!$E:$E,MATCH(A23,HTAway!$A:$A,0)),"-")</f>
        <v>2</v>
      </c>
      <c r="H23" s="66">
        <f>IFERROR(INDEX(HTAway!$D:$D,MATCH(A23,HTAway!$A:$A,0)),"-")</f>
        <v>5</v>
      </c>
      <c r="I23" s="66">
        <f t="shared" si="0"/>
        <v>0</v>
      </c>
      <c r="J23" s="66">
        <f>IFERROR(INDEX(OGCAway!$Q:$Q,MATCH(A23,OGCAway!$A:$A,0)),"-")</f>
        <v>3</v>
      </c>
      <c r="K23" s="68">
        <f t="shared" si="1"/>
        <v>0</v>
      </c>
      <c r="L23" s="68">
        <f>IFERROR(INDEX('HT(Home) %'!$K:$K,MATCH(A23,'HT(Home) %'!$A:$A,0)),"-")</f>
        <v>9.1666666666666661</v>
      </c>
      <c r="M23" s="68">
        <f t="shared" si="2"/>
        <v>-0.71428571428571419</v>
      </c>
      <c r="N23" s="68">
        <f>AVERAGE(IFERROR(INDEX('HT(Home) %'!$M:$M,MATCH(A23,'HT(Home) %'!$A:$A,0)),"-"),M23)</f>
        <v>3.8095238095238089</v>
      </c>
    </row>
    <row r="24" spans="1:14" s="22" customFormat="1" ht="16.5" thickTop="1" thickBot="1" x14ac:dyDescent="0.3">
      <c r="A24" s="65" t="s">
        <v>137</v>
      </c>
      <c r="B24" s="65">
        <f>IFERROR(INDEX(HTAway!$B:$B,MATCH(A24,HTAway!$A:$A,0)),"-")</f>
        <v>6</v>
      </c>
      <c r="C24" s="65" t="str">
        <f>IFERROR(INDEX(OGSAway!$D:$D,MATCH(A24,OGSAway!$A:$A,0)),"-")</f>
        <v>40</v>
      </c>
      <c r="D24" s="65">
        <f>IFERROR(INDEX(OGSAway!$E:$E,MATCH(A24,OGSAway!$A:$A,0)),"-")</f>
        <v>1</v>
      </c>
      <c r="E24" s="65">
        <f>IFERROR(INDEX(OGSAway!$F:$F,MATCH(A24,OGSAway!$A:$A,0)),"-")</f>
        <v>1</v>
      </c>
      <c r="F24" s="66">
        <f>IFERROR(INDEX(HTAway!$C:$C,MATCH(A24,HTAway!$A:$A,0)),"-")</f>
        <v>2</v>
      </c>
      <c r="G24" s="66">
        <f>IFERROR(INDEX(HTAway!$E:$E,MATCH(A24,HTAway!$A:$A,0)),"-")</f>
        <v>3</v>
      </c>
      <c r="H24" s="66">
        <f>IFERROR(INDEX(HTAway!$D:$D,MATCH(A24,HTAway!$A:$A,0)),"-")</f>
        <v>1</v>
      </c>
      <c r="I24" s="66">
        <f t="shared" si="0"/>
        <v>2</v>
      </c>
      <c r="J24" s="66">
        <f>IFERROR(INDEX(OGCAway!$Q:$Q,MATCH(A24,OGCAway!$A:$A,0)),"-")</f>
        <v>3</v>
      </c>
      <c r="K24" s="68">
        <f t="shared" si="1"/>
        <v>0.33333333333333331</v>
      </c>
      <c r="L24" s="68">
        <f>IFERROR(INDEX('HT(Home) %'!$K:$K,MATCH(A24,'HT(Home) %'!$A:$A,0)),"-")</f>
        <v>6.4285714285714288</v>
      </c>
      <c r="M24" s="68">
        <f t="shared" si="2"/>
        <v>-0.33333333333333337</v>
      </c>
      <c r="N24" s="68">
        <f>AVERAGE(IFERROR(INDEX('HT(Home) %'!$M:$M,MATCH(A24,'HT(Home) %'!$A:$A,0)),"-"),M24)</f>
        <v>2.5476190476190483</v>
      </c>
    </row>
    <row r="25" spans="1:14" s="22" customFormat="1" ht="16.5" thickTop="1" thickBot="1" x14ac:dyDescent="0.3">
      <c r="A25" s="65" t="s">
        <v>156</v>
      </c>
      <c r="B25" s="65">
        <f>IFERROR(INDEX(HTAway!$B:$B,MATCH(A25,HTAway!$A:$A,0)),"-")</f>
        <v>7</v>
      </c>
      <c r="C25" s="65">
        <f>IFERROR(INDEX(OGSAway!$D:$D,MATCH(A25,OGSAway!$A:$A,0)),"-")</f>
        <v>24</v>
      </c>
      <c r="D25" s="65">
        <f>IFERROR(INDEX(OGSAway!$E:$E,MATCH(A25,OGSAway!$A:$A,0)),"-")</f>
        <v>2</v>
      </c>
      <c r="E25" s="65">
        <f>IFERROR(INDEX(OGSAway!$F:$F,MATCH(A25,OGSAway!$A:$A,0)),"-")</f>
        <v>1</v>
      </c>
      <c r="F25" s="66">
        <f>IFERROR(INDEX(HTAway!$C:$C,MATCH(A25,HTAway!$A:$A,0)),"-")</f>
        <v>2</v>
      </c>
      <c r="G25" s="66">
        <f>IFERROR(INDEX(HTAway!$E:$E,MATCH(A25,HTAway!$A:$A,0)),"-")</f>
        <v>3</v>
      </c>
      <c r="H25" s="66">
        <f>IFERROR(INDEX(HTAway!$D:$D,MATCH(A25,HTAway!$A:$A,0)),"-")</f>
        <v>2</v>
      </c>
      <c r="I25" s="66">
        <f t="shared" si="0"/>
        <v>27</v>
      </c>
      <c r="J25" s="66">
        <f>IFERROR(INDEX(OGCAway!$Q:$Q,MATCH(A25,OGCAway!$A:$A,0)),"-")</f>
        <v>3</v>
      </c>
      <c r="K25" s="68">
        <f t="shared" si="1"/>
        <v>3.8571428571428572</v>
      </c>
      <c r="L25" s="68">
        <f>IFERROR(INDEX('HT(Home) %'!$K:$K,MATCH(A25,'HT(Home) %'!$A:$A,0)),"-")</f>
        <v>3.7142857142857144</v>
      </c>
      <c r="M25" s="68">
        <f t="shared" si="2"/>
        <v>3.285714285714286</v>
      </c>
      <c r="N25" s="68">
        <f>AVERAGE(IFERROR(INDEX('HT(Home) %'!$M:$M,MATCH(A25,'HT(Home) %'!$A:$A,0)),"-"),M25)</f>
        <v>3.3571428571428577</v>
      </c>
    </row>
    <row r="26" spans="1:14" s="22" customFormat="1" ht="16.5" thickTop="1" thickBot="1" x14ac:dyDescent="0.3">
      <c r="A26" s="65" t="s">
        <v>163</v>
      </c>
      <c r="B26" s="65">
        <f>IFERROR(INDEX(HTAway!$B:$B,MATCH(A26,HTAway!$A:$A,0)),"-")</f>
        <v>7</v>
      </c>
      <c r="C26" s="65">
        <f>IFERROR(INDEX(OGSAway!$D:$D,MATCH(A26,OGSAway!$A:$A,0)),"-")</f>
        <v>34</v>
      </c>
      <c r="D26" s="65">
        <f>IFERROR(INDEX(OGSAway!$E:$E,MATCH(A26,OGSAway!$A:$A,0)),"-")</f>
        <v>0</v>
      </c>
      <c r="E26" s="65">
        <f>IFERROR(INDEX(OGSAway!$F:$F,MATCH(A26,OGSAway!$A:$A,0)),"-")</f>
        <v>1</v>
      </c>
      <c r="F26" s="66">
        <f>IFERROR(INDEX(HTAway!$C:$C,MATCH(A26,HTAway!$A:$A,0)),"-")</f>
        <v>1</v>
      </c>
      <c r="G26" s="66">
        <f>IFERROR(INDEX(HTAway!$E:$E,MATCH(A26,HTAway!$A:$A,0)),"-")</f>
        <v>5</v>
      </c>
      <c r="H26" s="66">
        <f>IFERROR(INDEX(HTAway!$D:$D,MATCH(A26,HTAway!$A:$A,0)),"-")</f>
        <v>1</v>
      </c>
      <c r="I26" s="66">
        <f t="shared" si="0"/>
        <v>35</v>
      </c>
      <c r="J26" s="66">
        <f>IFERROR(INDEX(OGCAway!$Q:$Q,MATCH(A26,OGCAway!$A:$A,0)),"-")</f>
        <v>5</v>
      </c>
      <c r="K26" s="68">
        <f t="shared" si="1"/>
        <v>5</v>
      </c>
      <c r="L26" s="68">
        <f>IFERROR(INDEX('HT(Home) %'!$K:$K,MATCH(A26,'HT(Home) %'!$A:$A,0)),"-")</f>
        <v>6.8571428571428568</v>
      </c>
      <c r="M26" s="68">
        <f t="shared" si="2"/>
        <v>3.7142857142857144</v>
      </c>
      <c r="N26" s="68">
        <f>AVERAGE(IFERROR(INDEX('HT(Home) %'!$M:$M,MATCH(A26,'HT(Home) %'!$A:$A,0)),"-"),M26)</f>
        <v>4.7857142857142856</v>
      </c>
    </row>
    <row r="27" spans="1:14" s="22" customFormat="1" ht="16.5" thickTop="1" thickBot="1" x14ac:dyDescent="0.3">
      <c r="A27" s="65" t="s">
        <v>142</v>
      </c>
      <c r="B27" s="65">
        <f>IFERROR(INDEX(HTAway!$B:$B,MATCH(A27,HTAway!$A:$A,0)),"-")</f>
        <v>7</v>
      </c>
      <c r="C27" s="65" t="str">
        <f>IFERROR(INDEX(OGSAway!$D:$D,MATCH(A27,OGSAway!$A:$A,0)),"-")</f>
        <v>41</v>
      </c>
      <c r="D27" s="65">
        <f>IFERROR(INDEX(OGSAway!$E:$E,MATCH(A27,OGSAway!$A:$A,0)),"-")</f>
        <v>1</v>
      </c>
      <c r="E27" s="65">
        <f>IFERROR(INDEX(OGSAway!$F:$F,MATCH(A27,OGSAway!$A:$A,0)),"-")</f>
        <v>0</v>
      </c>
      <c r="F27" s="66">
        <f>IFERROR(INDEX(HTAway!$C:$C,MATCH(A27,HTAway!$A:$A,0)),"-")</f>
        <v>0</v>
      </c>
      <c r="G27" s="66">
        <f>IFERROR(INDEX(HTAway!$E:$E,MATCH(A27,HTAway!$A:$A,0)),"-")</f>
        <v>5</v>
      </c>
      <c r="H27" s="66">
        <f>IFERROR(INDEX(HTAway!$D:$D,MATCH(A27,HTAway!$A:$A,0)),"-")</f>
        <v>2</v>
      </c>
      <c r="I27" s="66">
        <f t="shared" si="0"/>
        <v>1</v>
      </c>
      <c r="J27" s="66">
        <f>IFERROR(INDEX(OGCAway!$Q:$Q,MATCH(A27,OGCAway!$A:$A,0)),"-")</f>
        <v>4</v>
      </c>
      <c r="K27" s="68">
        <f t="shared" si="1"/>
        <v>0.14285714285714285</v>
      </c>
      <c r="L27" s="68">
        <f>IFERROR(INDEX('HT(Home) %'!$K:$K,MATCH(A27,'HT(Home) %'!$A:$A,0)),"-")</f>
        <v>5.666666666666667</v>
      </c>
      <c r="M27" s="68">
        <f t="shared" si="2"/>
        <v>-1.1428571428571428</v>
      </c>
      <c r="N27" s="68">
        <f>AVERAGE(IFERROR(INDEX('HT(Home) %'!$M:$M,MATCH(A27,'HT(Home) %'!$A:$A,0)),"-"),M27)</f>
        <v>2.2619047619047619</v>
      </c>
    </row>
    <row r="28" spans="1:14" s="22" customFormat="1" ht="16.5" thickTop="1" thickBot="1" x14ac:dyDescent="0.3">
      <c r="A28" s="65" t="s">
        <v>145</v>
      </c>
      <c r="B28" s="65">
        <f>IFERROR(INDEX(HTAway!$B:$B,MATCH(A28,HTAway!$A:$A,0)),"-")</f>
        <v>6</v>
      </c>
      <c r="C28" s="65" t="str">
        <f>IFERROR(INDEX(OGSAway!$D:$D,MATCH(A28,OGSAway!$A:$A,0)),"-")</f>
        <v>36</v>
      </c>
      <c r="D28" s="65">
        <f>IFERROR(INDEX(OGSAway!$E:$E,MATCH(A28,OGSAway!$A:$A,0)),"-")</f>
        <v>2</v>
      </c>
      <c r="E28" s="65">
        <f>IFERROR(INDEX(OGSAway!$F:$F,MATCH(A28,OGSAway!$A:$A,0)),"-")</f>
        <v>0</v>
      </c>
      <c r="F28" s="66">
        <f>IFERROR(INDEX(HTAway!$C:$C,MATCH(A28,HTAway!$A:$A,0)),"-")</f>
        <v>2</v>
      </c>
      <c r="G28" s="66">
        <f>IFERROR(INDEX(HTAway!$E:$E,MATCH(A28,HTAway!$A:$A,0)),"-")</f>
        <v>3</v>
      </c>
      <c r="H28" s="66">
        <f>IFERROR(INDEX(HTAway!$D:$D,MATCH(A28,HTAway!$A:$A,0)),"-")</f>
        <v>1</v>
      </c>
      <c r="I28" s="66">
        <f t="shared" si="0"/>
        <v>2</v>
      </c>
      <c r="J28" s="66">
        <f>IFERROR(INDEX(OGCAway!$Q:$Q,MATCH(A28,OGCAway!$A:$A,0)),"-")</f>
        <v>2</v>
      </c>
      <c r="K28" s="68">
        <f t="shared" si="1"/>
        <v>0.33333333333333331</v>
      </c>
      <c r="L28" s="68">
        <f>IFERROR(INDEX('HT(Home) %'!$K:$K,MATCH(A28,'HT(Home) %'!$A:$A,0)),"-")</f>
        <v>5.1428571428571432</v>
      </c>
      <c r="M28" s="68">
        <f t="shared" si="2"/>
        <v>-0.16666666666666669</v>
      </c>
      <c r="N28" s="68">
        <f>AVERAGE(IFERROR(INDEX('HT(Home) %'!$M:$M,MATCH(A28,'HT(Home) %'!$A:$A,0)),"-"),M28)</f>
        <v>2.2738095238095237</v>
      </c>
    </row>
    <row r="29" spans="1:14" s="22" customFormat="1" ht="16.5" thickTop="1" thickBot="1" x14ac:dyDescent="0.3">
      <c r="A29" s="65" t="s">
        <v>143</v>
      </c>
      <c r="B29" s="65">
        <f>IFERROR(INDEX(HTAway!$B:$B,MATCH(A29,HTAway!$A:$A,0)),"-")</f>
        <v>8</v>
      </c>
      <c r="C29" s="65" t="str">
        <f>IFERROR(INDEX(OGSAway!$D:$D,MATCH(A29,OGSAway!$A:$A,0)),"-")</f>
        <v>49</v>
      </c>
      <c r="D29" s="65">
        <f>IFERROR(INDEX(OGSAway!$E:$E,MATCH(A29,OGSAway!$A:$A,0)),"-")</f>
        <v>1</v>
      </c>
      <c r="E29" s="65">
        <f>IFERROR(INDEX(OGSAway!$F:$F,MATCH(A29,OGSAway!$A:$A,0)),"-")</f>
        <v>0</v>
      </c>
      <c r="F29" s="66">
        <f>IFERROR(INDEX(HTAway!$C:$C,MATCH(A29,HTAway!$A:$A,0)),"-")</f>
        <v>0</v>
      </c>
      <c r="G29" s="66">
        <f>IFERROR(INDEX(HTAway!$E:$E,MATCH(A29,HTAway!$A:$A,0)),"-")</f>
        <v>2</v>
      </c>
      <c r="H29" s="66">
        <f>IFERROR(INDEX(HTAway!$D:$D,MATCH(A29,HTAway!$A:$A,0)),"-")</f>
        <v>6</v>
      </c>
      <c r="I29" s="66">
        <f t="shared" si="0"/>
        <v>1</v>
      </c>
      <c r="J29" s="66">
        <f>IFERROR(INDEX(OGCAway!$Q:$Q,MATCH(A29,OGCAway!$A:$A,0)),"-")</f>
        <v>3</v>
      </c>
      <c r="K29" s="68">
        <f t="shared" si="1"/>
        <v>0.125</v>
      </c>
      <c r="L29" s="68">
        <f>IFERROR(INDEX('HT(Home) %'!$K:$K,MATCH(A29,'HT(Home) %'!$A:$A,0)),"-")</f>
        <v>5.6</v>
      </c>
      <c r="M29" s="68">
        <f t="shared" si="2"/>
        <v>-0.5</v>
      </c>
      <c r="N29" s="68">
        <f>AVERAGE(IFERROR(INDEX('HT(Home) %'!$M:$M,MATCH(A29,'HT(Home) %'!$A:$A,0)),"-"),M29)</f>
        <v>2.1500000000000004</v>
      </c>
    </row>
    <row r="30" spans="1:14" s="22" customFormat="1" ht="16.5" thickTop="1" thickBot="1" x14ac:dyDescent="0.3">
      <c r="A30" s="65" t="s">
        <v>159</v>
      </c>
      <c r="B30" s="65">
        <f>IFERROR(INDEX(HTAway!$B:$B,MATCH(A30,HTAway!$A:$A,0)),"-")</f>
        <v>8</v>
      </c>
      <c r="C30" s="65">
        <f>IFERROR(INDEX(OGSAway!$D:$D,MATCH(A30,OGSAway!$A:$A,0)),"-")</f>
        <v>56</v>
      </c>
      <c r="D30" s="65">
        <f>IFERROR(INDEX(OGSAway!$E:$E,MATCH(A30,OGSAway!$A:$A,0)),"-")</f>
        <v>0</v>
      </c>
      <c r="E30" s="65">
        <f>IFERROR(INDEX(OGSAway!$F:$F,MATCH(A30,OGSAway!$A:$A,0)),"-")</f>
        <v>1</v>
      </c>
      <c r="F30" s="66">
        <f>IFERROR(INDEX(HTAway!$C:$C,MATCH(A30,HTAway!$A:$A,0)),"-")</f>
        <v>1</v>
      </c>
      <c r="G30" s="66">
        <f>IFERROR(INDEX(HTAway!$E:$E,MATCH(A30,HTAway!$A:$A,0)),"-")</f>
        <v>4</v>
      </c>
      <c r="H30" s="66">
        <f>IFERROR(INDEX(HTAway!$D:$D,MATCH(A30,HTAway!$A:$A,0)),"-")</f>
        <v>3</v>
      </c>
      <c r="I30" s="66">
        <f t="shared" si="0"/>
        <v>57</v>
      </c>
      <c r="J30" s="66">
        <f>IFERROR(INDEX(OGCAway!$Q:$Q,MATCH(A30,OGCAway!$A:$A,0)),"-")</f>
        <v>6</v>
      </c>
      <c r="K30" s="68">
        <f t="shared" si="1"/>
        <v>7.125</v>
      </c>
      <c r="L30" s="68">
        <f>IFERROR(INDEX('HT(Home) %'!$K:$K,MATCH(A30,'HT(Home) %'!$A:$A,0)),"-")</f>
        <v>8.8333333333333339</v>
      </c>
      <c r="M30" s="68">
        <f t="shared" si="2"/>
        <v>6</v>
      </c>
      <c r="N30" s="68">
        <f>AVERAGE(IFERROR(INDEX('HT(Home) %'!$M:$M,MATCH(A30,'HT(Home) %'!$A:$A,0)),"-"),M30)</f>
        <v>7.3333333333333339</v>
      </c>
    </row>
    <row r="31" spans="1:14" s="22" customFormat="1" ht="16.5" thickTop="1" thickBot="1" x14ac:dyDescent="0.3">
      <c r="A31" s="65" t="s">
        <v>162</v>
      </c>
      <c r="B31" s="65">
        <f>IFERROR(INDEX(HTAway!$B:$B,MATCH(A31,HTAway!$A:$A,0)),"-")</f>
        <v>7</v>
      </c>
      <c r="C31" s="65">
        <f>IFERROR(INDEX(OGSAway!$D:$D,MATCH(A31,OGSAway!$A:$A,0)),"-")</f>
        <v>20</v>
      </c>
      <c r="D31" s="65">
        <f>IFERROR(INDEX(OGSAway!$E:$E,MATCH(A31,OGSAway!$A:$A,0)),"-")</f>
        <v>0</v>
      </c>
      <c r="E31" s="65">
        <f>IFERROR(INDEX(OGSAway!$F:$F,MATCH(A31,OGSAway!$A:$A,0)),"-")</f>
        <v>1</v>
      </c>
      <c r="F31" s="66">
        <f>IFERROR(INDEX(HTAway!$C:$C,MATCH(A31,HTAway!$A:$A,0)),"-")</f>
        <v>0</v>
      </c>
      <c r="G31" s="66">
        <f>IFERROR(INDEX(HTAway!$E:$E,MATCH(A31,HTAway!$A:$A,0)),"-")</f>
        <v>3</v>
      </c>
      <c r="H31" s="66">
        <f>IFERROR(INDEX(HTAway!$D:$D,MATCH(A31,HTAway!$A:$A,0)),"-")</f>
        <v>4</v>
      </c>
      <c r="I31" s="66">
        <f t="shared" si="0"/>
        <v>21</v>
      </c>
      <c r="J31" s="66">
        <f>IFERROR(INDEX(OGCAway!$Q:$Q,MATCH(A31,OGCAway!$A:$A,0)),"-")</f>
        <v>5</v>
      </c>
      <c r="K31" s="68">
        <f t="shared" si="1"/>
        <v>3</v>
      </c>
      <c r="L31" s="68">
        <f>IFERROR(INDEX('HT(Home) %'!$K:$K,MATCH(A31,'HT(Home) %'!$A:$A,0)),"-")</f>
        <v>1</v>
      </c>
      <c r="M31" s="68">
        <f t="shared" si="2"/>
        <v>1.857142857142857</v>
      </c>
      <c r="N31" s="68">
        <f>AVERAGE(IFERROR(INDEX('HT(Home) %'!$M:$M,MATCH(A31,'HT(Home) %'!$A:$A,0)),"-"),M31)</f>
        <v>1.2142857142857142</v>
      </c>
    </row>
    <row r="32" spans="1:14" s="22" customFormat="1" ht="16.5" thickTop="1" thickBot="1" x14ac:dyDescent="0.3">
      <c r="A32" s="65" t="s">
        <v>147</v>
      </c>
      <c r="B32" s="65">
        <f>IFERROR(INDEX(HTAway!$B:$B,MATCH(A32,HTAway!$A:$A,0)),"-")</f>
        <v>6</v>
      </c>
      <c r="C32" s="65" t="str">
        <f>IFERROR(INDEX(OGSAway!$D:$D,MATCH(A32,OGSAway!$A:$A,0)),"-")</f>
        <v>32</v>
      </c>
      <c r="D32" s="65">
        <f>IFERROR(INDEX(OGSAway!$E:$E,MATCH(A32,OGSAway!$A:$A,0)),"-")</f>
        <v>0</v>
      </c>
      <c r="E32" s="65">
        <f>IFERROR(INDEX(OGSAway!$F:$F,MATCH(A32,OGSAway!$A:$A,0)),"-")</f>
        <v>1</v>
      </c>
      <c r="F32" s="66">
        <f>IFERROR(INDEX(HTAway!$C:$C,MATCH(A32,HTAway!$A:$A,0)),"-")</f>
        <v>1</v>
      </c>
      <c r="G32" s="66">
        <f>IFERROR(INDEX(HTAway!$E:$E,MATCH(A32,HTAway!$A:$A,0)),"-")</f>
        <v>4</v>
      </c>
      <c r="H32" s="66">
        <f>IFERROR(INDEX(HTAway!$D:$D,MATCH(A32,HTAway!$A:$A,0)),"-")</f>
        <v>1</v>
      </c>
      <c r="I32" s="66">
        <f t="shared" si="0"/>
        <v>1</v>
      </c>
      <c r="J32" s="66">
        <f>IFERROR(INDEX(OGCAway!$Q:$Q,MATCH(A32,OGCAway!$A:$A,0)),"-")</f>
        <v>3</v>
      </c>
      <c r="K32" s="68">
        <f t="shared" si="1"/>
        <v>0.16666666666666666</v>
      </c>
      <c r="L32" s="68">
        <f>IFERROR(INDEX('HT(Home) %'!$K:$K,MATCH(A32,'HT(Home) %'!$A:$A,0)),"-")</f>
        <v>9.4285714285714288</v>
      </c>
      <c r="M32" s="68">
        <f t="shared" si="2"/>
        <v>-0.83333333333333337</v>
      </c>
      <c r="N32" s="68">
        <f>AVERAGE(IFERROR(INDEX('HT(Home) %'!$M:$M,MATCH(A32,'HT(Home) %'!$A:$A,0)),"-"),M32)</f>
        <v>3.7261904761904767</v>
      </c>
    </row>
    <row r="33" spans="1:5" s="22" customFormat="1" ht="15.75" thickTop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</sheetData>
  <sheetProtection selectLockedCells="1"/>
  <autoFilter ref="A1:N1" xr:uid="{00000000-0009-0000-0000-000003000000}">
    <sortState xmlns:xlrd2="http://schemas.microsoft.com/office/spreadsheetml/2017/richdata2" ref="A2:N32">
      <sortCondition descending="1" ref="N1"/>
    </sortState>
  </autoFilter>
  <conditionalFormatting sqref="K2:K32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3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2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3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9º</v>
      </c>
      <c r="J1" s="21"/>
      <c r="K1" s="26" t="str">
        <f>IFERROR(INDEX(Matches!$A:$A,MATCH(K2,Matches!$B:$B,0)),"-")&amp;"º"</f>
        <v>1º</v>
      </c>
      <c r="N1" s="45"/>
      <c r="O1" s="45"/>
      <c r="P1" s="45"/>
      <c r="R1" s="45"/>
    </row>
    <row r="2" spans="1:25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Lisen</v>
      </c>
      <c r="J2" s="26" t="s">
        <v>94</v>
      </c>
      <c r="K2" s="29" t="str">
        <f>'Half-Time'!C2</f>
        <v>Vyskov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</row>
    <row r="3" spans="1:25" s="22" customFormat="1" x14ac:dyDescent="0.25">
      <c r="A3" s="38">
        <v>1</v>
      </c>
      <c r="B3" s="53">
        <f>IFERROR(VLOOKUP(A3&amp;$I$2,ODDS!A2:$K$50000,3,0)," ")</f>
        <v>45136</v>
      </c>
      <c r="C3" s="52" t="str">
        <f>IFERROR(VLOOKUP(A3&amp;$I$2,ODDS!A2:$K$50000,4,0)," ")</f>
        <v>Lisen</v>
      </c>
      <c r="D3" s="52">
        <f>IFERROR(VLOOKUP(A3&amp;$I$2,ODDS!A2:$K$50000,6,0)," ")</f>
        <v>1</v>
      </c>
      <c r="E3" s="52" t="s">
        <v>125</v>
      </c>
      <c r="F3" s="52">
        <f>IFERROR(VLOOKUP(A3&amp;$I$2,ODDS!A2:$K$50000,7,0)," ")</f>
        <v>2</v>
      </c>
      <c r="G3" s="52" t="str">
        <f>IFERROR(VLOOKUP(A3&amp;$I$2,ODDS!A2:$K$50000,5,0)," ")</f>
        <v>Jihlava</v>
      </c>
      <c r="H3" s="52" t="str">
        <f>IF(C3=$I$2,IF(D3&gt;F3,"VENCEU",IF(D3=F3,"EMPATOU",IF(F3&gt;D3,"PERDEU")))," ")</f>
        <v>PERDEU</v>
      </c>
      <c r="I3" s="30" t="str">
        <f>IFERROR(INDEX(Matches!$Q:$Q,MATCH(I2,Matches!$B:$B,0)),"-")&amp;"/"&amp;IFERROR(INDEX(Matches!$R:$R,MATCH(I2,Matches!$B:$B,0)),"-")</f>
        <v>12/7</v>
      </c>
      <c r="J3" s="36" t="s">
        <v>95</v>
      </c>
      <c r="K3" s="30" t="str">
        <f>IFERROR(INDEX(Matches!$Z:$Z,MATCH(K2,Matches!$B:$B,0)),"-")&amp;"/"&amp;IFERROR(INDEX(Matches!$AA:$AA,MATCH(K2,Matches!$B:$B,0)),"-")</f>
        <v>10/7</v>
      </c>
      <c r="L3" s="59">
        <f>IFERROR(VLOOKUP(A3&amp;$K$2,ODDS!B2:$K$50000,2,0)," ")</f>
        <v>45135</v>
      </c>
      <c r="M3" s="38" t="str">
        <f>IFERROR(VLOOKUP(A3&amp;$K$2,ODDS!B2:$K$50000,3,0)," ")</f>
        <v>Dukla Praha</v>
      </c>
      <c r="N3" s="52">
        <f>IFERROR(VLOOKUP(A3&amp;$K$2,ODDS!B2:$K$50000,5,0)," ")</f>
        <v>2</v>
      </c>
      <c r="O3" s="52" t="s">
        <v>125</v>
      </c>
      <c r="P3" s="52">
        <f>IFERROR(VLOOKUP(A3&amp;$K$2,ODDS!B2:$K$50000,6,0)," ")</f>
        <v>4</v>
      </c>
      <c r="Q3" s="38" t="str">
        <f>IFERROR(VLOOKUP(A3&amp;$K$2,ODDS!B2:$K$50000,4,0)," ")</f>
        <v>Vyskov</v>
      </c>
      <c r="R3" s="52" t="str">
        <f>IF(Q3=$K$2,IF(P3&gt;N3,"VENCEU",IF(P3=N3,"EMPATOU",IF(N3&gt;P3,"PERDEU")))," ")</f>
        <v>VENCEU</v>
      </c>
    </row>
    <row r="4" spans="1:25" s="22" customFormat="1" x14ac:dyDescent="0.25">
      <c r="A4" s="38">
        <v>2</v>
      </c>
      <c r="B4" s="53">
        <f>IFERROR(VLOOKUP(A4&amp;$I$2,ODDS!A3:$K$50000,3,0)," ")</f>
        <v>45143</v>
      </c>
      <c r="C4" s="52" t="str">
        <f>IFERROR(VLOOKUP(A4&amp;$I$2,ODDS!A3:$K$50000,4,0)," ")</f>
        <v>Lisen</v>
      </c>
      <c r="D4" s="52">
        <f>IFERROR(VLOOKUP(A4&amp;$I$2,ODDS!A3:$K$50000,6,0)," ")</f>
        <v>2</v>
      </c>
      <c r="E4" s="52" t="s">
        <v>125</v>
      </c>
      <c r="F4" s="52">
        <f>IFERROR(VLOOKUP(A4&amp;$I$2,ODDS!A3:$K$50000,7,0)," ")</f>
        <v>0</v>
      </c>
      <c r="G4" s="52" t="str">
        <f>IFERROR(VLOOKUP(A4&amp;$I$2,ODDS!A3:$K$50000,5,0)," ")</f>
        <v>Pribram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0.43</v>
      </c>
      <c r="J4" s="36" t="s">
        <v>91</v>
      </c>
      <c r="K4" s="30">
        <f>IFERROR(INDEX(GOLS!$J:$J,MATCH(K2,GOLS!$A:$A,0)),"-")</f>
        <v>0.71</v>
      </c>
      <c r="L4" s="59">
        <f>IFERROR(VLOOKUP(A4&amp;$K$2,ODDS!B3:$K$50000,2,0)," ")</f>
        <v>45143</v>
      </c>
      <c r="M4" s="38" t="str">
        <f>IFERROR(VLOOKUP(A4&amp;$K$2,ODDS!B3:$K$50000,3,0)," ")</f>
        <v>Vlasim</v>
      </c>
      <c r="N4" s="52">
        <f>IFERROR(VLOOKUP(A4&amp;$K$2,ODDS!B3:$K$50000,5,0)," ")</f>
        <v>1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Vyskov</v>
      </c>
      <c r="R4" s="52" t="str">
        <f t="shared" ref="R4:R9" si="1">IF(Q4=$K$2,IF(P4&gt;N4,"VENCEU",IF(P4=N4,"EMPATOU",IF(N4&gt;P4,"PERDEU")))," ")</f>
        <v>EMPATOU</v>
      </c>
    </row>
    <row r="5" spans="1:25" s="22" customFormat="1" x14ac:dyDescent="0.25">
      <c r="A5" s="38">
        <v>3</v>
      </c>
      <c r="B5" s="53">
        <f>IFERROR(VLOOKUP(A5&amp;$I$2,ODDS!A4:$K$50000,3,0)," ")</f>
        <v>45157</v>
      </c>
      <c r="C5" s="52" t="str">
        <f>IFERROR(VLOOKUP(A5&amp;$I$2,ODDS!A4:$K$50000,4,0)," ")</f>
        <v>Lisen</v>
      </c>
      <c r="D5" s="52">
        <f>IFERROR(VLOOKUP(A5&amp;$I$2,ODDS!A4:$K$50000,6,0)," ")</f>
        <v>2</v>
      </c>
      <c r="E5" s="52" t="s">
        <v>125</v>
      </c>
      <c r="F5" s="52">
        <f>IFERROR(VLOOKUP(A5&amp;$I$2,ODDS!A4:$K$50000,7,0)," ")</f>
        <v>1</v>
      </c>
      <c r="G5" s="52" t="str">
        <f>IFERROR(VLOOKUP(A5&amp;$I$2,ODDS!A4:$K$50000,5,0)," ")</f>
        <v>Varnsdorf</v>
      </c>
      <c r="H5" s="52" t="str">
        <f t="shared" si="0"/>
        <v>VENCEU</v>
      </c>
      <c r="I5" s="30">
        <f>IFERROR(INDEX(GOLS!$K:$K,MATCH(I2,GOLS!$A:$A,0)),"-")</f>
        <v>0.43</v>
      </c>
      <c r="J5" s="36" t="s">
        <v>96</v>
      </c>
      <c r="K5" s="30">
        <f>IFERROR(INDEX(GOLS!$K:$K,MATCH(K2,GOLS!$A:$A,0)),"-")</f>
        <v>0.28999999999999998</v>
      </c>
      <c r="L5" s="59">
        <f>IFERROR(VLOOKUP(A5&amp;$K$2,ODDS!B4:$K$50000,2,0)," ")</f>
        <v>45157</v>
      </c>
      <c r="M5" s="38" t="str">
        <f>IFERROR(VLOOKUP(A5&amp;$K$2,ODDS!B4:$K$50000,3,0)," ")</f>
        <v>Taborsko</v>
      </c>
      <c r="N5" s="52">
        <f>IFERROR(VLOOKUP(A5&amp;$K$2,ODDS!B4:$K$50000,5,0)," ")</f>
        <v>1</v>
      </c>
      <c r="O5" s="52" t="s">
        <v>125</v>
      </c>
      <c r="P5" s="52">
        <f>IFERROR(VLOOKUP(A5&amp;$K$2,ODDS!B4:$K$50000,6,0)," ")</f>
        <v>1</v>
      </c>
      <c r="Q5" s="38" t="str">
        <f>IFERROR(VLOOKUP(A5&amp;$K$2,ODDS!B4:$K$50000,4,0)," ")</f>
        <v>Vyskov</v>
      </c>
      <c r="R5" s="52" t="str">
        <f t="shared" si="1"/>
        <v>EMPATOU</v>
      </c>
    </row>
    <row r="6" spans="1:25" s="22" customFormat="1" x14ac:dyDescent="0.25">
      <c r="A6" s="38">
        <v>4</v>
      </c>
      <c r="B6" s="53">
        <f>IFERROR(VLOOKUP(A6&amp;$I$2,ODDS!A5:$K$50000,3,0)," ")</f>
        <v>45164</v>
      </c>
      <c r="C6" s="52" t="str">
        <f>IFERROR(VLOOKUP(A6&amp;$I$2,ODDS!A5:$K$50000,4,0)," ")</f>
        <v>Lisen</v>
      </c>
      <c r="D6" s="52">
        <f>IFERROR(VLOOKUP(A6&amp;$I$2,ODDS!A5:$K$50000,6,0)," ")</f>
        <v>1</v>
      </c>
      <c r="E6" s="52" t="s">
        <v>125</v>
      </c>
      <c r="F6" s="52">
        <f>IFERROR(VLOOKUP(A6&amp;$I$2,ODDS!A5:$K$50000,7,0)," ")</f>
        <v>0</v>
      </c>
      <c r="G6" s="52" t="str">
        <f>IFERROR(VLOOKUP(A6&amp;$I$2,ODDS!A5:$K$50000,5,0)," ")</f>
        <v>Han. Kromeriz</v>
      </c>
      <c r="H6" s="52" t="str">
        <f t="shared" si="0"/>
        <v>VENCEU</v>
      </c>
      <c r="I6" s="30">
        <f>IFERROR(INDEX(GOLS!$L:$L,MATCH(I2,GOLS!$A:$A,0)),"-")</f>
        <v>0.36</v>
      </c>
      <c r="J6" s="36" t="s">
        <v>92</v>
      </c>
      <c r="K6" s="30">
        <f>IFERROR(INDEX(GOLS!$L:$L,MATCH(K2,GOLS!$A:$A,0)),"-")</f>
        <v>0</v>
      </c>
      <c r="L6" s="59">
        <f>IFERROR(VLOOKUP(A6&amp;$K$2,ODDS!B5:$K$50000,2,0)," ")</f>
        <v>45171</v>
      </c>
      <c r="M6" s="38" t="str">
        <f>IFERROR(VLOOKUP(A6&amp;$K$2,ODDS!B5:$K$50000,3,0)," ")</f>
        <v>Chrudim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Vyskov</v>
      </c>
      <c r="R6" s="52" t="str">
        <f t="shared" si="1"/>
        <v>PERDEU</v>
      </c>
    </row>
    <row r="7" spans="1:25" s="22" customFormat="1" x14ac:dyDescent="0.25">
      <c r="A7" s="38">
        <v>5</v>
      </c>
      <c r="B7" s="53">
        <f>IFERROR(VLOOKUP(A7&amp;$I$2,ODDS!A6:$K$50000,3,0)," ")</f>
        <v>45185</v>
      </c>
      <c r="C7" s="52" t="str">
        <f>IFERROR(VLOOKUP(A7&amp;$I$2,ODDS!A6:$K$50000,4,0)," ")</f>
        <v>Lisen</v>
      </c>
      <c r="D7" s="52">
        <f>IFERROR(VLOOKUP(A7&amp;$I$2,ODDS!A6:$K$50000,6,0)," ")</f>
        <v>2</v>
      </c>
      <c r="E7" s="52" t="s">
        <v>125</v>
      </c>
      <c r="F7" s="52">
        <f>IFERROR(VLOOKUP(A7&amp;$I$2,ODDS!A6:$K$50000,7,0)," ")</f>
        <v>2</v>
      </c>
      <c r="G7" s="52" t="str">
        <f>IFERROR(VLOOKUP(A7&amp;$I$2,ODDS!A6:$K$50000,5,0)," ")</f>
        <v>Vlasim</v>
      </c>
      <c r="H7" s="52" t="str">
        <f t="shared" si="0"/>
        <v>EMPATOU</v>
      </c>
      <c r="I7" s="30">
        <f>IFERROR(INDEX(GOLS!$D:$D,MATCH(I2,GOLS!$A:$A,0)),"-")</f>
        <v>0.79</v>
      </c>
      <c r="J7" s="37" t="s">
        <v>97</v>
      </c>
      <c r="K7" s="30">
        <f>IFERROR(INDEX(GOLS!$D:$D,MATCH(K2,GOLS!$A:$A,0)),"-")</f>
        <v>1</v>
      </c>
      <c r="L7" s="59">
        <f>IFERROR(VLOOKUP(A7&amp;$K$2,ODDS!B6:$K$50000,2,0)," ")</f>
        <v>45192</v>
      </c>
      <c r="M7" s="38" t="str">
        <f>IFERROR(VLOOKUP(A7&amp;$K$2,ODDS!B6:$K$50000,3,0)," ")</f>
        <v>Zbrojovka Brno</v>
      </c>
      <c r="N7" s="52">
        <f>IFERROR(VLOOKUP(A7&amp;$K$2,ODDS!B6:$K$50000,5,0)," ")</f>
        <v>0</v>
      </c>
      <c r="O7" s="52" t="s">
        <v>125</v>
      </c>
      <c r="P7" s="52">
        <f>IFERROR(VLOOKUP(A7&amp;$K$2,ODDS!B6:$K$50000,6,0)," ")</f>
        <v>1</v>
      </c>
      <c r="Q7" s="38" t="str">
        <f>IFERROR(VLOOKUP(A7&amp;$K$2,ODDS!B6:$K$50000,4,0)," ")</f>
        <v>Vyskov</v>
      </c>
      <c r="R7" s="52" t="str">
        <f t="shared" si="1"/>
        <v>VENCEU</v>
      </c>
    </row>
    <row r="8" spans="1:25" s="22" customFormat="1" x14ac:dyDescent="0.25">
      <c r="A8" s="38">
        <v>6</v>
      </c>
      <c r="B8" s="53">
        <f>IFERROR(VLOOKUP(A8&amp;$I$2,ODDS!A7:$K$50000,3,0)," ")</f>
        <v>45199</v>
      </c>
      <c r="C8" s="52" t="str">
        <f>IFERROR(VLOOKUP(A8&amp;$I$2,ODDS!A7:$K$50000,4,0)," ")</f>
        <v>Lisen</v>
      </c>
      <c r="D8" s="52">
        <f>IFERROR(VLOOKUP(A8&amp;$I$2,ODDS!A7:$K$50000,6,0)," ")</f>
        <v>0</v>
      </c>
      <c r="E8" s="52" t="s">
        <v>125</v>
      </c>
      <c r="F8" s="52">
        <f>IFERROR(VLOOKUP(A8&amp;$I$2,ODDS!A7:$K$50000,7,0)," ")</f>
        <v>0</v>
      </c>
      <c r="G8" s="52" t="str">
        <f>IFERROR(VLOOKUP(A8&amp;$I$2,ODDS!A7:$K$50000,5,0)," ")</f>
        <v>Taborsko</v>
      </c>
      <c r="H8" s="52" t="str">
        <f t="shared" si="0"/>
        <v>EMPATOU</v>
      </c>
      <c r="I8" s="30">
        <f>IFERROR(INDEX(GOLS!$E:$E,MATCH(I2,GOLS!$A:$A,0)),"-")</f>
        <v>0.64</v>
      </c>
      <c r="J8" s="37" t="s">
        <v>98</v>
      </c>
      <c r="K8" s="30">
        <f>IFERROR(INDEX(GOLS!$E:$E,MATCH(K2,GOLS!$A:$A,0)),"-")</f>
        <v>0.79</v>
      </c>
      <c r="L8" s="59">
        <f>IFERROR(VLOOKUP(A8&amp;$K$2,ODDS!B7:$K$50000,2,0)," ")</f>
        <v>45200</v>
      </c>
      <c r="M8" s="38" t="str">
        <f>IFERROR(VLOOKUP(A8&amp;$K$2,ODDS!B7:$K$50000,3,0)," ")</f>
        <v>Varnsdorf</v>
      </c>
      <c r="N8" s="52">
        <f>IFERROR(VLOOKUP(A8&amp;$K$2,ODDS!B7:$K$50000,5,0)," ")</f>
        <v>1</v>
      </c>
      <c r="O8" s="52" t="s">
        <v>125</v>
      </c>
      <c r="P8" s="52">
        <f>IFERROR(VLOOKUP(A8&amp;$K$2,ODDS!B7:$K$50000,6,0)," ")</f>
        <v>1</v>
      </c>
      <c r="Q8" s="38" t="str">
        <f>IFERROR(VLOOKUP(A8&amp;$K$2,ODDS!B7:$K$50000,4,0)," ")</f>
        <v>Vyskov</v>
      </c>
      <c r="R8" s="52" t="str">
        <f t="shared" si="1"/>
        <v>EMPATOU</v>
      </c>
    </row>
    <row r="9" spans="1:25" s="22" customFormat="1" x14ac:dyDescent="0.25">
      <c r="A9" s="38">
        <v>7</v>
      </c>
      <c r="B9" s="53">
        <f>IFERROR(VLOOKUP(A9&amp;$I$2,ODDS!A8:$K$50000,3,0)," ")</f>
        <v>45220</v>
      </c>
      <c r="C9" s="52" t="str">
        <f>IFERROR(VLOOKUP(A9&amp;$I$2,ODDS!A8:$K$50000,4,0)," ")</f>
        <v>Lisen</v>
      </c>
      <c r="D9" s="52">
        <f>IFERROR(VLOOKUP(A9&amp;$I$2,ODDS!A8:$K$50000,6,0)," ")</f>
        <v>4</v>
      </c>
      <c r="E9" s="52" t="s">
        <v>125</v>
      </c>
      <c r="F9" s="52">
        <f>IFERROR(VLOOKUP(A9&amp;$I$2,ODDS!A8:$K$50000,7,0)," ")</f>
        <v>2</v>
      </c>
      <c r="G9" s="52" t="str">
        <f>IFERROR(VLOOKUP(A9&amp;$I$2,ODDS!A8:$K$50000,5,0)," ")</f>
        <v>Sparta Prague B</v>
      </c>
      <c r="H9" s="52" t="str">
        <f t="shared" si="0"/>
        <v>VENCEU</v>
      </c>
      <c r="I9" s="30">
        <f>IFERROR(INDEX(GOLS!$F:$F,MATCH(I2,GOLS!$A:$A,0)),"-")</f>
        <v>0.5</v>
      </c>
      <c r="J9" s="37" t="s">
        <v>99</v>
      </c>
      <c r="K9" s="30">
        <f>IFERROR(INDEX(GOLS!$F:$F,MATCH(K2,GOLS!$A:$A,0)),"-")</f>
        <v>0.5</v>
      </c>
      <c r="L9" s="59">
        <f>IFERROR(VLOOKUP(A9&amp;$K$2,ODDS!B8:$K$50000,2,0)," ")</f>
        <v>45219</v>
      </c>
      <c r="M9" s="38" t="str">
        <f>IFERROR(VLOOKUP(A9&amp;$K$2,ODDS!B8:$K$50000,3,0)," ")</f>
        <v>Jihlava</v>
      </c>
      <c r="N9" s="52">
        <f>IFERROR(VLOOKUP(A9&amp;$K$2,ODDS!B8:$K$50000,5,0)," ")</f>
        <v>0</v>
      </c>
      <c r="O9" s="52" t="s">
        <v>125</v>
      </c>
      <c r="P9" s="52">
        <f>IFERROR(VLOOKUP(A9&amp;$K$2,ODDS!B8:$K$50000,6,0)," ")</f>
        <v>1</v>
      </c>
      <c r="Q9" s="38" t="str">
        <f>IFERROR(VLOOKUP(A9&amp;$K$2,ODDS!B8:$K$50000,4,0)," ")</f>
        <v>Vyskov</v>
      </c>
      <c r="R9" s="52" t="str">
        <f t="shared" si="1"/>
        <v>VENCEU</v>
      </c>
    </row>
    <row r="10" spans="1:25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0.28999999999999998</v>
      </c>
      <c r="J10" s="37" t="s">
        <v>120</v>
      </c>
      <c r="K10" s="30">
        <f>IFERROR(INDEX(GOLS!$G:$G,MATCH(K2,GOLS!$A:$A,0)),"-")</f>
        <v>0.36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ref="R10:R24" si="2">IF(Q10=$K$2,IF(P10&gt;N10,"VENCEU",IF(P10=N10,"EMPATOU",IF(N10&gt;P10,"PERDEU")))," ")</f>
        <v xml:space="preserve"> </v>
      </c>
    </row>
    <row r="11" spans="1:25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0.42857142857142855</v>
      </c>
      <c r="J11" s="48" t="s">
        <v>118</v>
      </c>
      <c r="K11" s="60">
        <f>IFERROR(INDEX(HTAway!$J$1:$J$33,MATCH(K2,HTAway!$A$1:$A$33,0)),"-")</f>
        <v>0.42857142857142855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2"/>
        <v xml:space="preserve"> </v>
      </c>
    </row>
    <row r="12" spans="1:25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0.5714285714285714</v>
      </c>
      <c r="J12" s="48" t="s">
        <v>119</v>
      </c>
      <c r="K12" s="51">
        <f>IFERROR(INDEX(Matches!$AC:$AC,MATCH(K2,Matches!$B:$B,0)),"-")</f>
        <v>0.42857142857142855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2"/>
        <v xml:space="preserve"> </v>
      </c>
    </row>
    <row r="13" spans="1:25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3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si="2"/>
        <v xml:space="preserve"> </v>
      </c>
    </row>
    <row r="14" spans="1:25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3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2"/>
        <v xml:space="preserve"> </v>
      </c>
    </row>
    <row r="15" spans="1:25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3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2"/>
        <v xml:space="preserve"> </v>
      </c>
    </row>
    <row r="16" spans="1:25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3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2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3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2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3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2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3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2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3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2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3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2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3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2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3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2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3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2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3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ref="R25:R76" si="4">IF(Q25=$K$2,IF(P25&gt;N25,"VENCEU",IF(P25=N25,"EMPATOU",IF(N25&gt;P25,"PERDEU")))," ")</f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3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4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3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4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3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4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3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4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3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4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3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4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3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4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3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4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3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4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3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4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3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4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3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4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3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4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3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4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3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4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3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4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3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4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3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4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3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4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3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4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3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4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3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4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3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4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3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4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3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4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3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4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3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4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3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4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3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4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3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4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3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4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3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4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3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4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3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4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3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4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3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4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3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4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3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4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3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4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3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4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3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4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3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4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3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4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3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4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3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4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3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4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3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4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3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4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3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4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3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4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3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4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5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6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5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6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5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6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5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6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5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6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5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6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5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6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5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6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5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6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5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6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5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6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5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6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5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6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5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6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5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6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5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6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5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6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5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6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5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6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5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6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5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6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5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6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5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6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5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6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5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6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5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6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5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6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5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6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5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6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5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6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5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6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5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6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5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6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5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6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5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6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5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6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5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6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5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6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5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6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5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6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5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6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5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6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5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6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5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6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5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6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5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6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5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6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5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6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5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6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5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6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5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6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5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6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5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6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5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6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5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6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5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6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5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6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5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6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5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6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5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6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5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6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5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6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5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6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5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6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7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8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7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8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7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8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7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8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7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8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7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8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7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8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7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8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7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8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7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8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7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8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7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8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7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8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7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8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7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8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7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8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7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8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7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8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7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8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7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8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7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8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7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8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7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8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7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8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7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8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7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8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7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8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7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8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7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8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7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8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7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8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7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8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7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8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7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8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7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8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7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8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7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8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7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8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7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8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7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8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7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8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7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8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7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8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7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8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7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8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7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8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7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8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7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8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7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8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7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8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7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8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7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8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7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8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7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8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7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8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7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8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7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8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7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8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7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8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7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8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7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8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7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8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7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8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7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8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9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10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9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10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9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10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9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10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9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10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9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10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9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10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9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10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9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10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9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10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9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10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9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10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9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10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9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10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9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10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9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10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9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10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9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10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9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10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9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10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9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10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9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10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9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10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9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10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9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10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9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10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9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10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9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10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9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10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9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10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9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10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9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10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9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10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9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10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9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10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9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10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9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10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9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10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9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10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9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10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9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10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9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10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9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10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9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10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9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10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9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10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9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10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9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10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9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10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9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10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9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10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9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10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9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10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9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10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9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10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9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10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9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10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9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10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9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10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9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10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9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10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9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10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9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10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9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10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1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2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1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2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1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2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1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2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1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2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1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2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1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2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1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2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1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2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1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2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1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2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1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2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1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2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1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2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1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2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1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2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1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2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1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2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1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2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1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2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1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2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1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2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1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2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1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2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1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2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1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2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1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2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1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2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1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2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1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2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1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2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1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2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1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2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1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2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1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2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1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2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4" priority="7" operator="equal">
      <formula>"EMPATOU"</formula>
    </cfRule>
    <cfRule type="cellIs" dxfId="63" priority="8" operator="equal">
      <formula>"VENCEU"</formula>
    </cfRule>
    <cfRule type="cellIs" dxfId="62" priority="9" operator="equal">
      <formula>"PERDEU"</formula>
    </cfRule>
  </conditionalFormatting>
  <conditionalFormatting sqref="R3:R304">
    <cfRule type="cellIs" dxfId="61" priority="1" operator="equal">
      <formula>"EMPATOU"</formula>
    </cfRule>
    <cfRule type="cellIs" dxfId="60" priority="2" operator="equal">
      <formula>"VENCEU"</formula>
    </cfRule>
    <cfRule type="cellIs" dxfId="59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Matches!$B$2:$B$1992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1109"/>
  <sheetViews>
    <sheetView zoomScale="78" zoomScaleNormal="78" workbookViewId="0">
      <selection activeCell="C1" sqref="C1:K217"/>
    </sheetView>
  </sheetViews>
  <sheetFormatPr defaultRowHeight="15" x14ac:dyDescent="0.25"/>
  <cols>
    <col min="1" max="2" width="16" bestFit="1" customWidth="1"/>
    <col min="3" max="3" width="11.42578125" bestFit="1" customWidth="1"/>
    <col min="4" max="5" width="16.42578125" bestFit="1" customWidth="1"/>
    <col min="6" max="6" width="12.28515625" bestFit="1" customWidth="1"/>
    <col min="7" max="7" width="11.7109375" bestFit="1" customWidth="1"/>
    <col min="8" max="8" width="10.28515625" bestFit="1" customWidth="1"/>
    <col min="9" max="9" width="12.7109375" bestFit="1" customWidth="1"/>
    <col min="10" max="10" width="12" bestFit="1" customWidth="1"/>
    <col min="11" max="11" width="12.28515625" bestFit="1" customWidth="1"/>
    <col min="14" max="14" width="16.28515625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1Jihlava</v>
      </c>
      <c r="B2" t="str">
        <f>COUNTIF($E$2:E2,E2)&amp;E2</f>
        <v>1Opava</v>
      </c>
      <c r="C2" s="20">
        <v>45128</v>
      </c>
      <c r="D2" t="s">
        <v>149</v>
      </c>
      <c r="E2" t="s">
        <v>155</v>
      </c>
      <c r="F2">
        <v>2</v>
      </c>
      <c r="G2">
        <v>1</v>
      </c>
      <c r="H2" t="s">
        <v>109</v>
      </c>
      <c r="I2">
        <v>2.19</v>
      </c>
      <c r="J2">
        <v>3.29</v>
      </c>
      <c r="K2">
        <v>3.03</v>
      </c>
      <c r="N2" s="62" t="s">
        <v>144</v>
      </c>
      <c r="O2" s="40">
        <f>AVERAGEIF(_bra1[TeamHome],N2,_bra1[OddHome])</f>
        <v>1.7142857142857142</v>
      </c>
      <c r="P2" s="40">
        <f>AVERAGEIF(_bra1[TeamAway],N2,_bra1[OddAway])</f>
        <v>4.2049999999999992</v>
      </c>
      <c r="Q2" s="41">
        <f>AVERAGEIFS(_bra1[OddHome],_bra1[RESULT],"H",_bra1[TeamHome],N2)</f>
        <v>1.6675000000000002</v>
      </c>
      <c r="R2" s="41">
        <f>AVERAGEIFS(_bra1[OddAway],_bra1[RESULT],"A",_bra1[TeamAway],N2)</f>
        <v>2.27</v>
      </c>
    </row>
    <row r="3" spans="1:18" x14ac:dyDescent="0.25">
      <c r="A3" t="str">
        <f>COUNTIF($D$2:D3,D3)&amp;D3</f>
        <v>1Karvina</v>
      </c>
      <c r="B3" t="str">
        <f>COUNTIF($E$2:E3,E3)&amp;E3</f>
        <v>1Zlin</v>
      </c>
      <c r="C3" s="20">
        <v>45129</v>
      </c>
      <c r="D3" t="s">
        <v>142</v>
      </c>
      <c r="E3" t="s">
        <v>146</v>
      </c>
      <c r="F3">
        <v>4</v>
      </c>
      <c r="G3">
        <v>1</v>
      </c>
      <c r="H3" t="s">
        <v>109</v>
      </c>
      <c r="I3">
        <v>2.36</v>
      </c>
      <c r="J3">
        <v>3.29</v>
      </c>
      <c r="K3">
        <v>2.9</v>
      </c>
      <c r="N3" s="61" t="s">
        <v>137</v>
      </c>
      <c r="O3" s="40">
        <f>AVERAGEIF(_bra1[TeamHome],N3,_bra1[OddHome])</f>
        <v>2.677142857142857</v>
      </c>
      <c r="P3" s="40">
        <f>AVERAGEIF(_bra1[TeamAway],N3,_bra1[OddAway])</f>
        <v>3.8966666666666665</v>
      </c>
      <c r="Q3" s="41">
        <f>AVERAGEIFS(_bra1[OddHome],_bra1[RESULT],"H",_bra1[TeamHome],N3)</f>
        <v>2.0449999999999999</v>
      </c>
      <c r="R3" s="41">
        <f>AVERAGEIFS(_bra1[OddAway],_bra1[RESULT],"A",_bra1[TeamAway],N3)</f>
        <v>3.0866666666666664</v>
      </c>
    </row>
    <row r="4" spans="1:18" x14ac:dyDescent="0.25">
      <c r="A4" t="str">
        <f>COUNTIF($D$2:D4,D4)&amp;D4</f>
        <v>1Pardubice</v>
      </c>
      <c r="B4" t="str">
        <f>COUNTIF($E$2:E4,E4)&amp;E4</f>
        <v>1Bohemians</v>
      </c>
      <c r="C4" s="20">
        <v>45129</v>
      </c>
      <c r="D4" t="s">
        <v>145</v>
      </c>
      <c r="E4" t="s">
        <v>137</v>
      </c>
      <c r="F4">
        <v>0</v>
      </c>
      <c r="G4">
        <v>1</v>
      </c>
      <c r="H4" t="s">
        <v>110</v>
      </c>
      <c r="I4">
        <v>2.76</v>
      </c>
      <c r="J4">
        <v>3.46</v>
      </c>
      <c r="K4">
        <v>2.38</v>
      </c>
      <c r="N4" s="62" t="s">
        <v>147</v>
      </c>
      <c r="O4" s="40">
        <f>AVERAGEIF(_bra1[TeamHome],N4,_bra1[OddHome])</f>
        <v>3.6714285714285713</v>
      </c>
      <c r="P4" s="40">
        <f>AVERAGEIF(_bra1[TeamAway],N4,_bra1[OddAway])</f>
        <v>7.1416666666666657</v>
      </c>
      <c r="Q4" s="41">
        <f>AVERAGEIFS(_bra1[OddHome],_bra1[RESULT],"H",_bra1[TeamHome],N4)</f>
        <v>2.3766666666666669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1Teplice</v>
      </c>
      <c r="B5" t="str">
        <f>COUNTIF($E$2:E5,E5)&amp;E5</f>
        <v>1Viktoria Plzen</v>
      </c>
      <c r="C5" s="20">
        <v>45129</v>
      </c>
      <c r="D5" t="s">
        <v>135</v>
      </c>
      <c r="E5" t="s">
        <v>141</v>
      </c>
      <c r="F5">
        <v>1</v>
      </c>
      <c r="G5">
        <v>0</v>
      </c>
      <c r="H5" t="s">
        <v>109</v>
      </c>
      <c r="I5">
        <v>5.05</v>
      </c>
      <c r="J5">
        <v>4.1100000000000003</v>
      </c>
      <c r="K5">
        <v>1.59</v>
      </c>
      <c r="N5" s="61" t="s">
        <v>138</v>
      </c>
      <c r="O5" s="40">
        <f>AVERAGEIF(_bra1[TeamHome],N5,_bra1[OddHome])</f>
        <v>3.0733333333333337</v>
      </c>
      <c r="P5" s="40">
        <f>AVERAGEIF(_bra1[TeamAway],N5,_bra1[OddAway])</f>
        <v>6.2885714285714283</v>
      </c>
      <c r="Q5" s="41">
        <f>AVERAGEIFS(_bra1[OddHome],_bra1[RESULT],"H",_bra1[TeamHome],N5)</f>
        <v>1.93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1Slavia Prague</v>
      </c>
      <c r="B6" t="str">
        <f>COUNTIF($E$2:E6,E6)&amp;E6</f>
        <v>1Hradec Kralove</v>
      </c>
      <c r="C6" s="20">
        <v>45129</v>
      </c>
      <c r="D6" t="s">
        <v>133</v>
      </c>
      <c r="E6" t="s">
        <v>138</v>
      </c>
      <c r="F6">
        <v>2</v>
      </c>
      <c r="G6">
        <v>0</v>
      </c>
      <c r="H6" t="s">
        <v>109</v>
      </c>
      <c r="I6">
        <v>1.1200000000000001</v>
      </c>
      <c r="J6">
        <v>8.4499999999999993</v>
      </c>
      <c r="K6">
        <v>18.34</v>
      </c>
      <c r="N6" s="62" t="s">
        <v>143</v>
      </c>
      <c r="O6" s="40">
        <f>AVERAGEIF(_bra1[TeamHome],N6,_bra1[OddHome])</f>
        <v>3.5580000000000007</v>
      </c>
      <c r="P6" s="40">
        <f>AVERAGEIF(_bra1[TeamAway],N6,_bra1[OddAway])</f>
        <v>4.0625</v>
      </c>
      <c r="Q6" s="41">
        <f>AVERAGEIFS(_bra1[OddHome],_bra1[RESULT],"H",_bra1[TeamHome],N6)</f>
        <v>2.87</v>
      </c>
      <c r="R6" s="41">
        <f>AVERAGEIFS(_bra1[OddAway],_bra1[RESULT],"A",_bra1[TeamAway],N6)</f>
        <v>4.7699999999999996</v>
      </c>
    </row>
    <row r="7" spans="1:18" x14ac:dyDescent="0.25">
      <c r="A7" t="str">
        <f>COUNTIF($D$2:D7,D7)&amp;D7</f>
        <v>1Vyskov</v>
      </c>
      <c r="B7" t="str">
        <f>COUNTIF($E$2:E7,E7)&amp;E7</f>
        <v>1Pribram</v>
      </c>
      <c r="C7" s="20">
        <v>45129</v>
      </c>
      <c r="D7" t="s">
        <v>154</v>
      </c>
      <c r="E7" t="s">
        <v>159</v>
      </c>
      <c r="F7">
        <v>2</v>
      </c>
      <c r="G7">
        <v>1</v>
      </c>
      <c r="H7" t="s">
        <v>109</v>
      </c>
      <c r="I7">
        <v>1.82</v>
      </c>
      <c r="J7">
        <v>3.53</v>
      </c>
      <c r="K7">
        <v>3.92</v>
      </c>
      <c r="N7" s="61" t="s">
        <v>142</v>
      </c>
      <c r="O7" s="40">
        <f>AVERAGEIF(_bra1[TeamHome],N7,_bra1[OddHome])</f>
        <v>2.5766666666666667</v>
      </c>
      <c r="P7" s="40">
        <f>AVERAGEIF(_bra1[TeamAway],N7,_bra1[OddAway])</f>
        <v>9.1742857142857144</v>
      </c>
      <c r="Q7" s="41">
        <f>AVERAGEIFS(_bra1[OddHome],_bra1[RESULT],"H",_bra1[TeamHome],N7)</f>
        <v>2.4466666666666668</v>
      </c>
      <c r="R7" s="41">
        <f>AVERAGEIFS(_bra1[OddAway],_bra1[RESULT],"A",_bra1[TeamAway],N7)</f>
        <v>12.64</v>
      </c>
    </row>
    <row r="8" spans="1:18" x14ac:dyDescent="0.25">
      <c r="A8" t="str">
        <f>COUNTIF($D$2:D8,D8)&amp;D8</f>
        <v>1Chrudim</v>
      </c>
      <c r="B8" t="str">
        <f>COUNTIF($E$2:E8,E8)&amp;E8</f>
        <v>1Lisen</v>
      </c>
      <c r="C8" s="20">
        <v>45129</v>
      </c>
      <c r="D8" t="s">
        <v>162</v>
      </c>
      <c r="E8" t="s">
        <v>150</v>
      </c>
      <c r="F8">
        <v>0</v>
      </c>
      <c r="G8">
        <v>0</v>
      </c>
      <c r="H8" t="s">
        <v>2</v>
      </c>
      <c r="I8">
        <v>2.94</v>
      </c>
      <c r="J8">
        <v>3.02</v>
      </c>
      <c r="K8">
        <v>2.38</v>
      </c>
      <c r="N8" s="62" t="s">
        <v>134</v>
      </c>
      <c r="O8" s="40">
        <f>AVERAGEIF(_bra1[TeamHome],N8,_bra1[OddHome])</f>
        <v>2.8066666666666666</v>
      </c>
      <c r="P8" s="40">
        <f>AVERAGEIF(_bra1[TeamAway],N8,_bra1[OddAway])</f>
        <v>2.7033333333333331</v>
      </c>
      <c r="Q8" s="41">
        <f>AVERAGEIFS(_bra1[OddHome],_bra1[RESULT],"H",_bra1[TeamHome],N8)</f>
        <v>2.5</v>
      </c>
      <c r="R8" s="41">
        <f>AVERAGEIFS(_bra1[OddAway],_bra1[RESULT],"A",_bra1[TeamAway],N8)</f>
        <v>2.0766666666666667</v>
      </c>
    </row>
    <row r="9" spans="1:18" x14ac:dyDescent="0.25">
      <c r="A9" t="str">
        <f>COUNTIF($D$2:D9,D9)&amp;D9</f>
        <v>1Taborsko</v>
      </c>
      <c r="B9" t="str">
        <f>COUNTIF($E$2:E9,E9)&amp;E9</f>
        <v>1Han. Kromeriz</v>
      </c>
      <c r="C9" s="20">
        <v>45129</v>
      </c>
      <c r="D9" t="s">
        <v>152</v>
      </c>
      <c r="E9" t="s">
        <v>163</v>
      </c>
      <c r="F9">
        <v>1</v>
      </c>
      <c r="G9">
        <v>0</v>
      </c>
      <c r="H9" t="s">
        <v>109</v>
      </c>
      <c r="I9">
        <v>1.75</v>
      </c>
      <c r="J9">
        <v>3.54</v>
      </c>
      <c r="K9">
        <v>4.3099999999999996</v>
      </c>
      <c r="N9" s="61" t="s">
        <v>145</v>
      </c>
      <c r="O9" s="40">
        <f>AVERAGEIF(_bra1[TeamHome],N9,_bra1[OddHome])</f>
        <v>3.7114285714285709</v>
      </c>
      <c r="P9" s="40">
        <f>AVERAGEIF(_bra1[TeamAway],N9,_bra1[OddAway])</f>
        <v>8.2783333333333324</v>
      </c>
      <c r="Q9" s="41">
        <f>AVERAGEIFS(_bra1[OddHome],_bra1[RESULT],"H",_bra1[TeamHome],N9)</f>
        <v>1.84</v>
      </c>
      <c r="R9" s="41">
        <f>AVERAGEIFS(_bra1[OddAway],_bra1[RESULT],"A",_bra1[TeamAway],N9)</f>
        <v>3.54</v>
      </c>
    </row>
    <row r="10" spans="1:18" x14ac:dyDescent="0.25">
      <c r="A10" t="str">
        <f>COUNTIF($D$2:D10,D10)&amp;D10</f>
        <v>1Prostejov</v>
      </c>
      <c r="B10" t="str">
        <f>COUNTIF($E$2:E10,E10)&amp;E10</f>
        <v>1Vikto Zizkov</v>
      </c>
      <c r="C10" s="20">
        <v>45129</v>
      </c>
      <c r="D10" t="s">
        <v>151</v>
      </c>
      <c r="E10" t="s">
        <v>160</v>
      </c>
      <c r="F10">
        <v>2</v>
      </c>
      <c r="G10">
        <v>1</v>
      </c>
      <c r="H10" t="s">
        <v>109</v>
      </c>
      <c r="I10">
        <v>2.71</v>
      </c>
      <c r="J10">
        <v>3.19</v>
      </c>
      <c r="K10">
        <v>2.46</v>
      </c>
      <c r="N10" s="62" t="s">
        <v>136</v>
      </c>
      <c r="O10" s="40">
        <f>AVERAGEIF(_bra1[TeamHome],N10,_bra1[OddHome])</f>
        <v>1.77</v>
      </c>
      <c r="P10" s="40">
        <f>AVERAGEIF(_bra1[TeamAway],N10,_bra1[OddAway])</f>
        <v>4.0816666666666661</v>
      </c>
      <c r="Q10" s="41">
        <f>AVERAGEIFS(_bra1[OddHome],_bra1[RESULT],"H",_bra1[TeamHome],N10)</f>
        <v>1.704</v>
      </c>
      <c r="R10" s="41">
        <f>AVERAGEIFS(_bra1[OddAway],_bra1[RESULT],"A",_bra1[TeamAway],N10)</f>
        <v>3.5</v>
      </c>
    </row>
    <row r="11" spans="1:18" x14ac:dyDescent="0.25">
      <c r="A11" t="str">
        <f>COUNTIF($D$2:D11,D11)&amp;D11</f>
        <v>1Mlada Boleslav</v>
      </c>
      <c r="B11" t="str">
        <f>COUNTIF($E$2:E11,E11)&amp;E11</f>
        <v>1Jablonec</v>
      </c>
      <c r="C11" s="20">
        <v>45130</v>
      </c>
      <c r="D11" t="s">
        <v>134</v>
      </c>
      <c r="E11" t="s">
        <v>143</v>
      </c>
      <c r="F11">
        <v>3</v>
      </c>
      <c r="G11">
        <v>1</v>
      </c>
      <c r="H11" t="s">
        <v>109</v>
      </c>
      <c r="I11">
        <v>1.89</v>
      </c>
      <c r="J11">
        <v>3.62</v>
      </c>
      <c r="K11">
        <v>3.75</v>
      </c>
      <c r="N11" s="61" t="s">
        <v>133</v>
      </c>
      <c r="O11" s="40">
        <f>AVERAGEIF(_bra1[TeamHome],N11,_bra1[OddHome])</f>
        <v>1.2950000000000002</v>
      </c>
      <c r="P11" s="40">
        <f>AVERAGEIF(_bra1[TeamAway],N11,_bra1[OddAway])</f>
        <v>1.3542857142857143</v>
      </c>
      <c r="Q11" s="41">
        <f>AVERAGEIFS(_bra1[OddHome],_bra1[RESULT],"H",_bra1[TeamHome],N11)</f>
        <v>1.1800000000000002</v>
      </c>
      <c r="R11" s="41">
        <f>AVERAGEIFS(_bra1[OddAway],_bra1[RESULT],"A",_bra1[TeamAway],N11)</f>
        <v>1.3660000000000001</v>
      </c>
    </row>
    <row r="12" spans="1:18" x14ac:dyDescent="0.25">
      <c r="A12" t="str">
        <f>COUNTIF($D$2:D12,D12)&amp;D12</f>
        <v>1Slovan Liberec</v>
      </c>
      <c r="B12" t="str">
        <f>COUNTIF($E$2:E12,E12)&amp;E12</f>
        <v>1Banik Ostrava</v>
      </c>
      <c r="C12" s="20">
        <v>45130</v>
      </c>
      <c r="D12" t="s">
        <v>139</v>
      </c>
      <c r="E12" t="s">
        <v>144</v>
      </c>
      <c r="F12">
        <v>3</v>
      </c>
      <c r="G12">
        <v>1</v>
      </c>
      <c r="H12" t="s">
        <v>109</v>
      </c>
      <c r="I12">
        <v>2.4700000000000002</v>
      </c>
      <c r="J12">
        <v>3.19</v>
      </c>
      <c r="K12">
        <v>2.83</v>
      </c>
      <c r="N12" s="62" t="s">
        <v>140</v>
      </c>
      <c r="O12" s="40">
        <f>AVERAGEIF(_bra1[TeamHome],N12,_bra1[OddHome])</f>
        <v>1.6199999999999999</v>
      </c>
      <c r="P12" s="40">
        <f>AVERAGEIF(_bra1[TeamAway],N12,_bra1[OddAway])</f>
        <v>4.3133333333333335</v>
      </c>
      <c r="Q12" s="41">
        <f>AVERAGEIFS(_bra1[OddHome],_bra1[RESULT],"H",_bra1[TeamHome],N12)</f>
        <v>1.4375</v>
      </c>
      <c r="R12" s="41">
        <f>AVERAGEIFS(_bra1[OddAway],_bra1[RESULT],"A",_bra1[TeamAway],N12)</f>
        <v>2.46</v>
      </c>
    </row>
    <row r="13" spans="1:18" x14ac:dyDescent="0.25">
      <c r="A13" t="str">
        <f>COUNTIF($D$2:D13,D13)&amp;D13</f>
        <v>1Sparta Prague</v>
      </c>
      <c r="B13" t="str">
        <f>COUNTIF($E$2:E13,E13)&amp;E13</f>
        <v>1Sigma Olomouc</v>
      </c>
      <c r="C13" s="20">
        <v>45130</v>
      </c>
      <c r="D13" t="s">
        <v>132</v>
      </c>
      <c r="E13" t="s">
        <v>136</v>
      </c>
      <c r="F13">
        <v>2</v>
      </c>
      <c r="G13">
        <v>0</v>
      </c>
      <c r="H13" t="s">
        <v>109</v>
      </c>
      <c r="I13">
        <v>1.41</v>
      </c>
      <c r="J13">
        <v>4.68</v>
      </c>
      <c r="K13">
        <v>6.6</v>
      </c>
      <c r="N13" s="61" t="s">
        <v>139</v>
      </c>
      <c r="O13" s="40">
        <f>AVERAGEIF(_bra1[TeamHome],N13,_bra1[OddHome])</f>
        <v>3.6157142857142861</v>
      </c>
      <c r="P13" s="40">
        <f>AVERAGEIF(_bra1[TeamAway],N13,_bra1[OddAway])</f>
        <v>3.2783333333333338</v>
      </c>
      <c r="Q13" s="41">
        <f>AVERAGEIFS(_bra1[OddHome],_bra1[RESULT],"H",_bra1[TeamHome],N13)</f>
        <v>2.8633333333333333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1Slovacko</v>
      </c>
      <c r="B14" t="str">
        <f>COUNTIF($E$2:E14,E14)&amp;E14</f>
        <v>1C. Budejovice</v>
      </c>
      <c r="C14" s="20">
        <v>45130</v>
      </c>
      <c r="D14" t="s">
        <v>140</v>
      </c>
      <c r="E14" t="s">
        <v>147</v>
      </c>
      <c r="F14">
        <v>4</v>
      </c>
      <c r="G14">
        <v>1</v>
      </c>
      <c r="H14" t="s">
        <v>109</v>
      </c>
      <c r="I14">
        <v>1.43</v>
      </c>
      <c r="J14">
        <v>4.4800000000000004</v>
      </c>
      <c r="K14">
        <v>6.78</v>
      </c>
      <c r="N14" s="62" t="s">
        <v>132</v>
      </c>
      <c r="O14" s="40">
        <f>AVERAGEIF(_bra1[TeamHome],N14,_bra1[OddHome])</f>
        <v>1.3283333333333334</v>
      </c>
      <c r="P14" s="40">
        <f>AVERAGEIF(_bra1[TeamAway],N14,_bra1[OddAway])</f>
        <v>1.8742857142857141</v>
      </c>
      <c r="Q14" s="41">
        <f>AVERAGEIFS(_bra1[OddHome],_bra1[RESULT],"H",_bra1[TeamHome],N14)</f>
        <v>1.3283333333333334</v>
      </c>
      <c r="R14" s="41">
        <f>AVERAGEIFS(_bra1[OddAway],_bra1[RESULT],"A",_bra1[TeamAway],N14)</f>
        <v>1.5699999999999998</v>
      </c>
    </row>
    <row r="15" spans="1:18" x14ac:dyDescent="0.25">
      <c r="A15" t="str">
        <f>COUNTIF($D$2:D15,D15)&amp;D15</f>
        <v>1Sparta Prague B</v>
      </c>
      <c r="B15" t="str">
        <f>COUNTIF($E$2:E15,E15)&amp;E15</f>
        <v>1Dukla Praha</v>
      </c>
      <c r="C15" s="20">
        <v>45130</v>
      </c>
      <c r="D15" t="s">
        <v>153</v>
      </c>
      <c r="E15" t="s">
        <v>148</v>
      </c>
      <c r="F15">
        <v>1</v>
      </c>
      <c r="G15">
        <v>4</v>
      </c>
      <c r="H15" t="s">
        <v>110</v>
      </c>
      <c r="I15">
        <v>3.13</v>
      </c>
      <c r="J15">
        <v>3.43</v>
      </c>
      <c r="K15">
        <v>2.09</v>
      </c>
      <c r="N15" s="61" t="s">
        <v>135</v>
      </c>
      <c r="O15" s="40">
        <f>AVERAGEIF(_bra1[TeamHome],N15,_bra1[OddHome])</f>
        <v>5.5516666666666659</v>
      </c>
      <c r="P15" s="40">
        <f>AVERAGEIF(_bra1[TeamAway],N15,_bra1[OddAway])</f>
        <v>4.7642857142857142</v>
      </c>
      <c r="Q15" s="41">
        <f>AVERAGEIFS(_bra1[OddHome],_bra1[RESULT],"H",_bra1[TeamHome],N15)</f>
        <v>5.05</v>
      </c>
      <c r="R15" s="41">
        <f>AVERAGEIFS(_bra1[OddAway],_bra1[RESULT],"A",_bra1[TeamAway],N15)</f>
        <v>3.9299999999999997</v>
      </c>
    </row>
    <row r="16" spans="1:18" x14ac:dyDescent="0.25">
      <c r="A16" t="str">
        <f>COUNTIF($D$2:D16,D16)&amp;D16</f>
        <v>1Varnsdorf</v>
      </c>
      <c r="B16" t="str">
        <f>COUNTIF($E$2:E16,E16)&amp;E16</f>
        <v>1Sigma Olomouc B</v>
      </c>
      <c r="C16" s="20">
        <v>45130</v>
      </c>
      <c r="D16" t="s">
        <v>161</v>
      </c>
      <c r="E16" t="s">
        <v>156</v>
      </c>
      <c r="F16">
        <v>1</v>
      </c>
      <c r="G16">
        <v>1</v>
      </c>
      <c r="H16" t="s">
        <v>2</v>
      </c>
      <c r="I16">
        <v>1.84</v>
      </c>
      <c r="J16">
        <v>3.63</v>
      </c>
      <c r="K16">
        <v>3.63</v>
      </c>
      <c r="N16" s="62" t="s">
        <v>141</v>
      </c>
      <c r="O16" s="40">
        <f>AVERAGEIF(_bra1[TeamHome],N16,_bra1[OddHome])</f>
        <v>1.3342857142857143</v>
      </c>
      <c r="P16" s="40">
        <f>AVERAGEIF(_bra1[TeamAway],N16,_bra1[OddAway])</f>
        <v>2.1219999999999999</v>
      </c>
      <c r="Q16" s="41">
        <f>AVERAGEIFS(_bra1[OddHome],_bra1[RESULT],"H",_bra1[TeamHome],N16)</f>
        <v>1.3619999999999999</v>
      </c>
      <c r="R16" s="41">
        <f>AVERAGEIFS(_bra1[OddAway],_bra1[RESULT],"A",_bra1[TeamAway],N16)</f>
        <v>1.52</v>
      </c>
    </row>
    <row r="17" spans="1:18" x14ac:dyDescent="0.25">
      <c r="A17" t="str">
        <f>COUNTIF($D$2:D17,D17)&amp;D17</f>
        <v>1Zbrojovka Brno</v>
      </c>
      <c r="B17" t="str">
        <f>COUNTIF($E$2:E17,E17)&amp;E17</f>
        <v>1Vlasim</v>
      </c>
      <c r="C17" s="20">
        <v>45131</v>
      </c>
      <c r="D17" t="s">
        <v>158</v>
      </c>
      <c r="E17" t="s">
        <v>157</v>
      </c>
      <c r="F17">
        <v>1</v>
      </c>
      <c r="G17">
        <v>1</v>
      </c>
      <c r="H17" t="s">
        <v>2</v>
      </c>
      <c r="I17">
        <v>1.55</v>
      </c>
      <c r="J17">
        <v>4.0999999999999996</v>
      </c>
      <c r="K17">
        <v>4.97</v>
      </c>
      <c r="N17" s="61" t="s">
        <v>146</v>
      </c>
      <c r="O17" s="40">
        <f>AVERAGEIF(_bra1[TeamHome],N17,_bra1[OddHome])</f>
        <v>4.1983333333333333</v>
      </c>
      <c r="P17" s="40">
        <f>AVERAGEIF(_bra1[TeamAway],N17,_bra1[OddAway])</f>
        <v>8.4528571428571428</v>
      </c>
      <c r="Q17" s="41">
        <f>AVERAGEIFS(_bra1[OddHome],_bra1[RESULT],"H",_bra1[TeamHome],N17)</f>
        <v>2.15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1Dukla Praha</v>
      </c>
      <c r="B18" t="str">
        <f>COUNTIF($E$2:E18,E18)&amp;E18</f>
        <v>1Vyskov</v>
      </c>
      <c r="C18" s="20">
        <v>45135</v>
      </c>
      <c r="D18" t="s">
        <v>148</v>
      </c>
      <c r="E18" t="s">
        <v>154</v>
      </c>
      <c r="F18">
        <v>2</v>
      </c>
      <c r="G18">
        <v>4</v>
      </c>
      <c r="H18" t="s">
        <v>110</v>
      </c>
      <c r="I18">
        <v>1.88</v>
      </c>
      <c r="J18">
        <v>3.49</v>
      </c>
      <c r="K18">
        <v>3.65</v>
      </c>
      <c r="N18" s="62" t="s">
        <v>162</v>
      </c>
      <c r="O18" s="40">
        <f>AVERAGEIF(_bra1[TeamHome],N18,_bra1[OddHome])</f>
        <v>2.5357142857142856</v>
      </c>
      <c r="P18" s="40">
        <f>AVERAGEIF(_bra1[TeamAway],N18,_bra1[OddAway])</f>
        <v>5.0614285714285714</v>
      </c>
      <c r="Q18" s="41">
        <f>AVERAGEIFS(_bra1[OddHome],_bra1[RESULT],"H",_bra1[TeamHome],N18)</f>
        <v>2.5125000000000002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1Opava</v>
      </c>
      <c r="B19" t="str">
        <f>COUNTIF($E$2:E19,E19)&amp;E19</f>
        <v>1Varnsdorf</v>
      </c>
      <c r="C19" s="20">
        <v>45135</v>
      </c>
      <c r="D19" t="s">
        <v>155</v>
      </c>
      <c r="E19" t="s">
        <v>161</v>
      </c>
      <c r="F19">
        <v>1</v>
      </c>
      <c r="G19">
        <v>0</v>
      </c>
      <c r="H19" t="s">
        <v>109</v>
      </c>
      <c r="I19">
        <v>1.9</v>
      </c>
      <c r="J19">
        <v>3.48</v>
      </c>
      <c r="K19">
        <v>3.61</v>
      </c>
      <c r="N19" s="61" t="s">
        <v>148</v>
      </c>
      <c r="O19" s="40">
        <f>AVERAGEIF(_bra1[TeamHome],N19,_bra1[OddHome])</f>
        <v>1.5416666666666667</v>
      </c>
      <c r="P19" s="40">
        <f>AVERAGEIF(_bra1[TeamAway],N19,_bra1[OddAway])</f>
        <v>2.4300000000000002</v>
      </c>
      <c r="Q19" s="41">
        <f>AVERAGEIFS(_bra1[OddHome],_bra1[RESULT],"H",_bra1[TeamHome],N19)</f>
        <v>1.4700000000000002</v>
      </c>
      <c r="R19" s="41">
        <f>AVERAGEIFS(_bra1[OddAway],_bra1[RESULT],"A",_bra1[TeamAway],N19)</f>
        <v>2.4300000000000002</v>
      </c>
    </row>
    <row r="20" spans="1:18" x14ac:dyDescent="0.25">
      <c r="A20" t="str">
        <f>COUNTIF($D$2:D20,D20)&amp;D20</f>
        <v>2Taborsko</v>
      </c>
      <c r="B20" t="str">
        <f>COUNTIF($E$2:E20,E20)&amp;E20</f>
        <v>1Sparta Prague B</v>
      </c>
      <c r="C20" s="20">
        <v>45135</v>
      </c>
      <c r="D20" t="s">
        <v>152</v>
      </c>
      <c r="E20" t="s">
        <v>153</v>
      </c>
      <c r="F20">
        <v>1</v>
      </c>
      <c r="G20">
        <v>0</v>
      </c>
      <c r="H20" t="s">
        <v>109</v>
      </c>
      <c r="I20">
        <v>1.87</v>
      </c>
      <c r="J20">
        <v>3.58</v>
      </c>
      <c r="K20">
        <v>3.63</v>
      </c>
      <c r="N20" s="62" t="s">
        <v>163</v>
      </c>
      <c r="O20" s="40">
        <f>AVERAGEIF(_bra1[TeamHome],N20,_bra1[OddHome])</f>
        <v>2.4857142857142853</v>
      </c>
      <c r="P20" s="40">
        <f>AVERAGEIF(_bra1[TeamAway],N20,_bra1[OddAway])</f>
        <v>5.1014285714285714</v>
      </c>
      <c r="Q20" s="41">
        <f>AVERAGEIFS(_bra1[OddHome],_bra1[RESULT],"H",_bra1[TeamHome],N20)</f>
        <v>2.6633333333333336</v>
      </c>
      <c r="R20" s="41">
        <f>AVERAGEIFS(_bra1[OddAway],_bra1[RESULT],"A",_bra1[TeamAway],N20)</f>
        <v>4.7699999999999996</v>
      </c>
    </row>
    <row r="21" spans="1:18" x14ac:dyDescent="0.25">
      <c r="A21" t="str">
        <f>COUNTIF($D$2:D21,D21)&amp;D21</f>
        <v>1Banik Ostrava</v>
      </c>
      <c r="B21" t="str">
        <f>COUNTIF($E$2:E21,E21)&amp;E21</f>
        <v>1Slovacko</v>
      </c>
      <c r="C21" s="20">
        <v>45136</v>
      </c>
      <c r="D21" t="s">
        <v>144</v>
      </c>
      <c r="E21" t="s">
        <v>140</v>
      </c>
      <c r="F21">
        <v>0</v>
      </c>
      <c r="G21">
        <v>0</v>
      </c>
      <c r="H21" t="s">
        <v>2</v>
      </c>
      <c r="I21">
        <v>2.35</v>
      </c>
      <c r="J21">
        <v>3.29</v>
      </c>
      <c r="K21">
        <v>2.91</v>
      </c>
      <c r="N21" s="61" t="s">
        <v>149</v>
      </c>
      <c r="O21" s="40">
        <f>AVERAGEIF(_bra1[TeamHome],N21,_bra1[OddHome])</f>
        <v>2.2624999999999997</v>
      </c>
      <c r="P21" s="40">
        <f>AVERAGEIF(_bra1[TeamAway],N21,_bra1[OddAway])</f>
        <v>3.6183333333333336</v>
      </c>
      <c r="Q21" s="41">
        <f>AVERAGEIFS(_bra1[OddHome],_bra1[RESULT],"H",_bra1[TeamHome],N21)</f>
        <v>2.1219999999999999</v>
      </c>
      <c r="R21" s="41">
        <f>AVERAGEIFS(_bra1[OddAway],_bra1[RESULT],"A",_bra1[TeamAway],N21)</f>
        <v>3.94</v>
      </c>
    </row>
    <row r="22" spans="1:18" x14ac:dyDescent="0.25">
      <c r="A22" t="str">
        <f>COUNTIF($D$2:D22,D22)&amp;D22</f>
        <v>2Pardubice</v>
      </c>
      <c r="B22" t="str">
        <f>COUNTIF($E$2:E22,E22)&amp;E22</f>
        <v>2Jablonec</v>
      </c>
      <c r="C22" s="20">
        <v>45136</v>
      </c>
      <c r="D22" t="s">
        <v>145</v>
      </c>
      <c r="E22" t="s">
        <v>143</v>
      </c>
      <c r="F22">
        <v>0</v>
      </c>
      <c r="G22">
        <v>0</v>
      </c>
      <c r="H22" t="s">
        <v>2</v>
      </c>
      <c r="I22">
        <v>2.2999999999999998</v>
      </c>
      <c r="J22">
        <v>3.55</v>
      </c>
      <c r="K22">
        <v>2.82</v>
      </c>
      <c r="N22" s="62" t="s">
        <v>150</v>
      </c>
      <c r="O22" s="40">
        <f>AVERAGEIF(_bra1[TeamHome],N22,_bra1[OddHome])</f>
        <v>1.9642857142857142</v>
      </c>
      <c r="P22" s="40">
        <f>AVERAGEIF(_bra1[TeamAway],N22,_bra1[OddAway])</f>
        <v>3.4328571428571428</v>
      </c>
      <c r="Q22" s="41">
        <f>AVERAGEIFS(_bra1[OddHome],_bra1[RESULT],"H",_bra1[TeamHome],N22)</f>
        <v>1.8925000000000001</v>
      </c>
      <c r="R22" s="41">
        <f>AVERAGEIFS(_bra1[OddAway],_bra1[RESULT],"A",_bra1[TeamAway],N22)</f>
        <v>2.78</v>
      </c>
    </row>
    <row r="23" spans="1:18" x14ac:dyDescent="0.25">
      <c r="A23" t="str">
        <f>COUNTIF($D$2:D23,D23)&amp;D23</f>
        <v>1Zlin</v>
      </c>
      <c r="B23" t="str">
        <f>COUNTIF($E$2:E23,E23)&amp;E23</f>
        <v>1Sparta Prague</v>
      </c>
      <c r="C23" s="20">
        <v>45136</v>
      </c>
      <c r="D23" t="s">
        <v>146</v>
      </c>
      <c r="E23" t="s">
        <v>132</v>
      </c>
      <c r="F23">
        <v>0</v>
      </c>
      <c r="G23">
        <v>1</v>
      </c>
      <c r="H23" t="s">
        <v>110</v>
      </c>
      <c r="I23">
        <v>7.53</v>
      </c>
      <c r="J23">
        <v>4.92</v>
      </c>
      <c r="K23">
        <v>1.36</v>
      </c>
      <c r="N23" s="61" t="s">
        <v>155</v>
      </c>
      <c r="O23" s="40">
        <f>AVERAGEIF(_bra1[TeamHome],N23,_bra1[OddHome])</f>
        <v>1.97</v>
      </c>
      <c r="P23" s="40">
        <f>AVERAGEIF(_bra1[TeamAway],N23,_bra1[OddAway])</f>
        <v>2.8842857142857139</v>
      </c>
      <c r="Q23" s="41">
        <f>AVERAGEIFS(_bra1[OddHome],_bra1[RESULT],"H",_bra1[TeamHome],N23)</f>
        <v>2.085</v>
      </c>
      <c r="R23" s="41">
        <f>AVERAGEIFS(_bra1[OddAway],_bra1[RESULT],"A",_bra1[TeamAway],N23)</f>
        <v>3.27</v>
      </c>
    </row>
    <row r="24" spans="1:18" x14ac:dyDescent="0.25">
      <c r="A24" t="str">
        <f>COUNTIF($D$2:D24,D24)&amp;D24</f>
        <v>1Sigma Olomouc</v>
      </c>
      <c r="B24" t="str">
        <f>COUNTIF($E$2:E24,E24)&amp;E24</f>
        <v>1Karvina</v>
      </c>
      <c r="C24" s="20">
        <v>45136</v>
      </c>
      <c r="D24" t="s">
        <v>136</v>
      </c>
      <c r="E24" t="s">
        <v>142</v>
      </c>
      <c r="F24">
        <v>3</v>
      </c>
      <c r="G24">
        <v>1</v>
      </c>
      <c r="H24" t="s">
        <v>109</v>
      </c>
      <c r="I24">
        <v>1.5</v>
      </c>
      <c r="J24">
        <v>4.2</v>
      </c>
      <c r="K24">
        <v>6.06</v>
      </c>
      <c r="N24" s="62" t="s">
        <v>159</v>
      </c>
      <c r="O24" s="40">
        <f>AVERAGEIF(_bra1[TeamHome],N24,_bra1[OddHome])</f>
        <v>2.0814285714285714</v>
      </c>
      <c r="P24" s="40">
        <f>AVERAGEIF(_bra1[TeamAway],N24,_bra1[OddAway])</f>
        <v>3.4662500000000001</v>
      </c>
      <c r="Q24" s="41">
        <f>AVERAGEIFS(_bra1[OddHome],_bra1[RESULT],"H",_bra1[TeamHome],N24)</f>
        <v>1.8825000000000001</v>
      </c>
      <c r="R24" s="41">
        <f>AVERAGEIFS(_bra1[OddAway],_bra1[RESULT],"A",_bra1[TeamAway],N24)</f>
        <v>3.7066666666666666</v>
      </c>
    </row>
    <row r="25" spans="1:18" x14ac:dyDescent="0.25">
      <c r="A25" t="str">
        <f>COUNTIF($D$2:D25,D25)&amp;D25</f>
        <v>1Han. Kromeriz</v>
      </c>
      <c r="B25" t="str">
        <f>COUNTIF($E$2:E25,E25)&amp;E25</f>
        <v>1Prostejov</v>
      </c>
      <c r="C25" s="20">
        <v>45136</v>
      </c>
      <c r="D25" t="s">
        <v>163</v>
      </c>
      <c r="E25" t="s">
        <v>151</v>
      </c>
      <c r="F25">
        <v>3</v>
      </c>
      <c r="G25">
        <v>0</v>
      </c>
      <c r="H25" t="s">
        <v>109</v>
      </c>
      <c r="I25">
        <v>2.34</v>
      </c>
      <c r="J25">
        <v>3.33</v>
      </c>
      <c r="K25">
        <v>2.76</v>
      </c>
      <c r="N25" s="61" t="s">
        <v>151</v>
      </c>
      <c r="O25" s="40">
        <f>AVERAGEIF(_bra1[TeamHome],N25,_bra1[OddHome])</f>
        <v>3.0114285714285716</v>
      </c>
      <c r="P25" s="40">
        <f>AVERAGEIF(_bra1[TeamAway],N25,_bra1[OddAway])</f>
        <v>4.5200000000000005</v>
      </c>
      <c r="Q25" s="41">
        <f>AVERAGEIFS(_bra1[OddHome],_bra1[RESULT],"H",_bra1[TeamHome],N25)</f>
        <v>2.6066666666666665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1Lisen</v>
      </c>
      <c r="B26" t="str">
        <f>COUNTIF($E$2:E26,E26)&amp;E26</f>
        <v>1Jihlava</v>
      </c>
      <c r="C26" s="20">
        <v>45136</v>
      </c>
      <c r="D26" t="s">
        <v>150</v>
      </c>
      <c r="E26" t="s">
        <v>149</v>
      </c>
      <c r="F26">
        <v>1</v>
      </c>
      <c r="G26">
        <v>2</v>
      </c>
      <c r="H26" t="s">
        <v>110</v>
      </c>
      <c r="I26">
        <v>1.81</v>
      </c>
      <c r="J26">
        <v>3.49</v>
      </c>
      <c r="K26">
        <v>3.94</v>
      </c>
      <c r="N26" s="62" t="s">
        <v>156</v>
      </c>
      <c r="O26" s="40">
        <f>AVERAGEIF(_bra1[TeamHome],N26,_bra1[OddHome])</f>
        <v>2.4857142857142853</v>
      </c>
      <c r="P26" s="40">
        <f>AVERAGEIF(_bra1[TeamAway],N26,_bra1[OddAway])</f>
        <v>3.9471428571428575</v>
      </c>
      <c r="Q26" s="41">
        <f>AVERAGEIFS(_bra1[OddHome],_bra1[RESULT],"H",_bra1[TeamHome],N26)</f>
        <v>2.37</v>
      </c>
      <c r="R26" s="41">
        <f>AVERAGEIFS(_bra1[OddAway],_bra1[RESULT],"A",_bra1[TeamAway],N26)</f>
        <v>3.84</v>
      </c>
    </row>
    <row r="27" spans="1:18" x14ac:dyDescent="0.25">
      <c r="A27" t="str">
        <f>COUNTIF($D$2:D27,D27)&amp;D27</f>
        <v>1Vlasim</v>
      </c>
      <c r="B27" t="str">
        <f>COUNTIF($E$2:E27,E27)&amp;E27</f>
        <v>1Chrudim</v>
      </c>
      <c r="C27" s="20">
        <v>45136</v>
      </c>
      <c r="D27" t="s">
        <v>157</v>
      </c>
      <c r="E27" t="s">
        <v>162</v>
      </c>
      <c r="F27">
        <v>1</v>
      </c>
      <c r="G27">
        <v>1</v>
      </c>
      <c r="H27" t="s">
        <v>2</v>
      </c>
      <c r="I27">
        <v>1.55</v>
      </c>
      <c r="J27">
        <v>4.04</v>
      </c>
      <c r="K27">
        <v>5.07</v>
      </c>
      <c r="N27" s="61" t="s">
        <v>153</v>
      </c>
      <c r="O27" s="40">
        <f>AVERAGEIF(_bra1[TeamHome],N27,_bra1[OddHome])</f>
        <v>2.5314285714285711</v>
      </c>
      <c r="P27" s="40">
        <f>AVERAGEIF(_bra1[TeamAway],N27,_bra1[OddAway])</f>
        <v>3.9142857142857146</v>
      </c>
      <c r="Q27" s="41">
        <f>AVERAGEIFS(_bra1[OddHome],_bra1[RESULT],"H",_bra1[TeamHome],N27)</f>
        <v>2.0700000000000003</v>
      </c>
      <c r="R27" s="41" t="e">
        <f>AVERAGEIFS(_bra1[OddAway],_bra1[RESULT],"A",_bra1[TeamAway],N27)</f>
        <v>#DIV/0!</v>
      </c>
    </row>
    <row r="28" spans="1:18" x14ac:dyDescent="0.25">
      <c r="A28" t="str">
        <f>COUNTIF($D$2:D28,D28)&amp;D28</f>
        <v>1C. Budejovice</v>
      </c>
      <c r="B28" t="str">
        <f>COUNTIF($E$2:E28,E28)&amp;E28</f>
        <v>1Slavia Prague</v>
      </c>
      <c r="C28" s="20">
        <v>45137</v>
      </c>
      <c r="D28" t="s">
        <v>147</v>
      </c>
      <c r="E28" t="s">
        <v>133</v>
      </c>
      <c r="F28">
        <v>1</v>
      </c>
      <c r="G28">
        <v>3</v>
      </c>
      <c r="H28" t="s">
        <v>110</v>
      </c>
      <c r="I28">
        <v>9.25</v>
      </c>
      <c r="J28">
        <v>6.15</v>
      </c>
      <c r="K28">
        <v>1.25</v>
      </c>
      <c r="N28" s="62" t="s">
        <v>152</v>
      </c>
      <c r="O28" s="40">
        <f>AVERAGEIF(_bra1[TeamHome],N28,_bra1[OddHome])</f>
        <v>1.9762500000000003</v>
      </c>
      <c r="P28" s="40">
        <f>AVERAGEIF(_bra1[TeamAway],N28,_bra1[OddAway])</f>
        <v>3.0950000000000002</v>
      </c>
      <c r="Q28" s="41">
        <f>AVERAGEIFS(_bra1[OddHome],_bra1[RESULT],"H",_bra1[TeamHome],N28)</f>
        <v>2.0074999999999998</v>
      </c>
      <c r="R28" s="41">
        <f>AVERAGEIFS(_bra1[OddAway],_bra1[RESULT],"A",_bra1[TeamAway],N28)</f>
        <v>3.2166666666666668</v>
      </c>
    </row>
    <row r="29" spans="1:18" x14ac:dyDescent="0.25">
      <c r="A29" t="str">
        <f>COUNTIF($D$2:D29,D29)&amp;D29</f>
        <v>1Bohemians</v>
      </c>
      <c r="B29" t="str">
        <f>COUNTIF($E$2:E29,E29)&amp;E29</f>
        <v>1Teplice</v>
      </c>
      <c r="C29" s="20">
        <v>45137</v>
      </c>
      <c r="D29" t="s">
        <v>137</v>
      </c>
      <c r="E29" t="s">
        <v>135</v>
      </c>
      <c r="F29">
        <v>1</v>
      </c>
      <c r="G29">
        <v>2</v>
      </c>
      <c r="H29" t="s">
        <v>110</v>
      </c>
      <c r="I29">
        <v>1.69</v>
      </c>
      <c r="J29">
        <v>3.74</v>
      </c>
      <c r="K29">
        <v>4.6399999999999997</v>
      </c>
      <c r="N29" s="61" t="s">
        <v>161</v>
      </c>
      <c r="O29" s="40">
        <f>AVERAGEIF(_bra1[TeamHome],N29,_bra1[OddHome])</f>
        <v>2.1037500000000002</v>
      </c>
      <c r="P29" s="40">
        <f>AVERAGEIF(_bra1[TeamAway],N29,_bra1[OddAway])</f>
        <v>3.9385714285714291</v>
      </c>
      <c r="Q29" s="41">
        <f>AVERAGEIFS(_bra1[OddHome],_bra1[RESULT],"H",_bra1[TeamHome],N29)</f>
        <v>2.12</v>
      </c>
      <c r="R29" s="41">
        <f>AVERAGEIFS(_bra1[OddAway],_bra1[RESULT],"A",_bra1[TeamAway],N29)</f>
        <v>3.27</v>
      </c>
    </row>
    <row r="30" spans="1:18" x14ac:dyDescent="0.25">
      <c r="A30" t="str">
        <f>COUNTIF($D$2:D30,D30)&amp;D30</f>
        <v>1Viktoria Plzen</v>
      </c>
      <c r="B30" t="str">
        <f>COUNTIF($E$2:E30,E30)&amp;E30</f>
        <v>2Hradec Kralove</v>
      </c>
      <c r="C30" s="20">
        <v>45137</v>
      </c>
      <c r="D30" t="s">
        <v>141</v>
      </c>
      <c r="E30" t="s">
        <v>138</v>
      </c>
      <c r="F30">
        <v>1</v>
      </c>
      <c r="G30">
        <v>1</v>
      </c>
      <c r="H30" t="s">
        <v>2</v>
      </c>
      <c r="I30">
        <v>1.35</v>
      </c>
      <c r="J30">
        <v>4.93</v>
      </c>
      <c r="K30">
        <v>7.53</v>
      </c>
      <c r="N30" s="62" t="s">
        <v>160</v>
      </c>
      <c r="O30" s="40">
        <f>AVERAGEIF(_bra1[TeamHome],N30,_bra1[OddHome])</f>
        <v>2.4042857142857144</v>
      </c>
      <c r="P30" s="40">
        <f>AVERAGEIF(_bra1[TeamAway],N30,_bra1[OddAway])</f>
        <v>3.152857142857143</v>
      </c>
      <c r="Q30" s="41">
        <f>AVERAGEIFS(_bra1[OddHome],_bra1[RESULT],"H",_bra1[TeamHome],N30)</f>
        <v>2.5866666666666664</v>
      </c>
      <c r="R30" s="41">
        <f>AVERAGEIFS(_bra1[OddAway],_bra1[RESULT],"A",_bra1[TeamAway],N30)</f>
        <v>2.65</v>
      </c>
    </row>
    <row r="31" spans="1:18" x14ac:dyDescent="0.25">
      <c r="A31" t="str">
        <f>COUNTIF($D$2:D31,D31)&amp;D31</f>
        <v>2Mlada Boleslav</v>
      </c>
      <c r="B31" t="str">
        <f>COUNTIF($E$2:E31,E31)&amp;E31</f>
        <v>1Slovan Liberec</v>
      </c>
      <c r="C31" s="20">
        <v>45137</v>
      </c>
      <c r="D31" t="s">
        <v>134</v>
      </c>
      <c r="E31" t="s">
        <v>139</v>
      </c>
      <c r="F31">
        <v>2</v>
      </c>
      <c r="G31">
        <v>2</v>
      </c>
      <c r="H31" t="s">
        <v>2</v>
      </c>
      <c r="I31">
        <v>1.92</v>
      </c>
      <c r="J31">
        <v>3.61</v>
      </c>
      <c r="K31">
        <v>3.65</v>
      </c>
      <c r="N31" s="61" t="s">
        <v>157</v>
      </c>
      <c r="O31" s="40">
        <f>AVERAGEIF(_bra1[TeamHome],N31,_bra1[OddHome])</f>
        <v>2.0449999999999999</v>
      </c>
      <c r="P31" s="40">
        <f>AVERAGEIF(_bra1[TeamAway],N31,_bra1[OddAway])</f>
        <v>3.0049999999999999</v>
      </c>
      <c r="Q31" s="41">
        <f>AVERAGEIFS(_bra1[OddHome],_bra1[RESULT],"H",_bra1[TeamHome],N31)</f>
        <v>1.97</v>
      </c>
      <c r="R31" s="41">
        <f>AVERAGEIFS(_bra1[OddAway],_bra1[RESULT],"A",_bra1[TeamAway],N31)</f>
        <v>2.6749999999999998</v>
      </c>
    </row>
    <row r="32" spans="1:18" x14ac:dyDescent="0.25">
      <c r="A32" t="str">
        <f>COUNTIF($D$2:D32,D32)&amp;D32</f>
        <v>1Sigma Olomouc B</v>
      </c>
      <c r="B32" t="str">
        <f>COUNTIF($E$2:E32,E32)&amp;E32</f>
        <v>1Zbrojovka Brno</v>
      </c>
      <c r="C32" s="20">
        <v>45137</v>
      </c>
      <c r="D32" t="s">
        <v>156</v>
      </c>
      <c r="E32" t="s">
        <v>158</v>
      </c>
      <c r="F32">
        <v>1</v>
      </c>
      <c r="G32">
        <v>2</v>
      </c>
      <c r="H32" t="s">
        <v>110</v>
      </c>
      <c r="I32">
        <v>3.21</v>
      </c>
      <c r="J32">
        <v>3.34</v>
      </c>
      <c r="K32">
        <v>2.08</v>
      </c>
      <c r="N32" s="62" t="s">
        <v>154</v>
      </c>
      <c r="O32" s="40">
        <f>AVERAGEIF(_bra1[TeamHome],N32,_bra1[OddHome])</f>
        <v>1.5471428571428574</v>
      </c>
      <c r="P32" s="40">
        <f>AVERAGEIF(_bra1[TeamAway],N32,_bra1[OddAway])</f>
        <v>2.7014285714285715</v>
      </c>
      <c r="Q32" s="41">
        <f>AVERAGEIFS(_bra1[OddHome],_bra1[RESULT],"H",_bra1[TeamHome],N32)</f>
        <v>1.5050000000000001</v>
      </c>
      <c r="R32" s="41">
        <f>AVERAGEIFS(_bra1[OddAway],_bra1[RESULT],"A",_bra1[TeamAway],N32)</f>
        <v>3.2533333333333334</v>
      </c>
    </row>
    <row r="33" spans="1:18" x14ac:dyDescent="0.25">
      <c r="A33" t="str">
        <f>COUNTIF($D$2:D33,D33)&amp;D33</f>
        <v>1Vikto Zizkov</v>
      </c>
      <c r="B33" t="str">
        <f>COUNTIF($E$2:E33,E33)&amp;E33</f>
        <v>2Pribram</v>
      </c>
      <c r="C33" s="20">
        <v>45137</v>
      </c>
      <c r="D33" t="s">
        <v>160</v>
      </c>
      <c r="E33" t="s">
        <v>159</v>
      </c>
      <c r="F33">
        <v>2</v>
      </c>
      <c r="G33">
        <v>3</v>
      </c>
      <c r="H33" t="s">
        <v>110</v>
      </c>
      <c r="I33">
        <v>2.15</v>
      </c>
      <c r="J33">
        <v>3.41</v>
      </c>
      <c r="K33">
        <v>3</v>
      </c>
      <c r="N33" s="61" t="s">
        <v>158</v>
      </c>
      <c r="O33" s="40">
        <f>AVERAGEIF(_bra1[TeamHome],N33,_bra1[OddHome])</f>
        <v>1.6142857142857143</v>
      </c>
      <c r="P33" s="40">
        <f>AVERAGEIF(_bra1[TeamAway],N33,_bra1[OddAway])</f>
        <v>2.1800000000000002</v>
      </c>
      <c r="Q33" s="41">
        <f>AVERAGEIFS(_bra1[OddHome],_bra1[RESULT],"H",_bra1[TeamHome],N33)</f>
        <v>1.4633333333333336</v>
      </c>
      <c r="R33" s="41">
        <f>AVERAGEIFS(_bra1[OddAway],_bra1[RESULT],"A",_bra1[TeamAway],N33)</f>
        <v>1.8875000000000002</v>
      </c>
    </row>
    <row r="34" spans="1:18" x14ac:dyDescent="0.25">
      <c r="A34" t="str">
        <f>COUNTIF($D$2:D34,D34)&amp;D34</f>
        <v>2Jihlava</v>
      </c>
      <c r="B34" t="str">
        <f>COUNTIF($E$2:E34,E34)&amp;E34</f>
        <v>2Sigma Olomouc B</v>
      </c>
      <c r="C34" s="20">
        <v>45140</v>
      </c>
      <c r="D34" t="s">
        <v>149</v>
      </c>
      <c r="E34" t="s">
        <v>156</v>
      </c>
      <c r="F34">
        <v>6</v>
      </c>
      <c r="G34">
        <v>3</v>
      </c>
      <c r="H34" t="s">
        <v>109</v>
      </c>
      <c r="I34">
        <v>2.15</v>
      </c>
      <c r="J34">
        <v>3.38</v>
      </c>
      <c r="K34">
        <v>3.01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2Vyskov</v>
      </c>
      <c r="B35" t="str">
        <f>COUNTIF($E$2:E35,E35)&amp;E35</f>
        <v>2Han. Kromeriz</v>
      </c>
      <c r="C35" s="20">
        <v>45140</v>
      </c>
      <c r="D35" t="s">
        <v>154</v>
      </c>
      <c r="E35" t="s">
        <v>163</v>
      </c>
      <c r="F35">
        <v>5</v>
      </c>
      <c r="G35">
        <v>1</v>
      </c>
      <c r="H35" t="s">
        <v>109</v>
      </c>
      <c r="I35">
        <v>1.46</v>
      </c>
      <c r="J35">
        <v>4.21</v>
      </c>
      <c r="K35">
        <v>5.93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2Zbrojovka Brno</v>
      </c>
      <c r="B36" t="str">
        <f>COUNTIF($E$2:E36,E36)&amp;E36</f>
        <v>2Dukla Praha</v>
      </c>
      <c r="C36" s="20">
        <v>45140</v>
      </c>
      <c r="D36" t="s">
        <v>158</v>
      </c>
      <c r="E36" t="s">
        <v>148</v>
      </c>
      <c r="F36">
        <v>0</v>
      </c>
      <c r="G36">
        <v>2</v>
      </c>
      <c r="H36" t="s">
        <v>110</v>
      </c>
      <c r="I36">
        <v>1.81</v>
      </c>
      <c r="J36">
        <v>3.59</v>
      </c>
      <c r="K36">
        <v>3.84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2Chrudim</v>
      </c>
      <c r="B37" t="str">
        <f>COUNTIF($E$2:E37,E37)&amp;E37</f>
        <v>1Taborsko</v>
      </c>
      <c r="C37" s="20">
        <v>45140</v>
      </c>
      <c r="D37" t="s">
        <v>162</v>
      </c>
      <c r="E37" t="s">
        <v>152</v>
      </c>
      <c r="F37">
        <v>0</v>
      </c>
      <c r="G37">
        <v>3</v>
      </c>
      <c r="H37" t="s">
        <v>110</v>
      </c>
      <c r="I37">
        <v>2.39</v>
      </c>
      <c r="J37">
        <v>3.13</v>
      </c>
      <c r="K37">
        <v>2.82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2Varnsdorf</v>
      </c>
      <c r="B38" t="str">
        <f>COUNTIF($E$2:E38,E38)&amp;E38</f>
        <v>2Vlasim</v>
      </c>
      <c r="C38" s="20">
        <v>45140</v>
      </c>
      <c r="D38" t="s">
        <v>161</v>
      </c>
      <c r="E38" t="s">
        <v>157</v>
      </c>
      <c r="F38">
        <v>3</v>
      </c>
      <c r="G38">
        <v>3</v>
      </c>
      <c r="H38" t="s">
        <v>2</v>
      </c>
      <c r="I38">
        <v>2.2799999999999998</v>
      </c>
      <c r="J38">
        <v>3.67</v>
      </c>
      <c r="K38">
        <v>2.61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2Vikto Zizkov</v>
      </c>
      <c r="B39" t="str">
        <f>COUNTIF($E$2:E39,E39)&amp;E39</f>
        <v>2Lisen</v>
      </c>
      <c r="C39" s="20">
        <v>45140</v>
      </c>
      <c r="D39" t="s">
        <v>160</v>
      </c>
      <c r="E39" t="s">
        <v>150</v>
      </c>
      <c r="F39">
        <v>3</v>
      </c>
      <c r="G39">
        <v>1</v>
      </c>
      <c r="H39" t="s">
        <v>109</v>
      </c>
      <c r="I39">
        <v>2.2000000000000002</v>
      </c>
      <c r="J39">
        <v>3.22</v>
      </c>
      <c r="K39">
        <v>3.06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1Pribram</v>
      </c>
      <c r="B40" t="str">
        <f>COUNTIF($E$2:E40,E40)&amp;E40</f>
        <v>2Opava</v>
      </c>
      <c r="C40" s="20">
        <v>45140</v>
      </c>
      <c r="D40" t="s">
        <v>159</v>
      </c>
      <c r="E40" t="s">
        <v>155</v>
      </c>
      <c r="F40">
        <v>1</v>
      </c>
      <c r="G40">
        <v>0</v>
      </c>
      <c r="H40" t="s">
        <v>109</v>
      </c>
      <c r="I40">
        <v>2.2200000000000002</v>
      </c>
      <c r="J40">
        <v>3.3</v>
      </c>
      <c r="K40">
        <v>2.97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2Prostejov</v>
      </c>
      <c r="B41" t="str">
        <f>COUNTIF($E$2:E41,E41)&amp;E41</f>
        <v>2Sparta Prague B</v>
      </c>
      <c r="C41" s="20">
        <v>45140</v>
      </c>
      <c r="D41" t="s">
        <v>151</v>
      </c>
      <c r="E41" t="s">
        <v>153</v>
      </c>
      <c r="F41">
        <v>3</v>
      </c>
      <c r="G41">
        <v>3</v>
      </c>
      <c r="H41" t="s">
        <v>2</v>
      </c>
      <c r="I41">
        <v>2.67</v>
      </c>
      <c r="J41">
        <v>3.38</v>
      </c>
      <c r="K41">
        <v>2.38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2Karvina</v>
      </c>
      <c r="B42" t="str">
        <f>COUNTIF($E$2:E42,E42)&amp;E42</f>
        <v>1Mlada Boleslav</v>
      </c>
      <c r="C42" s="20">
        <v>45143</v>
      </c>
      <c r="D42" t="s">
        <v>142</v>
      </c>
      <c r="E42" t="s">
        <v>134</v>
      </c>
      <c r="F42">
        <v>1</v>
      </c>
      <c r="G42">
        <v>2</v>
      </c>
      <c r="H42" t="s">
        <v>110</v>
      </c>
      <c r="I42">
        <v>3.5</v>
      </c>
      <c r="J42">
        <v>3.58</v>
      </c>
      <c r="K42">
        <v>1.97</v>
      </c>
      <c r="N42" s="18"/>
      <c r="O42" s="40"/>
    </row>
    <row r="43" spans="1:18" x14ac:dyDescent="0.25">
      <c r="A43" t="str">
        <f>COUNTIF($D$2:D43,D43)&amp;D43</f>
        <v>1Hradec Kralove</v>
      </c>
      <c r="B43" t="str">
        <f>COUNTIF($E$2:E43,E43)&amp;E43</f>
        <v>2C. Budejovice</v>
      </c>
      <c r="C43" s="20">
        <v>45143</v>
      </c>
      <c r="D43" t="s">
        <v>138</v>
      </c>
      <c r="E43" t="s">
        <v>147</v>
      </c>
      <c r="F43">
        <v>5</v>
      </c>
      <c r="G43">
        <v>1</v>
      </c>
      <c r="H43" t="s">
        <v>109</v>
      </c>
      <c r="I43">
        <v>1.8</v>
      </c>
      <c r="J43">
        <v>3.72</v>
      </c>
      <c r="K43">
        <v>4.03</v>
      </c>
      <c r="N43" s="19"/>
      <c r="O43" s="40"/>
    </row>
    <row r="44" spans="1:18" x14ac:dyDescent="0.25">
      <c r="A44" t="str">
        <f>COUNTIF($D$2:D44,D44)&amp;D44</f>
        <v>2Sparta Prague</v>
      </c>
      <c r="B44" t="str">
        <f>COUNTIF($E$2:E44,E44)&amp;E44</f>
        <v>1Pardubice</v>
      </c>
      <c r="C44" s="20">
        <v>45143</v>
      </c>
      <c r="D44" t="s">
        <v>132</v>
      </c>
      <c r="E44" t="s">
        <v>145</v>
      </c>
      <c r="F44">
        <v>5</v>
      </c>
      <c r="G44">
        <v>2</v>
      </c>
      <c r="H44" t="s">
        <v>109</v>
      </c>
      <c r="I44">
        <v>1.1200000000000001</v>
      </c>
      <c r="J44">
        <v>8.42</v>
      </c>
      <c r="K44">
        <v>17.77</v>
      </c>
      <c r="N44" s="18"/>
      <c r="O44" s="40"/>
    </row>
    <row r="45" spans="1:18" x14ac:dyDescent="0.25">
      <c r="A45" t="str">
        <f>COUNTIF($D$2:D45,D45)&amp;D45</f>
        <v>2Slovacko</v>
      </c>
      <c r="B45" t="str">
        <f>COUNTIF($E$2:E45,E45)&amp;E45</f>
        <v>2Sigma Olomouc</v>
      </c>
      <c r="C45" s="20">
        <v>45143</v>
      </c>
      <c r="D45" t="s">
        <v>140</v>
      </c>
      <c r="E45" t="s">
        <v>136</v>
      </c>
      <c r="F45">
        <v>0</v>
      </c>
      <c r="G45">
        <v>2</v>
      </c>
      <c r="H45" t="s">
        <v>110</v>
      </c>
      <c r="I45">
        <v>1.81</v>
      </c>
      <c r="J45">
        <v>3.43</v>
      </c>
      <c r="K45">
        <v>4.43</v>
      </c>
      <c r="N45" s="19"/>
      <c r="O45" s="40"/>
    </row>
    <row r="46" spans="1:18" x14ac:dyDescent="0.25">
      <c r="A46" t="str">
        <f>COUNTIF($D$2:D46,D46)&amp;D46</f>
        <v>2Lisen</v>
      </c>
      <c r="B46" t="str">
        <f>COUNTIF($E$2:E46,E46)&amp;E46</f>
        <v>3Pribram</v>
      </c>
      <c r="C46" s="20">
        <v>45143</v>
      </c>
      <c r="D46" t="s">
        <v>150</v>
      </c>
      <c r="E46" t="s">
        <v>159</v>
      </c>
      <c r="F46">
        <v>2</v>
      </c>
      <c r="G46">
        <v>0</v>
      </c>
      <c r="H46" t="s">
        <v>109</v>
      </c>
      <c r="I46">
        <v>2.2000000000000002</v>
      </c>
      <c r="J46">
        <v>3.31</v>
      </c>
      <c r="K46">
        <v>2.99</v>
      </c>
      <c r="N46" s="18"/>
      <c r="O46" s="40"/>
    </row>
    <row r="47" spans="1:18" x14ac:dyDescent="0.25">
      <c r="A47" t="str">
        <f>COUNTIF($D$2:D47,D47)&amp;D47</f>
        <v>2Han. Kromeriz</v>
      </c>
      <c r="B47" t="str">
        <f>COUNTIF($E$2:E47,E47)&amp;E47</f>
        <v>2Jihlava</v>
      </c>
      <c r="C47" s="20">
        <v>45143</v>
      </c>
      <c r="D47" t="s">
        <v>163</v>
      </c>
      <c r="E47" t="s">
        <v>149</v>
      </c>
      <c r="F47">
        <v>1</v>
      </c>
      <c r="G47">
        <v>1</v>
      </c>
      <c r="H47" t="s">
        <v>2</v>
      </c>
      <c r="I47">
        <v>2.61</v>
      </c>
      <c r="J47">
        <v>3.33</v>
      </c>
      <c r="K47">
        <v>2.4300000000000002</v>
      </c>
      <c r="N47" s="19"/>
      <c r="O47" s="40"/>
    </row>
    <row r="48" spans="1:18" x14ac:dyDescent="0.25">
      <c r="A48" t="str">
        <f>COUNTIF($D$2:D48,D48)&amp;D48</f>
        <v>2Opava</v>
      </c>
      <c r="B48" t="str">
        <f>COUNTIF($E$2:E48,E48)&amp;E48</f>
        <v>2Vikto Zizkov</v>
      </c>
      <c r="C48" s="20">
        <v>45143</v>
      </c>
      <c r="D48" t="s">
        <v>155</v>
      </c>
      <c r="E48" t="s">
        <v>160</v>
      </c>
      <c r="F48">
        <v>3</v>
      </c>
      <c r="G48">
        <v>3</v>
      </c>
      <c r="H48" t="s">
        <v>2</v>
      </c>
      <c r="I48">
        <v>2.02</v>
      </c>
      <c r="J48">
        <v>3.37</v>
      </c>
      <c r="K48">
        <v>3.32</v>
      </c>
      <c r="N48" s="19"/>
      <c r="O48" s="40"/>
    </row>
    <row r="49" spans="1:15" x14ac:dyDescent="0.25">
      <c r="A49" t="str">
        <f>COUNTIF($D$2:D49,D49)&amp;D49</f>
        <v>2Vlasim</v>
      </c>
      <c r="B49" t="str">
        <f>COUNTIF($E$2:E49,E49)&amp;E49</f>
        <v>2Vyskov</v>
      </c>
      <c r="C49" s="20">
        <v>45143</v>
      </c>
      <c r="D49" t="s">
        <v>157</v>
      </c>
      <c r="E49" t="s">
        <v>154</v>
      </c>
      <c r="F49">
        <v>1</v>
      </c>
      <c r="G49">
        <v>1</v>
      </c>
      <c r="H49" t="s">
        <v>2</v>
      </c>
      <c r="I49">
        <v>2.63</v>
      </c>
      <c r="J49">
        <v>3.4</v>
      </c>
      <c r="K49">
        <v>2.39</v>
      </c>
      <c r="N49" s="18"/>
      <c r="O49" s="40"/>
    </row>
    <row r="50" spans="1:15" x14ac:dyDescent="0.25">
      <c r="A50" t="str">
        <f>COUNTIF($D$2:D50,D50)&amp;D50</f>
        <v>3Taborsko</v>
      </c>
      <c r="B50" t="str">
        <f>COUNTIF($E$2:E50,E50)&amp;E50</f>
        <v>2Zbrojovka Brno</v>
      </c>
      <c r="C50" s="20">
        <v>45143</v>
      </c>
      <c r="D50" t="s">
        <v>152</v>
      </c>
      <c r="E50" t="s">
        <v>158</v>
      </c>
      <c r="F50">
        <v>2</v>
      </c>
      <c r="G50">
        <v>1</v>
      </c>
      <c r="H50" t="s">
        <v>109</v>
      </c>
      <c r="I50">
        <v>2.72</v>
      </c>
      <c r="J50">
        <v>3.3</v>
      </c>
      <c r="K50">
        <v>2.37</v>
      </c>
      <c r="N50" s="19"/>
      <c r="O50" s="40"/>
    </row>
    <row r="51" spans="1:15" x14ac:dyDescent="0.25">
      <c r="A51" t="str">
        <f>COUNTIF($D$2:D51,D51)&amp;D51</f>
        <v>2Viktoria Plzen</v>
      </c>
      <c r="B51" t="str">
        <f>COUNTIF($E$2:E51,E51)&amp;E51</f>
        <v>2Banik Ostrava</v>
      </c>
      <c r="C51" s="20">
        <v>45144</v>
      </c>
      <c r="D51" t="s">
        <v>141</v>
      </c>
      <c r="E51" t="s">
        <v>144</v>
      </c>
      <c r="F51">
        <v>3</v>
      </c>
      <c r="G51">
        <v>1</v>
      </c>
      <c r="H51" t="s">
        <v>109</v>
      </c>
      <c r="I51">
        <v>1.56</v>
      </c>
      <c r="J51">
        <v>4.16</v>
      </c>
      <c r="K51">
        <v>5.18</v>
      </c>
      <c r="N51" s="18"/>
      <c r="O51" s="40"/>
    </row>
    <row r="52" spans="1:15" x14ac:dyDescent="0.25">
      <c r="A52" t="str">
        <f>COUNTIF($D$2:D52,D52)&amp;D52</f>
        <v>2Slovan Liberec</v>
      </c>
      <c r="B52" t="str">
        <f>COUNTIF($E$2:E52,E52)&amp;E52</f>
        <v>2Bohemians</v>
      </c>
      <c r="C52" s="20">
        <v>45144</v>
      </c>
      <c r="D52" t="s">
        <v>139</v>
      </c>
      <c r="E52" t="s">
        <v>137</v>
      </c>
      <c r="F52">
        <v>0</v>
      </c>
      <c r="G52">
        <v>1</v>
      </c>
      <c r="H52" t="s">
        <v>110</v>
      </c>
      <c r="I52">
        <v>2</v>
      </c>
      <c r="J52">
        <v>3.57</v>
      </c>
      <c r="K52">
        <v>3.42</v>
      </c>
      <c r="N52" s="19"/>
      <c r="O52" s="40"/>
    </row>
    <row r="53" spans="1:15" x14ac:dyDescent="0.25">
      <c r="A53" t="str">
        <f>COUNTIF($D$2:D53,D53)&amp;D53</f>
        <v>2Teplice</v>
      </c>
      <c r="B53" t="str">
        <f>COUNTIF($E$2:E53,E53)&amp;E53</f>
        <v>3Jablonec</v>
      </c>
      <c r="C53" s="20">
        <v>45144</v>
      </c>
      <c r="D53" t="s">
        <v>135</v>
      </c>
      <c r="E53" t="s">
        <v>143</v>
      </c>
      <c r="F53">
        <v>0</v>
      </c>
      <c r="G53">
        <v>0</v>
      </c>
      <c r="H53" t="s">
        <v>2</v>
      </c>
      <c r="I53">
        <v>2.58</v>
      </c>
      <c r="J53">
        <v>3.23</v>
      </c>
      <c r="K53">
        <v>2.65</v>
      </c>
      <c r="N53" s="18"/>
      <c r="O53" s="40"/>
    </row>
    <row r="54" spans="1:15" x14ac:dyDescent="0.25">
      <c r="A54" t="str">
        <f>COUNTIF($D$2:D54,D54)&amp;D54</f>
        <v>2Slavia Prague</v>
      </c>
      <c r="B54" t="str">
        <f>COUNTIF($E$2:E54,E54)&amp;E54</f>
        <v>2Zlin</v>
      </c>
      <c r="C54" s="20">
        <v>45144</v>
      </c>
      <c r="D54" t="s">
        <v>133</v>
      </c>
      <c r="E54" t="s">
        <v>146</v>
      </c>
      <c r="F54">
        <v>2</v>
      </c>
      <c r="G54">
        <v>1</v>
      </c>
      <c r="H54" t="s">
        <v>109</v>
      </c>
      <c r="I54">
        <v>1.07</v>
      </c>
      <c r="J54">
        <v>10.37</v>
      </c>
      <c r="K54">
        <v>23.71</v>
      </c>
      <c r="N54" s="19"/>
      <c r="O54" s="40"/>
    </row>
    <row r="55" spans="1:15" x14ac:dyDescent="0.25">
      <c r="A55" t="str">
        <f>COUNTIF($D$2:D55,D55)&amp;D55</f>
        <v>2Dukla Praha</v>
      </c>
      <c r="B55" t="str">
        <f>COUNTIF($E$2:E55,E55)&amp;E55</f>
        <v>2Varnsdorf</v>
      </c>
      <c r="C55" s="20">
        <v>45144</v>
      </c>
      <c r="D55" t="s">
        <v>148</v>
      </c>
      <c r="E55" t="s">
        <v>161</v>
      </c>
      <c r="F55">
        <v>4</v>
      </c>
      <c r="G55">
        <v>3</v>
      </c>
      <c r="H55" t="s">
        <v>109</v>
      </c>
      <c r="I55">
        <v>1.66</v>
      </c>
      <c r="J55">
        <v>3.85</v>
      </c>
      <c r="K55">
        <v>4.3</v>
      </c>
      <c r="N55" s="18"/>
      <c r="O55" s="40"/>
    </row>
    <row r="56" spans="1:15" x14ac:dyDescent="0.25">
      <c r="A56" t="str">
        <f>COUNTIF($D$2:D56,D56)&amp;D56</f>
        <v>2Sigma Olomouc B</v>
      </c>
      <c r="B56" t="str">
        <f>COUNTIF($E$2:E56,E56)&amp;E56</f>
        <v>2Prostejov</v>
      </c>
      <c r="C56" s="20">
        <v>45144</v>
      </c>
      <c r="D56" t="s">
        <v>156</v>
      </c>
      <c r="E56" t="s">
        <v>151</v>
      </c>
      <c r="F56">
        <v>1</v>
      </c>
      <c r="G56">
        <v>1</v>
      </c>
      <c r="H56" t="s">
        <v>2</v>
      </c>
      <c r="I56">
        <v>1.75</v>
      </c>
      <c r="J56">
        <v>3.7</v>
      </c>
      <c r="K56">
        <v>3.99</v>
      </c>
      <c r="N56" s="19"/>
      <c r="O56" s="40"/>
    </row>
    <row r="57" spans="1:15" x14ac:dyDescent="0.25">
      <c r="A57" t="str">
        <f>COUNTIF($D$2:D57,D57)&amp;D57</f>
        <v>2Sparta Prague B</v>
      </c>
      <c r="B57" t="str">
        <f>COUNTIF($E$2:E57,E57)&amp;E57</f>
        <v>2Chrudim</v>
      </c>
      <c r="C57" s="20">
        <v>45144</v>
      </c>
      <c r="D57" t="s">
        <v>153</v>
      </c>
      <c r="E57" t="s">
        <v>162</v>
      </c>
      <c r="F57">
        <v>2</v>
      </c>
      <c r="G57">
        <v>0</v>
      </c>
      <c r="H57" t="s">
        <v>109</v>
      </c>
      <c r="I57">
        <v>1.73</v>
      </c>
      <c r="J57">
        <v>3.67</v>
      </c>
      <c r="K57">
        <v>4.08</v>
      </c>
      <c r="N57" s="18"/>
      <c r="O57" s="40"/>
    </row>
    <row r="58" spans="1:15" x14ac:dyDescent="0.25">
      <c r="A58" t="str">
        <f>COUNTIF($D$2:D58,D58)&amp;D58</f>
        <v>3Opava</v>
      </c>
      <c r="B58" t="str">
        <f>COUNTIF($E$2:E58,E58)&amp;E58</f>
        <v>3Lisen</v>
      </c>
      <c r="C58" s="20">
        <v>45149</v>
      </c>
      <c r="D58" t="s">
        <v>155</v>
      </c>
      <c r="E58" t="s">
        <v>150</v>
      </c>
      <c r="F58">
        <v>2</v>
      </c>
      <c r="G58">
        <v>0</v>
      </c>
      <c r="H58" t="s">
        <v>109</v>
      </c>
      <c r="I58">
        <v>2.12</v>
      </c>
      <c r="J58">
        <v>3.13</v>
      </c>
      <c r="K58">
        <v>3.3</v>
      </c>
      <c r="N58" s="19"/>
      <c r="O58" s="40"/>
    </row>
    <row r="59" spans="1:15" x14ac:dyDescent="0.25">
      <c r="A59" t="str">
        <f>COUNTIF($D$2:D59,D59)&amp;D59</f>
        <v>1Jablonec</v>
      </c>
      <c r="B59" t="str">
        <f>COUNTIF($E$2:E59,E59)&amp;E59</f>
        <v>2Sparta Prague</v>
      </c>
      <c r="C59" s="20">
        <v>45150</v>
      </c>
      <c r="D59" t="s">
        <v>143</v>
      </c>
      <c r="E59" t="s">
        <v>132</v>
      </c>
      <c r="F59">
        <v>1</v>
      </c>
      <c r="G59">
        <v>5</v>
      </c>
      <c r="H59" t="s">
        <v>110</v>
      </c>
      <c r="I59">
        <v>3.64</v>
      </c>
      <c r="J59">
        <v>3.36</v>
      </c>
      <c r="K59">
        <v>1.98</v>
      </c>
      <c r="N59" s="18"/>
      <c r="O59" s="40"/>
    </row>
    <row r="60" spans="1:15" x14ac:dyDescent="0.25">
      <c r="A60" t="str">
        <f>COUNTIF($D$2:D60,D60)&amp;D60</f>
        <v>2Banik Ostrava</v>
      </c>
      <c r="B60" t="str">
        <f>COUNTIF($E$2:E60,E60)&amp;E60</f>
        <v>3Hradec Kralove</v>
      </c>
      <c r="C60" s="20">
        <v>45150</v>
      </c>
      <c r="D60" t="s">
        <v>144</v>
      </c>
      <c r="E60" t="s">
        <v>138</v>
      </c>
      <c r="F60">
        <v>2</v>
      </c>
      <c r="G60">
        <v>0</v>
      </c>
      <c r="H60" t="s">
        <v>109</v>
      </c>
      <c r="I60">
        <v>1.82</v>
      </c>
      <c r="J60">
        <v>3.66</v>
      </c>
      <c r="K60">
        <v>3.99</v>
      </c>
      <c r="N60" s="19"/>
      <c r="O60" s="40"/>
    </row>
    <row r="61" spans="1:15" x14ac:dyDescent="0.25">
      <c r="A61" t="str">
        <f>COUNTIF($D$2:D61,D61)&amp;D61</f>
        <v>2Zlin</v>
      </c>
      <c r="B61" t="str">
        <f>COUNTIF($E$2:E61,E61)&amp;E61</f>
        <v>2Slovan Liberec</v>
      </c>
      <c r="C61" s="20">
        <v>45150</v>
      </c>
      <c r="D61" t="s">
        <v>146</v>
      </c>
      <c r="E61" t="s">
        <v>139</v>
      </c>
      <c r="F61">
        <v>1</v>
      </c>
      <c r="G61">
        <v>1</v>
      </c>
      <c r="H61" t="s">
        <v>2</v>
      </c>
      <c r="I61">
        <v>2.76</v>
      </c>
      <c r="J61">
        <v>3.47</v>
      </c>
      <c r="K61">
        <v>2.35</v>
      </c>
      <c r="N61" s="18"/>
      <c r="O61" s="40"/>
    </row>
    <row r="62" spans="1:15" x14ac:dyDescent="0.25">
      <c r="A62" t="str">
        <f>COUNTIF($D$2:D62,D62)&amp;D62</f>
        <v>3Zbrojovka Brno</v>
      </c>
      <c r="B62" t="str">
        <f>COUNTIF($E$2:E62,E62)&amp;E62</f>
        <v>3Chrudim</v>
      </c>
      <c r="C62" s="20">
        <v>45150</v>
      </c>
      <c r="D62" t="s">
        <v>158</v>
      </c>
      <c r="E62" t="s">
        <v>162</v>
      </c>
      <c r="F62">
        <v>4</v>
      </c>
      <c r="G62">
        <v>1</v>
      </c>
      <c r="H62" t="s">
        <v>109</v>
      </c>
      <c r="I62">
        <v>1.31</v>
      </c>
      <c r="J62">
        <v>4.78</v>
      </c>
      <c r="K62">
        <v>8.19</v>
      </c>
      <c r="N62" s="19"/>
      <c r="O62" s="40"/>
    </row>
    <row r="63" spans="1:15" x14ac:dyDescent="0.25">
      <c r="A63" t="str">
        <f>COUNTIF($D$2:D63,D63)&amp;D63</f>
        <v>2Pribram</v>
      </c>
      <c r="B63" t="str">
        <f>COUNTIF($E$2:E63,E63)&amp;E63</f>
        <v>3Han. Kromeriz</v>
      </c>
      <c r="C63" s="20">
        <v>45150</v>
      </c>
      <c r="D63" t="s">
        <v>159</v>
      </c>
      <c r="E63" t="s">
        <v>163</v>
      </c>
      <c r="F63">
        <v>1</v>
      </c>
      <c r="G63">
        <v>3</v>
      </c>
      <c r="H63" t="s">
        <v>110</v>
      </c>
      <c r="I63">
        <v>1.6</v>
      </c>
      <c r="J63">
        <v>3.86</v>
      </c>
      <c r="K63">
        <v>4.7699999999999996</v>
      </c>
      <c r="N63" s="18"/>
      <c r="O63" s="40"/>
    </row>
    <row r="64" spans="1:15" x14ac:dyDescent="0.25">
      <c r="A64" t="str">
        <f>COUNTIF($D$2:D64,D64)&amp;D64</f>
        <v>3Prostejov</v>
      </c>
      <c r="B64" t="str">
        <f>COUNTIF($E$2:E64,E64)&amp;E64</f>
        <v>3Vlasim</v>
      </c>
      <c r="C64" s="20">
        <v>45150</v>
      </c>
      <c r="D64" t="s">
        <v>151</v>
      </c>
      <c r="E64" t="s">
        <v>157</v>
      </c>
      <c r="F64">
        <v>0</v>
      </c>
      <c r="G64">
        <v>1</v>
      </c>
      <c r="H64" t="s">
        <v>110</v>
      </c>
      <c r="I64">
        <v>2.4</v>
      </c>
      <c r="J64">
        <v>3.42</v>
      </c>
      <c r="K64">
        <v>2.62</v>
      </c>
      <c r="N64" s="19"/>
      <c r="O64" s="40"/>
    </row>
    <row r="65" spans="1:15" x14ac:dyDescent="0.25">
      <c r="A65" t="str">
        <f>COUNTIF($D$2:D65,D65)&amp;D65</f>
        <v>2C. Budejovice</v>
      </c>
      <c r="B65" t="str">
        <f>COUNTIF($E$2:E65,E65)&amp;E65</f>
        <v>2Viktoria Plzen</v>
      </c>
      <c r="C65" s="20">
        <v>45151</v>
      </c>
      <c r="D65" t="s">
        <v>147</v>
      </c>
      <c r="E65" t="s">
        <v>141</v>
      </c>
      <c r="F65">
        <v>2</v>
      </c>
      <c r="G65">
        <v>5</v>
      </c>
      <c r="H65" t="s">
        <v>110</v>
      </c>
      <c r="I65">
        <v>4.6900000000000004</v>
      </c>
      <c r="J65">
        <v>4.0199999999999996</v>
      </c>
      <c r="K65">
        <v>1.62</v>
      </c>
      <c r="N65" s="18"/>
      <c r="O65" s="40"/>
    </row>
    <row r="66" spans="1:15" x14ac:dyDescent="0.25">
      <c r="A66" t="str">
        <f>COUNTIF($D$2:D66,D66)&amp;D66</f>
        <v>2Bohemians</v>
      </c>
      <c r="B66" t="str">
        <f>COUNTIF($E$2:E66,E66)&amp;E66</f>
        <v>2Slovacko</v>
      </c>
      <c r="C66" s="20">
        <v>45151</v>
      </c>
      <c r="D66" t="s">
        <v>137</v>
      </c>
      <c r="E66" t="s">
        <v>140</v>
      </c>
      <c r="F66">
        <v>0</v>
      </c>
      <c r="G66">
        <v>1</v>
      </c>
      <c r="H66" t="s">
        <v>110</v>
      </c>
      <c r="I66">
        <v>2.34</v>
      </c>
      <c r="J66">
        <v>3.27</v>
      </c>
      <c r="K66">
        <v>2.89</v>
      </c>
      <c r="N66" s="19"/>
      <c r="O66" s="40"/>
    </row>
    <row r="67" spans="1:15" x14ac:dyDescent="0.25">
      <c r="A67" t="str">
        <f>COUNTIF($D$2:D67,D67)&amp;D67</f>
        <v>3Pardubice</v>
      </c>
      <c r="B67" t="str">
        <f>COUNTIF($E$2:E67,E67)&amp;E67</f>
        <v>2Karvina</v>
      </c>
      <c r="C67" s="20">
        <v>45151</v>
      </c>
      <c r="D67" t="s">
        <v>145</v>
      </c>
      <c r="E67" t="s">
        <v>142</v>
      </c>
      <c r="F67">
        <v>2</v>
      </c>
      <c r="G67">
        <v>1</v>
      </c>
      <c r="H67" t="s">
        <v>109</v>
      </c>
      <c r="I67">
        <v>1.84</v>
      </c>
      <c r="J67">
        <v>3.72</v>
      </c>
      <c r="K67">
        <v>3.84</v>
      </c>
      <c r="N67" s="18"/>
      <c r="O67" s="40"/>
    </row>
    <row r="68" spans="1:15" x14ac:dyDescent="0.25">
      <c r="A68" t="str">
        <f>COUNTIF($D$2:D68,D68)&amp;D68</f>
        <v>2Sigma Olomouc</v>
      </c>
      <c r="B68" t="str">
        <f>COUNTIF($E$2:E68,E68)&amp;E68</f>
        <v>2Teplice</v>
      </c>
      <c r="C68" s="20">
        <v>45151</v>
      </c>
      <c r="D68" t="s">
        <v>136</v>
      </c>
      <c r="E68" t="s">
        <v>135</v>
      </c>
      <c r="F68">
        <v>2</v>
      </c>
      <c r="G68">
        <v>1</v>
      </c>
      <c r="H68" t="s">
        <v>109</v>
      </c>
      <c r="I68">
        <v>1.42</v>
      </c>
      <c r="J68">
        <v>4.43</v>
      </c>
      <c r="K68">
        <v>6.78</v>
      </c>
      <c r="N68" s="19"/>
    </row>
    <row r="69" spans="1:15" x14ac:dyDescent="0.25">
      <c r="A69" t="str">
        <f>COUNTIF($D$2:D69,D69)&amp;D69</f>
        <v>3Mlada Boleslav</v>
      </c>
      <c r="B69" t="str">
        <f>COUNTIF($E$2:E69,E69)&amp;E69</f>
        <v>2Slavia Prague</v>
      </c>
      <c r="C69" s="20">
        <v>45151</v>
      </c>
      <c r="D69" t="s">
        <v>134</v>
      </c>
      <c r="E69" t="s">
        <v>133</v>
      </c>
      <c r="F69">
        <v>0</v>
      </c>
      <c r="G69">
        <v>1</v>
      </c>
      <c r="H69" t="s">
        <v>110</v>
      </c>
      <c r="I69">
        <v>4.92</v>
      </c>
      <c r="J69">
        <v>4.18</v>
      </c>
      <c r="K69">
        <v>1.57</v>
      </c>
      <c r="N69" s="18"/>
    </row>
    <row r="70" spans="1:15" x14ac:dyDescent="0.25">
      <c r="A70" t="str">
        <f>COUNTIF($D$2:D70,D70)&amp;D70</f>
        <v>3Jihlava</v>
      </c>
      <c r="B70" t="str">
        <f>COUNTIF($E$2:E70,E70)&amp;E70</f>
        <v>2Taborsko</v>
      </c>
      <c r="C70" s="20">
        <v>45151</v>
      </c>
      <c r="D70" t="s">
        <v>149</v>
      </c>
      <c r="E70" t="s">
        <v>152</v>
      </c>
      <c r="F70">
        <v>3</v>
      </c>
      <c r="G70">
        <v>0</v>
      </c>
      <c r="H70" t="s">
        <v>109</v>
      </c>
      <c r="I70">
        <v>2.34</v>
      </c>
      <c r="J70">
        <v>3.21</v>
      </c>
      <c r="K70">
        <v>2.83</v>
      </c>
      <c r="N70" s="19"/>
    </row>
    <row r="71" spans="1:15" x14ac:dyDescent="0.25">
      <c r="A71" t="str">
        <f>COUNTIF($D$2:D71,D71)&amp;D71</f>
        <v>3Varnsdorf</v>
      </c>
      <c r="B71" t="str">
        <f>COUNTIF($E$2:E71,E71)&amp;E71</f>
        <v>3Sparta Prague B</v>
      </c>
      <c r="C71" s="20">
        <v>45151</v>
      </c>
      <c r="D71" t="s">
        <v>161</v>
      </c>
      <c r="E71" t="s">
        <v>153</v>
      </c>
      <c r="F71">
        <v>2</v>
      </c>
      <c r="G71">
        <v>2</v>
      </c>
      <c r="H71" t="s">
        <v>2</v>
      </c>
      <c r="I71">
        <v>1.96</v>
      </c>
      <c r="J71">
        <v>3.65</v>
      </c>
      <c r="K71">
        <v>3.25</v>
      </c>
      <c r="N71" s="18"/>
    </row>
    <row r="72" spans="1:15" x14ac:dyDescent="0.25">
      <c r="A72" t="str">
        <f>COUNTIF($D$2:D72,D72)&amp;D72</f>
        <v>3Vyskov</v>
      </c>
      <c r="B72" t="str">
        <f>COUNTIF($E$2:E72,E72)&amp;E72</f>
        <v>3Sigma Olomouc B</v>
      </c>
      <c r="C72" s="20">
        <v>45152</v>
      </c>
      <c r="D72" t="s">
        <v>154</v>
      </c>
      <c r="E72" t="s">
        <v>156</v>
      </c>
      <c r="F72">
        <v>1</v>
      </c>
      <c r="G72">
        <v>0</v>
      </c>
      <c r="H72" t="s">
        <v>109</v>
      </c>
      <c r="I72">
        <v>1.55</v>
      </c>
      <c r="J72">
        <v>3.97</v>
      </c>
      <c r="K72">
        <v>5.0199999999999996</v>
      </c>
      <c r="N72" s="19"/>
    </row>
    <row r="73" spans="1:15" x14ac:dyDescent="0.25">
      <c r="A73" t="str">
        <f>COUNTIF($D$2:D73,D73)&amp;D73</f>
        <v>3Vikto Zizkov</v>
      </c>
      <c r="B73" t="str">
        <f>COUNTIF($E$2:E73,E73)&amp;E73</f>
        <v>3Dukla Praha</v>
      </c>
      <c r="C73" s="20">
        <v>45152</v>
      </c>
      <c r="D73" t="s">
        <v>160</v>
      </c>
      <c r="E73" t="s">
        <v>148</v>
      </c>
      <c r="F73">
        <v>1</v>
      </c>
      <c r="G73">
        <v>5</v>
      </c>
      <c r="H73" t="s">
        <v>110</v>
      </c>
      <c r="I73">
        <v>2.73</v>
      </c>
      <c r="J73">
        <v>3.48</v>
      </c>
      <c r="K73">
        <v>2.27</v>
      </c>
      <c r="N73" s="18"/>
    </row>
    <row r="74" spans="1:15" x14ac:dyDescent="0.25">
      <c r="A74" t="str">
        <f>COUNTIF($D$2:D74,D74)&amp;D74</f>
        <v>3Sparta Prague B</v>
      </c>
      <c r="B74" t="str">
        <f>COUNTIF($E$2:E74,E74)&amp;E74</f>
        <v>3Zbrojovka Brno</v>
      </c>
      <c r="C74" s="20">
        <v>45156</v>
      </c>
      <c r="D74" t="s">
        <v>153</v>
      </c>
      <c r="E74" t="s">
        <v>158</v>
      </c>
      <c r="F74">
        <v>1</v>
      </c>
      <c r="G74">
        <v>2</v>
      </c>
      <c r="H74" t="s">
        <v>110</v>
      </c>
      <c r="I74">
        <v>3.91</v>
      </c>
      <c r="J74">
        <v>3.71</v>
      </c>
      <c r="K74">
        <v>1.76</v>
      </c>
      <c r="N74" s="19"/>
    </row>
    <row r="75" spans="1:15" x14ac:dyDescent="0.25">
      <c r="A75" t="str">
        <f>COUNTIF($D$2:D75,D75)&amp;D75</f>
        <v>3Karvina</v>
      </c>
      <c r="B75" t="str">
        <f>COUNTIF($E$2:E75,E75)&amp;E75</f>
        <v>4Jablonec</v>
      </c>
      <c r="C75" s="20">
        <v>45157</v>
      </c>
      <c r="D75" t="s">
        <v>142</v>
      </c>
      <c r="E75" t="s">
        <v>143</v>
      </c>
      <c r="F75">
        <v>1</v>
      </c>
      <c r="G75">
        <v>1</v>
      </c>
      <c r="H75" t="s">
        <v>2</v>
      </c>
      <c r="I75">
        <v>2.48</v>
      </c>
      <c r="J75">
        <v>3.44</v>
      </c>
      <c r="K75">
        <v>2.62</v>
      </c>
      <c r="N75" s="19"/>
    </row>
    <row r="76" spans="1:15" x14ac:dyDescent="0.25">
      <c r="A76" t="str">
        <f>COUNTIF($D$2:D76,D76)&amp;D76</f>
        <v>3Slovan Liberec</v>
      </c>
      <c r="B76" t="str">
        <f>COUNTIF($E$2:E76,E76)&amp;E76</f>
        <v>2Pardubice</v>
      </c>
      <c r="C76" s="20">
        <v>45157</v>
      </c>
      <c r="D76" t="s">
        <v>139</v>
      </c>
      <c r="E76" t="s">
        <v>145</v>
      </c>
      <c r="F76">
        <v>1</v>
      </c>
      <c r="G76">
        <v>0</v>
      </c>
      <c r="H76" t="s">
        <v>109</v>
      </c>
      <c r="I76">
        <v>1.73</v>
      </c>
      <c r="J76">
        <v>3.95</v>
      </c>
      <c r="K76">
        <v>4.13</v>
      </c>
      <c r="N76" s="18"/>
    </row>
    <row r="77" spans="1:15" x14ac:dyDescent="0.25">
      <c r="A77" t="str">
        <f>COUNTIF($D$2:D77,D77)&amp;D77</f>
        <v>3Teplice</v>
      </c>
      <c r="B77" t="str">
        <f>COUNTIF($E$2:E77,E77)&amp;E77</f>
        <v>3Sparta Prague</v>
      </c>
      <c r="C77" s="20">
        <v>45157</v>
      </c>
      <c r="D77" t="s">
        <v>135</v>
      </c>
      <c r="E77" t="s">
        <v>132</v>
      </c>
      <c r="F77">
        <v>1</v>
      </c>
      <c r="G77">
        <v>1</v>
      </c>
      <c r="H77" t="s">
        <v>2</v>
      </c>
      <c r="I77">
        <v>9.0500000000000007</v>
      </c>
      <c r="J77">
        <v>5.1100000000000003</v>
      </c>
      <c r="K77">
        <v>1.3</v>
      </c>
      <c r="N77" s="19"/>
    </row>
    <row r="78" spans="1:15" x14ac:dyDescent="0.25">
      <c r="A78" t="str">
        <f>COUNTIF($D$2:D78,D78)&amp;D78</f>
        <v>3Slovacko</v>
      </c>
      <c r="B78" t="str">
        <f>COUNTIF($E$2:E78,E78)&amp;E78</f>
        <v>2Mlada Boleslav</v>
      </c>
      <c r="C78" s="20">
        <v>45157</v>
      </c>
      <c r="D78" t="s">
        <v>140</v>
      </c>
      <c r="E78" t="s">
        <v>134</v>
      </c>
      <c r="F78">
        <v>2</v>
      </c>
      <c r="G78">
        <v>2</v>
      </c>
      <c r="H78" t="s">
        <v>2</v>
      </c>
      <c r="I78">
        <v>1.91</v>
      </c>
      <c r="J78">
        <v>3.43</v>
      </c>
      <c r="K78">
        <v>3.88</v>
      </c>
      <c r="N78" s="18"/>
    </row>
    <row r="79" spans="1:15" x14ac:dyDescent="0.25">
      <c r="A79" t="str">
        <f>COUNTIF($D$2:D79,D79)&amp;D79</f>
        <v>3Han. Kromeriz</v>
      </c>
      <c r="B79" t="str">
        <f>COUNTIF($E$2:E79,E79)&amp;E79</f>
        <v>3Opava</v>
      </c>
      <c r="C79" s="20">
        <v>45157</v>
      </c>
      <c r="D79" t="s">
        <v>163</v>
      </c>
      <c r="E79" t="s">
        <v>155</v>
      </c>
      <c r="F79">
        <v>0</v>
      </c>
      <c r="G79">
        <v>1</v>
      </c>
      <c r="H79" t="s">
        <v>110</v>
      </c>
      <c r="I79">
        <v>2.59</v>
      </c>
      <c r="J79">
        <v>3.27</v>
      </c>
      <c r="K79">
        <v>2.5</v>
      </c>
      <c r="N79" s="19"/>
    </row>
    <row r="80" spans="1:15" x14ac:dyDescent="0.25">
      <c r="A80" t="str">
        <f>COUNTIF($D$2:D80,D80)&amp;D80</f>
        <v>3Dukla Praha</v>
      </c>
      <c r="B80" t="str">
        <f>COUNTIF($E$2:E80,E80)&amp;E80</f>
        <v>3Jihlava</v>
      </c>
      <c r="C80" s="20">
        <v>45157</v>
      </c>
      <c r="D80" t="s">
        <v>148</v>
      </c>
      <c r="E80" t="s">
        <v>149</v>
      </c>
      <c r="F80">
        <v>1</v>
      </c>
      <c r="G80">
        <v>0</v>
      </c>
      <c r="H80" t="s">
        <v>109</v>
      </c>
      <c r="I80">
        <v>1.5</v>
      </c>
      <c r="J80">
        <v>4.29</v>
      </c>
      <c r="K80">
        <v>5.3</v>
      </c>
      <c r="N80" s="18"/>
    </row>
    <row r="81" spans="1:14" x14ac:dyDescent="0.25">
      <c r="A81" t="str">
        <f>COUNTIF($D$2:D81,D81)&amp;D81</f>
        <v>3Chrudim</v>
      </c>
      <c r="B81" t="str">
        <f>COUNTIF($E$2:E81,E81)&amp;E81</f>
        <v>3Prostejov</v>
      </c>
      <c r="C81" s="20">
        <v>45157</v>
      </c>
      <c r="D81" t="s">
        <v>162</v>
      </c>
      <c r="E81" t="s">
        <v>151</v>
      </c>
      <c r="F81">
        <v>6</v>
      </c>
      <c r="G81">
        <v>2</v>
      </c>
      <c r="H81" t="s">
        <v>109</v>
      </c>
      <c r="I81">
        <v>2.1</v>
      </c>
      <c r="J81">
        <v>3.28</v>
      </c>
      <c r="K81">
        <v>3.19</v>
      </c>
      <c r="N81" s="19"/>
    </row>
    <row r="82" spans="1:14" x14ac:dyDescent="0.25">
      <c r="A82" t="str">
        <f>COUNTIF($D$2:D82,D82)&amp;D82</f>
        <v>3Lisen</v>
      </c>
      <c r="B82" t="str">
        <f>COUNTIF($E$2:E82,E82)&amp;E82</f>
        <v>3Varnsdorf</v>
      </c>
      <c r="C82" s="20">
        <v>45157</v>
      </c>
      <c r="D82" t="s">
        <v>150</v>
      </c>
      <c r="E82" t="s">
        <v>161</v>
      </c>
      <c r="F82">
        <v>2</v>
      </c>
      <c r="G82">
        <v>1</v>
      </c>
      <c r="H82" t="s">
        <v>109</v>
      </c>
      <c r="I82">
        <v>1.95</v>
      </c>
      <c r="J82">
        <v>3.43</v>
      </c>
      <c r="K82">
        <v>3.46</v>
      </c>
      <c r="N82" s="19"/>
    </row>
    <row r="83" spans="1:14" x14ac:dyDescent="0.25">
      <c r="A83" t="str">
        <f>COUNTIF($D$2:D83,D83)&amp;D83</f>
        <v>3Vlasim</v>
      </c>
      <c r="B83" t="str">
        <f>COUNTIF($E$2:E83,E83)&amp;E83</f>
        <v>4Pribram</v>
      </c>
      <c r="C83" s="20">
        <v>45157</v>
      </c>
      <c r="D83" t="s">
        <v>157</v>
      </c>
      <c r="E83" t="s">
        <v>159</v>
      </c>
      <c r="F83">
        <v>3</v>
      </c>
      <c r="G83">
        <v>1</v>
      </c>
      <c r="H83" t="s">
        <v>109</v>
      </c>
      <c r="I83">
        <v>1.8</v>
      </c>
      <c r="J83">
        <v>3.83</v>
      </c>
      <c r="K83">
        <v>3.61</v>
      </c>
      <c r="N83" s="18"/>
    </row>
    <row r="84" spans="1:14" x14ac:dyDescent="0.25">
      <c r="A84" t="str">
        <f>COUNTIF($D$2:D84,D84)&amp;D84</f>
        <v>4Taborsko</v>
      </c>
      <c r="B84" t="str">
        <f>COUNTIF($E$2:E84,E84)&amp;E84</f>
        <v>3Vyskov</v>
      </c>
      <c r="C84" s="20">
        <v>45157</v>
      </c>
      <c r="D84" t="s">
        <v>152</v>
      </c>
      <c r="E84" t="s">
        <v>154</v>
      </c>
      <c r="F84">
        <v>1</v>
      </c>
      <c r="G84">
        <v>1</v>
      </c>
      <c r="H84" t="s">
        <v>2</v>
      </c>
      <c r="I84">
        <v>2.46</v>
      </c>
      <c r="J84">
        <v>3.3</v>
      </c>
      <c r="K84">
        <v>2.62</v>
      </c>
      <c r="N84" s="19"/>
    </row>
    <row r="85" spans="1:14" x14ac:dyDescent="0.25">
      <c r="A85" t="str">
        <f>COUNTIF($D$2:D85,D85)&amp;D85</f>
        <v>3Sigma Olomouc B</v>
      </c>
      <c r="B85" t="str">
        <f>COUNTIF($E$2:E85,E85)&amp;E85</f>
        <v>3Vikto Zizkov</v>
      </c>
      <c r="C85" s="20">
        <v>45157</v>
      </c>
      <c r="D85" t="s">
        <v>156</v>
      </c>
      <c r="E85" t="s">
        <v>160</v>
      </c>
      <c r="F85">
        <v>0</v>
      </c>
      <c r="G85">
        <v>2</v>
      </c>
      <c r="H85" t="s">
        <v>110</v>
      </c>
      <c r="I85">
        <v>2.39</v>
      </c>
      <c r="J85">
        <v>3.35</v>
      </c>
      <c r="K85">
        <v>2.65</v>
      </c>
      <c r="N85" s="18"/>
    </row>
    <row r="86" spans="1:14" x14ac:dyDescent="0.25">
      <c r="A86" t="str">
        <f>COUNTIF($D$2:D86,D86)&amp;D86</f>
        <v>2Hradec Kralove</v>
      </c>
      <c r="B86" t="str">
        <f>COUNTIF($E$2:E86,E86)&amp;E86</f>
        <v>3Zlin</v>
      </c>
      <c r="C86" s="20">
        <v>45158</v>
      </c>
      <c r="D86" t="s">
        <v>138</v>
      </c>
      <c r="E86" t="s">
        <v>146</v>
      </c>
      <c r="F86">
        <v>2</v>
      </c>
      <c r="G86">
        <v>0</v>
      </c>
      <c r="H86" t="s">
        <v>109</v>
      </c>
      <c r="I86">
        <v>1.78</v>
      </c>
      <c r="J86">
        <v>3.71</v>
      </c>
      <c r="K86">
        <v>4.1399999999999997</v>
      </c>
      <c r="N86" s="19"/>
    </row>
    <row r="87" spans="1:14" x14ac:dyDescent="0.25">
      <c r="A87" t="str">
        <f>COUNTIF($D$2:D87,D87)&amp;D87</f>
        <v>3C. Budejovice</v>
      </c>
      <c r="B87" t="str">
        <f>COUNTIF($E$2:E87,E87)&amp;E87</f>
        <v>3Bohemians</v>
      </c>
      <c r="C87" s="20">
        <v>45158</v>
      </c>
      <c r="D87" t="s">
        <v>147</v>
      </c>
      <c r="E87" t="s">
        <v>137</v>
      </c>
      <c r="F87">
        <v>3</v>
      </c>
      <c r="G87">
        <v>0</v>
      </c>
      <c r="H87" t="s">
        <v>109</v>
      </c>
      <c r="I87">
        <v>2.92</v>
      </c>
      <c r="J87">
        <v>3.62</v>
      </c>
      <c r="K87">
        <v>2.2000000000000002</v>
      </c>
      <c r="N87" s="19"/>
    </row>
    <row r="88" spans="1:14" x14ac:dyDescent="0.25">
      <c r="A88" t="str">
        <f>COUNTIF($D$2:D88,D88)&amp;D88</f>
        <v>3Slavia Prague</v>
      </c>
      <c r="B88" t="str">
        <f>COUNTIF($E$2:E88,E88)&amp;E88</f>
        <v>3Banik Ostrava</v>
      </c>
      <c r="C88" s="20">
        <v>45158</v>
      </c>
      <c r="D88" t="s">
        <v>133</v>
      </c>
      <c r="E88" t="s">
        <v>144</v>
      </c>
      <c r="F88">
        <v>1</v>
      </c>
      <c r="G88">
        <v>0</v>
      </c>
      <c r="H88" t="s">
        <v>109</v>
      </c>
      <c r="I88">
        <v>1.25</v>
      </c>
      <c r="J88">
        <v>5.83</v>
      </c>
      <c r="K88">
        <v>9.76</v>
      </c>
      <c r="N88" s="19"/>
    </row>
    <row r="89" spans="1:14" x14ac:dyDescent="0.25">
      <c r="A89" t="str">
        <f>COUNTIF($D$2:D89,D89)&amp;D89</f>
        <v>3Viktoria Plzen</v>
      </c>
      <c r="B89" t="str">
        <f>COUNTIF($E$2:E89,E89)&amp;E89</f>
        <v>3Sigma Olomouc</v>
      </c>
      <c r="C89" s="20">
        <v>45158</v>
      </c>
      <c r="D89" t="s">
        <v>141</v>
      </c>
      <c r="E89" t="s">
        <v>136</v>
      </c>
      <c r="F89">
        <v>2</v>
      </c>
      <c r="G89">
        <v>1</v>
      </c>
      <c r="H89" t="s">
        <v>109</v>
      </c>
      <c r="I89">
        <v>1.49</v>
      </c>
      <c r="J89">
        <v>4.38</v>
      </c>
      <c r="K89">
        <v>5.7</v>
      </c>
      <c r="N89" s="18"/>
    </row>
    <row r="90" spans="1:14" x14ac:dyDescent="0.25">
      <c r="A90" t="str">
        <f>COUNTIF($D$2:D90,D90)&amp;D90</f>
        <v>4Jihlava</v>
      </c>
      <c r="B90" t="str">
        <f>COUNTIF($E$2:E90,E90)&amp;E90</f>
        <v>4Chrudim</v>
      </c>
      <c r="C90" s="20">
        <v>45163</v>
      </c>
      <c r="D90" t="s">
        <v>149</v>
      </c>
      <c r="E90" t="s">
        <v>162</v>
      </c>
      <c r="F90">
        <v>3</v>
      </c>
      <c r="G90">
        <v>3</v>
      </c>
      <c r="H90" t="s">
        <v>2</v>
      </c>
      <c r="I90">
        <v>1.59</v>
      </c>
      <c r="J90">
        <v>3.96</v>
      </c>
      <c r="K90">
        <v>4.79</v>
      </c>
      <c r="N90" s="19"/>
    </row>
    <row r="91" spans="1:14" x14ac:dyDescent="0.25">
      <c r="A91" t="str">
        <f>COUNTIF($D$2:D91,D91)&amp;D91</f>
        <v>4Opava</v>
      </c>
      <c r="B91" t="str">
        <f>COUNTIF($E$2:E91,E91)&amp;E91</f>
        <v>4Sigma Olomouc B</v>
      </c>
      <c r="C91" s="20">
        <v>45163</v>
      </c>
      <c r="D91" t="s">
        <v>155</v>
      </c>
      <c r="E91" t="s">
        <v>156</v>
      </c>
      <c r="F91">
        <v>1</v>
      </c>
      <c r="G91">
        <v>2</v>
      </c>
      <c r="H91" t="s">
        <v>110</v>
      </c>
      <c r="I91">
        <v>1.55</v>
      </c>
      <c r="J91">
        <v>3.85</v>
      </c>
      <c r="K91">
        <v>5.44</v>
      </c>
      <c r="N91" s="18"/>
    </row>
    <row r="92" spans="1:14" x14ac:dyDescent="0.25">
      <c r="A92" t="str">
        <f>COUNTIF($D$2:D92,D92)&amp;D92</f>
        <v>3Pribram</v>
      </c>
      <c r="B92" t="str">
        <f>COUNTIF($E$2:E92,E92)&amp;E92</f>
        <v>4Dukla Praha</v>
      </c>
      <c r="C92" s="20">
        <v>45163</v>
      </c>
      <c r="D92" t="s">
        <v>159</v>
      </c>
      <c r="E92" t="s">
        <v>148</v>
      </c>
      <c r="F92">
        <v>0</v>
      </c>
      <c r="G92">
        <v>0</v>
      </c>
      <c r="H92" t="s">
        <v>2</v>
      </c>
      <c r="I92">
        <v>3.58</v>
      </c>
      <c r="J92">
        <v>3.69</v>
      </c>
      <c r="K92">
        <v>1.85</v>
      </c>
      <c r="N92" s="19"/>
    </row>
    <row r="93" spans="1:14" x14ac:dyDescent="0.25">
      <c r="A93" t="str">
        <f>COUNTIF($D$2:D93,D93)&amp;D93</f>
        <v>4Pardubice</v>
      </c>
      <c r="B93" t="str">
        <f>COUNTIF($E$2:E93,E93)&amp;E93</f>
        <v>3Slovacko</v>
      </c>
      <c r="C93" s="20">
        <v>45164</v>
      </c>
      <c r="D93" t="s">
        <v>145</v>
      </c>
      <c r="E93" t="s">
        <v>140</v>
      </c>
      <c r="F93">
        <v>0</v>
      </c>
      <c r="G93">
        <v>1</v>
      </c>
      <c r="H93" t="s">
        <v>110</v>
      </c>
      <c r="I93">
        <v>3.34</v>
      </c>
      <c r="J93">
        <v>3.52</v>
      </c>
      <c r="K93">
        <v>2.0299999999999998</v>
      </c>
      <c r="N93" s="19"/>
    </row>
    <row r="94" spans="1:14" x14ac:dyDescent="0.25">
      <c r="A94" t="str">
        <f>COUNTIF($D$2:D94,D94)&amp;D94</f>
        <v>3Banik Ostrava</v>
      </c>
      <c r="B94" t="str">
        <f>COUNTIF($E$2:E94,E94)&amp;E94</f>
        <v>3C. Budejovice</v>
      </c>
      <c r="C94" s="20">
        <v>45164</v>
      </c>
      <c r="D94" t="s">
        <v>144</v>
      </c>
      <c r="E94" t="s">
        <v>147</v>
      </c>
      <c r="F94">
        <v>2</v>
      </c>
      <c r="G94">
        <v>0</v>
      </c>
      <c r="H94" t="s">
        <v>109</v>
      </c>
      <c r="I94">
        <v>1.41</v>
      </c>
      <c r="J94">
        <v>4.75</v>
      </c>
      <c r="K94">
        <v>6.41</v>
      </c>
      <c r="N94" s="19"/>
    </row>
    <row r="95" spans="1:14" x14ac:dyDescent="0.25">
      <c r="A95" t="str">
        <f>COUNTIF($D$2:D95,D95)&amp;D95</f>
        <v>3Zlin</v>
      </c>
      <c r="B95" t="str">
        <f>COUNTIF($E$2:E95,E95)&amp;E95</f>
        <v>3Teplice</v>
      </c>
      <c r="C95" s="20">
        <v>45164</v>
      </c>
      <c r="D95" t="s">
        <v>146</v>
      </c>
      <c r="E95" t="s">
        <v>135</v>
      </c>
      <c r="F95">
        <v>2</v>
      </c>
      <c r="G95">
        <v>1</v>
      </c>
      <c r="H95" t="s">
        <v>109</v>
      </c>
      <c r="I95">
        <v>2.15</v>
      </c>
      <c r="J95">
        <v>3.45</v>
      </c>
      <c r="K95">
        <v>3.11</v>
      </c>
      <c r="N95" s="18"/>
    </row>
    <row r="96" spans="1:14" x14ac:dyDescent="0.25">
      <c r="A96" t="str">
        <f>COUNTIF($D$2:D96,D96)&amp;D96</f>
        <v>4Lisen</v>
      </c>
      <c r="B96" t="str">
        <f>COUNTIF($E$2:E96,E96)&amp;E96</f>
        <v>4Han. Kromeriz</v>
      </c>
      <c r="C96" s="20">
        <v>45164</v>
      </c>
      <c r="D96" t="s">
        <v>150</v>
      </c>
      <c r="E96" t="s">
        <v>163</v>
      </c>
      <c r="F96">
        <v>1</v>
      </c>
      <c r="G96">
        <v>0</v>
      </c>
      <c r="H96" t="s">
        <v>109</v>
      </c>
      <c r="I96">
        <v>1.69</v>
      </c>
      <c r="J96">
        <v>3.67</v>
      </c>
      <c r="K96">
        <v>4.41</v>
      </c>
      <c r="N96" s="19"/>
    </row>
    <row r="97" spans="1:14" x14ac:dyDescent="0.25">
      <c r="A97" t="str">
        <f>COUNTIF($D$2:D97,D97)&amp;D97</f>
        <v>4Vyskov</v>
      </c>
      <c r="B97" t="str">
        <f>COUNTIF($E$2:E97,E97)&amp;E97</f>
        <v>4Sparta Prague B</v>
      </c>
      <c r="C97" s="20">
        <v>45164</v>
      </c>
      <c r="D97" t="s">
        <v>154</v>
      </c>
      <c r="E97" t="s">
        <v>153</v>
      </c>
      <c r="F97">
        <v>3</v>
      </c>
      <c r="G97">
        <v>1</v>
      </c>
      <c r="H97" t="s">
        <v>109</v>
      </c>
      <c r="I97">
        <v>1.38</v>
      </c>
      <c r="J97">
        <v>4.6500000000000004</v>
      </c>
      <c r="K97">
        <v>6.54</v>
      </c>
      <c r="N97" s="18"/>
    </row>
    <row r="98" spans="1:14" x14ac:dyDescent="0.25">
      <c r="A98" t="str">
        <f>COUNTIF($D$2:D98,D98)&amp;D98</f>
        <v>4Prostejov</v>
      </c>
      <c r="B98" t="str">
        <f>COUNTIF($E$2:E98,E98)&amp;E98</f>
        <v>4Zbrojovka Brno</v>
      </c>
      <c r="C98" s="20">
        <v>45164</v>
      </c>
      <c r="D98" t="s">
        <v>151</v>
      </c>
      <c r="E98" t="s">
        <v>158</v>
      </c>
      <c r="F98">
        <v>0</v>
      </c>
      <c r="G98">
        <v>1</v>
      </c>
      <c r="H98" t="s">
        <v>110</v>
      </c>
      <c r="I98">
        <v>4.41</v>
      </c>
      <c r="J98">
        <v>3.85</v>
      </c>
      <c r="K98">
        <v>1.65</v>
      </c>
      <c r="N98" s="19"/>
    </row>
    <row r="99" spans="1:14" x14ac:dyDescent="0.25">
      <c r="A99" t="str">
        <f>COUNTIF($D$2:D99,D99)&amp;D99</f>
        <v>2Jablonec</v>
      </c>
      <c r="B99" t="str">
        <f>COUNTIF($E$2:E99,E99)&amp;E99</f>
        <v>3Slavia Prague</v>
      </c>
      <c r="C99" s="20">
        <v>45165</v>
      </c>
      <c r="D99" t="s">
        <v>143</v>
      </c>
      <c r="E99" t="s">
        <v>133</v>
      </c>
      <c r="F99">
        <v>1</v>
      </c>
      <c r="G99">
        <v>1</v>
      </c>
      <c r="H99" t="s">
        <v>2</v>
      </c>
      <c r="I99">
        <v>7.03</v>
      </c>
      <c r="J99">
        <v>4.67</v>
      </c>
      <c r="K99">
        <v>1.39</v>
      </c>
      <c r="N99" s="19"/>
    </row>
    <row r="100" spans="1:14" x14ac:dyDescent="0.25">
      <c r="A100" t="str">
        <f>COUNTIF($D$2:D100,D100)&amp;D100</f>
        <v>3Bohemians</v>
      </c>
      <c r="B100" t="str">
        <f>COUNTIF($E$2:E100,E100)&amp;E100</f>
        <v>4Hradec Kralove</v>
      </c>
      <c r="C100" s="20">
        <v>45165</v>
      </c>
      <c r="D100" t="s">
        <v>137</v>
      </c>
      <c r="E100" t="s">
        <v>138</v>
      </c>
      <c r="F100">
        <v>2</v>
      </c>
      <c r="G100">
        <v>1</v>
      </c>
      <c r="H100" t="s">
        <v>109</v>
      </c>
      <c r="I100">
        <v>1.88</v>
      </c>
      <c r="J100">
        <v>3.63</v>
      </c>
      <c r="K100">
        <v>3.74</v>
      </c>
      <c r="N100" s="19"/>
    </row>
    <row r="101" spans="1:14" x14ac:dyDescent="0.25">
      <c r="A101" t="str">
        <f>COUNTIF($D$2:D101,D101)&amp;D101</f>
        <v>3Sparta Prague</v>
      </c>
      <c r="B101" t="str">
        <f>COUNTIF($E$2:E101,E101)&amp;E101</f>
        <v>3Karvina</v>
      </c>
      <c r="C101" s="20">
        <v>45165</v>
      </c>
      <c r="D101" t="s">
        <v>132</v>
      </c>
      <c r="E101" t="s">
        <v>142</v>
      </c>
      <c r="F101">
        <v>3</v>
      </c>
      <c r="G101">
        <v>1</v>
      </c>
      <c r="H101" t="s">
        <v>109</v>
      </c>
      <c r="I101">
        <v>1.23</v>
      </c>
      <c r="J101">
        <v>6.27</v>
      </c>
      <c r="K101">
        <v>10.33</v>
      </c>
      <c r="N101" s="19"/>
    </row>
    <row r="102" spans="1:14" x14ac:dyDescent="0.25">
      <c r="A102" t="str">
        <f>COUNTIF($D$2:D102,D102)&amp;D102</f>
        <v>3Sigma Olomouc</v>
      </c>
      <c r="B102" t="str">
        <f>COUNTIF($E$2:E102,E102)&amp;E102</f>
        <v>3Slovan Liberec</v>
      </c>
      <c r="C102" s="20">
        <v>45165</v>
      </c>
      <c r="D102" t="s">
        <v>136</v>
      </c>
      <c r="E102" t="s">
        <v>139</v>
      </c>
      <c r="F102">
        <v>2</v>
      </c>
      <c r="G102">
        <v>0</v>
      </c>
      <c r="H102" t="s">
        <v>109</v>
      </c>
      <c r="I102">
        <v>1.81</v>
      </c>
      <c r="J102">
        <v>3.61</v>
      </c>
      <c r="K102">
        <v>4.1399999999999997</v>
      </c>
      <c r="N102" s="18"/>
    </row>
    <row r="103" spans="1:14" x14ac:dyDescent="0.25">
      <c r="A103" t="str">
        <f>COUNTIF($D$2:D103,D103)&amp;D103</f>
        <v>4Varnsdorf</v>
      </c>
      <c r="B103" t="str">
        <f>COUNTIF($E$2:E103,E103)&amp;E103</f>
        <v>3Taborsko</v>
      </c>
      <c r="C103" s="20">
        <v>45165</v>
      </c>
      <c r="D103" t="s">
        <v>161</v>
      </c>
      <c r="E103" t="s">
        <v>152</v>
      </c>
      <c r="F103">
        <v>0</v>
      </c>
      <c r="G103">
        <v>2</v>
      </c>
      <c r="H103" t="s">
        <v>110</v>
      </c>
      <c r="I103">
        <v>2.04</v>
      </c>
      <c r="J103">
        <v>3.57</v>
      </c>
      <c r="K103">
        <v>3.11</v>
      </c>
      <c r="N103" s="19"/>
    </row>
    <row r="104" spans="1:14" x14ac:dyDescent="0.25">
      <c r="A104" t="str">
        <f>COUNTIF($D$2:D104,D104)&amp;D104</f>
        <v>4Vikto Zizkov</v>
      </c>
      <c r="B104" t="str">
        <f>COUNTIF($E$2:E104,E104)&amp;E104</f>
        <v>4Vlasim</v>
      </c>
      <c r="C104" s="20">
        <v>45165</v>
      </c>
      <c r="D104" t="s">
        <v>160</v>
      </c>
      <c r="E104" t="s">
        <v>157</v>
      </c>
      <c r="F104">
        <v>0</v>
      </c>
      <c r="G104">
        <v>1</v>
      </c>
      <c r="H104" t="s">
        <v>110</v>
      </c>
      <c r="I104">
        <v>2.25</v>
      </c>
      <c r="J104">
        <v>3.54</v>
      </c>
      <c r="K104">
        <v>2.73</v>
      </c>
      <c r="N104" s="18"/>
    </row>
    <row r="105" spans="1:14" x14ac:dyDescent="0.25">
      <c r="A105" t="str">
        <f>COUNTIF($D$2:D105,D105)&amp;D105</f>
        <v>4Banik Ostrava</v>
      </c>
      <c r="B105" t="str">
        <f>COUNTIF($E$2:E105,E105)&amp;E105</f>
        <v>3Mlada Boleslav</v>
      </c>
      <c r="C105" s="20">
        <v>45171</v>
      </c>
      <c r="D105" t="s">
        <v>144</v>
      </c>
      <c r="E105" t="s">
        <v>134</v>
      </c>
      <c r="F105">
        <v>2</v>
      </c>
      <c r="G105">
        <v>0</v>
      </c>
      <c r="H105" t="s">
        <v>109</v>
      </c>
      <c r="I105">
        <v>2.08</v>
      </c>
      <c r="J105">
        <v>3.48</v>
      </c>
      <c r="K105">
        <v>3.25</v>
      </c>
      <c r="N105" s="19"/>
    </row>
    <row r="106" spans="1:14" x14ac:dyDescent="0.25">
      <c r="A106" t="str">
        <f>COUNTIF($D$2:D106,D106)&amp;D106</f>
        <v>4C. Budejovice</v>
      </c>
      <c r="B106" t="str">
        <f>COUNTIF($E$2:E106,E106)&amp;E106</f>
        <v>5Jablonec</v>
      </c>
      <c r="C106" s="20">
        <v>45171</v>
      </c>
      <c r="D106" t="s">
        <v>147</v>
      </c>
      <c r="E106" t="s">
        <v>143</v>
      </c>
      <c r="F106">
        <v>2</v>
      </c>
      <c r="G106">
        <v>1</v>
      </c>
      <c r="H106" t="s">
        <v>109</v>
      </c>
      <c r="I106">
        <v>2.39</v>
      </c>
      <c r="J106">
        <v>3.47</v>
      </c>
      <c r="K106">
        <v>2.72</v>
      </c>
      <c r="N106" s="19"/>
    </row>
    <row r="107" spans="1:14" x14ac:dyDescent="0.25">
      <c r="A107" t="str">
        <f>COUNTIF($D$2:D107,D107)&amp;D107</f>
        <v>4Teplice</v>
      </c>
      <c r="B107" t="str">
        <f>COUNTIF($E$2:E107,E107)&amp;E107</f>
        <v>3Pardubice</v>
      </c>
      <c r="C107" s="20">
        <v>45171</v>
      </c>
      <c r="D107" t="s">
        <v>135</v>
      </c>
      <c r="E107" t="s">
        <v>145</v>
      </c>
      <c r="F107">
        <v>0</v>
      </c>
      <c r="G107">
        <v>1</v>
      </c>
      <c r="H107" t="s">
        <v>110</v>
      </c>
      <c r="I107">
        <v>2.16</v>
      </c>
      <c r="J107">
        <v>3.37</v>
      </c>
      <c r="K107">
        <v>3.18</v>
      </c>
      <c r="N107" s="19"/>
    </row>
    <row r="108" spans="1:14" x14ac:dyDescent="0.25">
      <c r="A108" t="str">
        <f>COUNTIF($D$2:D108,D108)&amp;D108</f>
        <v>4Slovacko</v>
      </c>
      <c r="B108" t="str">
        <f>COUNTIF($E$2:E108,E108)&amp;E108</f>
        <v>4Zlin</v>
      </c>
      <c r="C108" s="20">
        <v>45171</v>
      </c>
      <c r="D108" t="s">
        <v>140</v>
      </c>
      <c r="E108" t="s">
        <v>146</v>
      </c>
      <c r="F108">
        <v>1</v>
      </c>
      <c r="G108">
        <v>0</v>
      </c>
      <c r="H108" t="s">
        <v>109</v>
      </c>
      <c r="I108">
        <v>1.44</v>
      </c>
      <c r="J108">
        <v>4.49</v>
      </c>
      <c r="K108">
        <v>6.37</v>
      </c>
      <c r="N108" s="19"/>
    </row>
    <row r="109" spans="1:14" x14ac:dyDescent="0.25">
      <c r="A109" t="str">
        <f>COUNTIF($D$2:D109,D109)&amp;D109</f>
        <v>4Vlasim</v>
      </c>
      <c r="B109" t="str">
        <f>COUNTIF($E$2:E109,E109)&amp;E109</f>
        <v>4Jihlava</v>
      </c>
      <c r="C109" s="20">
        <v>45171</v>
      </c>
      <c r="D109" t="s">
        <v>157</v>
      </c>
      <c r="E109" t="s">
        <v>149</v>
      </c>
      <c r="F109">
        <v>1</v>
      </c>
      <c r="G109">
        <v>0</v>
      </c>
      <c r="H109" t="s">
        <v>109</v>
      </c>
      <c r="I109">
        <v>1.69</v>
      </c>
      <c r="J109">
        <v>4.01</v>
      </c>
      <c r="K109">
        <v>3.88</v>
      </c>
      <c r="N109" s="18"/>
    </row>
    <row r="110" spans="1:14" x14ac:dyDescent="0.25">
      <c r="A110" t="str">
        <f>COUNTIF($D$2:D110,D110)&amp;D110</f>
        <v>4Chrudim</v>
      </c>
      <c r="B110" t="str">
        <f>COUNTIF($E$2:E110,E110)&amp;E110</f>
        <v>4Vyskov</v>
      </c>
      <c r="C110" s="20">
        <v>45171</v>
      </c>
      <c r="D110" t="s">
        <v>162</v>
      </c>
      <c r="E110" t="s">
        <v>154</v>
      </c>
      <c r="F110">
        <v>2</v>
      </c>
      <c r="G110">
        <v>1</v>
      </c>
      <c r="H110" t="s">
        <v>109</v>
      </c>
      <c r="I110">
        <v>3.34</v>
      </c>
      <c r="J110">
        <v>3.4</v>
      </c>
      <c r="K110">
        <v>1.99</v>
      </c>
      <c r="N110" s="19"/>
    </row>
    <row r="111" spans="1:14" x14ac:dyDescent="0.25">
      <c r="A111" t="str">
        <f>COUNTIF($D$2:D111,D111)&amp;D111</f>
        <v>4Zbrojovka Brno</v>
      </c>
      <c r="B111" t="str">
        <f>COUNTIF($E$2:E111,E111)&amp;E111</f>
        <v>4Varnsdorf</v>
      </c>
      <c r="C111" s="20">
        <v>45171</v>
      </c>
      <c r="D111" t="s">
        <v>158</v>
      </c>
      <c r="E111" t="s">
        <v>161</v>
      </c>
      <c r="F111">
        <v>1</v>
      </c>
      <c r="G111">
        <v>0</v>
      </c>
      <c r="H111" t="s">
        <v>109</v>
      </c>
      <c r="I111">
        <v>1.37</v>
      </c>
      <c r="J111">
        <v>4.58</v>
      </c>
      <c r="K111">
        <v>6.78</v>
      </c>
      <c r="N111" s="18"/>
    </row>
    <row r="112" spans="1:14" x14ac:dyDescent="0.25">
      <c r="A112" t="str">
        <f>COUNTIF($D$2:D112,D112)&amp;D112</f>
        <v>4Dukla Praha</v>
      </c>
      <c r="B112" t="str">
        <f>COUNTIF($E$2:E112,E112)&amp;E112</f>
        <v>4Lisen</v>
      </c>
      <c r="C112" s="20">
        <v>45171</v>
      </c>
      <c r="D112" t="s">
        <v>148</v>
      </c>
      <c r="E112" t="s">
        <v>150</v>
      </c>
      <c r="F112">
        <v>0</v>
      </c>
      <c r="G112">
        <v>0</v>
      </c>
      <c r="H112" t="s">
        <v>2</v>
      </c>
      <c r="I112">
        <v>1.49</v>
      </c>
      <c r="J112">
        <v>4.0999999999999996</v>
      </c>
      <c r="K112">
        <v>5.69</v>
      </c>
      <c r="N112" s="19"/>
    </row>
    <row r="113" spans="1:14" x14ac:dyDescent="0.25">
      <c r="A113" t="str">
        <f>COUNTIF($D$2:D113,D113)&amp;D113</f>
        <v>5Taborsko</v>
      </c>
      <c r="B113" t="str">
        <f>COUNTIF($E$2:E113,E113)&amp;E113</f>
        <v>4Prostejov</v>
      </c>
      <c r="C113" s="20">
        <v>45171</v>
      </c>
      <c r="D113" t="s">
        <v>152</v>
      </c>
      <c r="E113" t="s">
        <v>151</v>
      </c>
      <c r="F113">
        <v>0</v>
      </c>
      <c r="G113">
        <v>0</v>
      </c>
      <c r="H113" t="s">
        <v>2</v>
      </c>
      <c r="I113">
        <v>1.62</v>
      </c>
      <c r="J113">
        <v>3.89</v>
      </c>
      <c r="K113">
        <v>4.54</v>
      </c>
      <c r="N113" s="19"/>
    </row>
    <row r="114" spans="1:14" x14ac:dyDescent="0.25">
      <c r="A114" t="str">
        <f>COUNTIF($D$2:D114,D114)&amp;D114</f>
        <v>4Han. Kromeriz</v>
      </c>
      <c r="B114" t="str">
        <f>COUNTIF($E$2:E114,E114)&amp;E114</f>
        <v>4Vikto Zizkov</v>
      </c>
      <c r="C114" s="20">
        <v>45171</v>
      </c>
      <c r="D114" t="s">
        <v>163</v>
      </c>
      <c r="E114" t="s">
        <v>160</v>
      </c>
      <c r="F114">
        <v>1</v>
      </c>
      <c r="G114">
        <v>0</v>
      </c>
      <c r="H114" t="s">
        <v>109</v>
      </c>
      <c r="I114">
        <v>2.73</v>
      </c>
      <c r="J114">
        <v>3.37</v>
      </c>
      <c r="K114">
        <v>2.3199999999999998</v>
      </c>
      <c r="N114" s="19"/>
    </row>
    <row r="115" spans="1:14" x14ac:dyDescent="0.25">
      <c r="A115" t="str">
        <f>COUNTIF($D$2:D115,D115)&amp;D115</f>
        <v>4Slavia Prague</v>
      </c>
      <c r="B115" t="str">
        <f>COUNTIF($E$2:E115,E115)&amp;E115</f>
        <v>4Karvina</v>
      </c>
      <c r="C115" s="20">
        <v>45172</v>
      </c>
      <c r="D115" t="s">
        <v>133</v>
      </c>
      <c r="E115" t="s">
        <v>142</v>
      </c>
      <c r="F115">
        <v>5</v>
      </c>
      <c r="G115">
        <v>1</v>
      </c>
      <c r="H115" t="s">
        <v>109</v>
      </c>
      <c r="I115">
        <v>1.1000000000000001</v>
      </c>
      <c r="J115">
        <v>9.14</v>
      </c>
      <c r="K115">
        <v>20.45</v>
      </c>
      <c r="N115" s="19"/>
    </row>
    <row r="116" spans="1:14" x14ac:dyDescent="0.25">
      <c r="A116" t="str">
        <f>COUNTIF($D$2:D116,D116)&amp;D116</f>
        <v>3Hradec Kralove</v>
      </c>
      <c r="B116" t="str">
        <f>COUNTIF($E$2:E116,E116)&amp;E116</f>
        <v>4Sigma Olomouc</v>
      </c>
      <c r="C116" s="20">
        <v>45172</v>
      </c>
      <c r="D116" t="s">
        <v>138</v>
      </c>
      <c r="E116" t="s">
        <v>136</v>
      </c>
      <c r="F116">
        <v>1</v>
      </c>
      <c r="G116">
        <v>3</v>
      </c>
      <c r="H116" t="s">
        <v>110</v>
      </c>
      <c r="I116">
        <v>2.61</v>
      </c>
      <c r="J116">
        <v>3.28</v>
      </c>
      <c r="K116">
        <v>2.57</v>
      </c>
      <c r="N116" s="18"/>
    </row>
    <row r="117" spans="1:14" x14ac:dyDescent="0.25">
      <c r="A117" t="str">
        <f>COUNTIF($D$2:D117,D117)&amp;D117</f>
        <v>4Slovan Liberec</v>
      </c>
      <c r="B117" t="str">
        <f>COUNTIF($E$2:E117,E117)&amp;E117</f>
        <v>4Sparta Prague</v>
      </c>
      <c r="C117" s="20">
        <v>45172</v>
      </c>
      <c r="D117" t="s">
        <v>139</v>
      </c>
      <c r="E117" t="s">
        <v>132</v>
      </c>
      <c r="F117">
        <v>0</v>
      </c>
      <c r="G117">
        <v>2</v>
      </c>
      <c r="H117" t="s">
        <v>110</v>
      </c>
      <c r="I117">
        <v>5.14</v>
      </c>
      <c r="J117">
        <v>4.03</v>
      </c>
      <c r="K117">
        <v>1.59</v>
      </c>
      <c r="N117" s="19"/>
    </row>
    <row r="118" spans="1:14" x14ac:dyDescent="0.25">
      <c r="A118" t="str">
        <f>COUNTIF($D$2:D118,D118)&amp;D118</f>
        <v>4Viktoria Plzen</v>
      </c>
      <c r="B118" t="str">
        <f>COUNTIF($E$2:E118,E118)&amp;E118</f>
        <v>4Bohemians</v>
      </c>
      <c r="C118" s="20">
        <v>45172</v>
      </c>
      <c r="D118" t="s">
        <v>141</v>
      </c>
      <c r="E118" t="s">
        <v>137</v>
      </c>
      <c r="F118">
        <v>2</v>
      </c>
      <c r="G118">
        <v>0</v>
      </c>
      <c r="H118" t="s">
        <v>109</v>
      </c>
      <c r="I118">
        <v>1.31</v>
      </c>
      <c r="J118">
        <v>5.34</v>
      </c>
      <c r="K118">
        <v>8.2200000000000006</v>
      </c>
      <c r="N118" s="18"/>
    </row>
    <row r="119" spans="1:14" x14ac:dyDescent="0.25">
      <c r="A119" t="str">
        <f>COUNTIF($D$2:D119,D119)&amp;D119</f>
        <v>4Sigma Olomouc B</v>
      </c>
      <c r="B119" t="str">
        <f>COUNTIF($E$2:E119,E119)&amp;E119</f>
        <v>5Pribram</v>
      </c>
      <c r="C119" s="20">
        <v>45172</v>
      </c>
      <c r="D119" t="s">
        <v>156</v>
      </c>
      <c r="E119" t="s">
        <v>159</v>
      </c>
      <c r="F119">
        <v>2</v>
      </c>
      <c r="G119">
        <v>1</v>
      </c>
      <c r="H119" t="s">
        <v>109</v>
      </c>
      <c r="I119">
        <v>2.0299999999999998</v>
      </c>
      <c r="J119">
        <v>3.43</v>
      </c>
      <c r="K119">
        <v>3.24</v>
      </c>
      <c r="N119" s="19"/>
    </row>
    <row r="120" spans="1:14" x14ac:dyDescent="0.25">
      <c r="A120" t="str">
        <f>COUNTIF($D$2:D120,D120)&amp;D120</f>
        <v>4Sparta Prague B</v>
      </c>
      <c r="B120" t="str">
        <f>COUNTIF($E$2:E120,E120)&amp;E120</f>
        <v>4Opava</v>
      </c>
      <c r="C120" s="20">
        <v>45172</v>
      </c>
      <c r="D120" t="s">
        <v>153</v>
      </c>
      <c r="E120" t="s">
        <v>155</v>
      </c>
      <c r="F120">
        <v>0</v>
      </c>
      <c r="G120">
        <v>0</v>
      </c>
      <c r="H120" t="s">
        <v>2</v>
      </c>
      <c r="I120">
        <v>2.72</v>
      </c>
      <c r="J120">
        <v>3.4</v>
      </c>
      <c r="K120">
        <v>2.31</v>
      </c>
      <c r="N120" s="19"/>
    </row>
    <row r="121" spans="1:14" x14ac:dyDescent="0.25">
      <c r="A121" t="str">
        <f>COUNTIF($D$2:D121,D121)&amp;D121</f>
        <v>5Jihlava</v>
      </c>
      <c r="B121" t="str">
        <f>COUNTIF($E$2:E121,E121)&amp;E121</f>
        <v>5Zbrojovka Brno</v>
      </c>
      <c r="C121" s="20">
        <v>45184</v>
      </c>
      <c r="D121" t="s">
        <v>149</v>
      </c>
      <c r="E121" t="s">
        <v>158</v>
      </c>
      <c r="F121">
        <v>0</v>
      </c>
      <c r="G121">
        <v>1</v>
      </c>
      <c r="H121" t="s">
        <v>110</v>
      </c>
      <c r="I121">
        <v>3.13</v>
      </c>
      <c r="J121">
        <v>3.46</v>
      </c>
      <c r="K121">
        <v>2.06</v>
      </c>
      <c r="N121" s="19"/>
    </row>
    <row r="122" spans="1:14" x14ac:dyDescent="0.25">
      <c r="A122" t="str">
        <f>COUNTIF($D$2:D122,D122)&amp;D122</f>
        <v>5Opava</v>
      </c>
      <c r="B122" t="str">
        <f>COUNTIF($E$2:E122,E122)&amp;E122</f>
        <v>5Dukla Praha</v>
      </c>
      <c r="C122" s="20">
        <v>45184</v>
      </c>
      <c r="D122" t="s">
        <v>155</v>
      </c>
      <c r="E122" t="s">
        <v>148</v>
      </c>
      <c r="F122">
        <v>1</v>
      </c>
      <c r="G122">
        <v>0</v>
      </c>
      <c r="H122" t="s">
        <v>109</v>
      </c>
      <c r="I122">
        <v>2.2799999999999998</v>
      </c>
      <c r="J122">
        <v>3.28</v>
      </c>
      <c r="K122">
        <v>2.84</v>
      </c>
      <c r="N122" s="19"/>
    </row>
    <row r="123" spans="1:14" x14ac:dyDescent="0.25">
      <c r="A123" t="str">
        <f>COUNTIF($D$2:D123,D123)&amp;D123</f>
        <v>4Pribram</v>
      </c>
      <c r="B123" t="str">
        <f>COUNTIF($E$2:E123,E123)&amp;E123</f>
        <v>5Sparta Prague B</v>
      </c>
      <c r="C123" s="20">
        <v>45184</v>
      </c>
      <c r="D123" t="s">
        <v>159</v>
      </c>
      <c r="E123" t="s">
        <v>153</v>
      </c>
      <c r="F123">
        <v>2</v>
      </c>
      <c r="G123">
        <v>1</v>
      </c>
      <c r="H123" t="s">
        <v>109</v>
      </c>
      <c r="I123">
        <v>1.81</v>
      </c>
      <c r="J123">
        <v>3.6</v>
      </c>
      <c r="K123">
        <v>3.85</v>
      </c>
      <c r="N123" s="19"/>
    </row>
    <row r="124" spans="1:14" x14ac:dyDescent="0.25">
      <c r="A124" t="str">
        <f>COUNTIF($D$2:D124,D124)&amp;D124</f>
        <v>5Pardubice</v>
      </c>
      <c r="B124" t="str">
        <f>COUNTIF($E$2:E124,E124)&amp;E124</f>
        <v>4Slavia Prague</v>
      </c>
      <c r="C124" s="20">
        <v>45185</v>
      </c>
      <c r="D124" t="s">
        <v>145</v>
      </c>
      <c r="E124" t="s">
        <v>133</v>
      </c>
      <c r="F124">
        <v>0</v>
      </c>
      <c r="G124">
        <v>1</v>
      </c>
      <c r="H124" t="s">
        <v>110</v>
      </c>
      <c r="I124">
        <v>10.36</v>
      </c>
      <c r="J124">
        <v>5.89</v>
      </c>
      <c r="K124">
        <v>1.24</v>
      </c>
      <c r="N124" s="18"/>
    </row>
    <row r="125" spans="1:14" x14ac:dyDescent="0.25">
      <c r="A125" t="str">
        <f>COUNTIF($D$2:D125,D125)&amp;D125</f>
        <v>4Bohemians</v>
      </c>
      <c r="B125" t="str">
        <f>COUNTIF($E$2:E125,E125)&amp;E125</f>
        <v>4Banik Ostrava</v>
      </c>
      <c r="C125" s="20">
        <v>45185</v>
      </c>
      <c r="D125" t="s">
        <v>137</v>
      </c>
      <c r="E125" t="s">
        <v>144</v>
      </c>
      <c r="F125">
        <v>1</v>
      </c>
      <c r="G125">
        <v>1</v>
      </c>
      <c r="H125" t="s">
        <v>2</v>
      </c>
      <c r="I125">
        <v>2.2599999999999998</v>
      </c>
      <c r="J125">
        <v>3.48</v>
      </c>
      <c r="K125">
        <v>2.92</v>
      </c>
      <c r="N125" s="19"/>
    </row>
    <row r="126" spans="1:14" x14ac:dyDescent="0.25">
      <c r="A126" t="str">
        <f>COUNTIF($D$2:D126,D126)&amp;D126</f>
        <v>4Karvina</v>
      </c>
      <c r="B126" t="str">
        <f>COUNTIF($E$2:E126,E126)&amp;E126</f>
        <v>4Teplice</v>
      </c>
      <c r="C126" s="20">
        <v>45185</v>
      </c>
      <c r="D126" t="s">
        <v>142</v>
      </c>
      <c r="E126" t="s">
        <v>135</v>
      </c>
      <c r="F126">
        <v>0</v>
      </c>
      <c r="G126">
        <v>1</v>
      </c>
      <c r="H126" t="s">
        <v>110</v>
      </c>
      <c r="I126">
        <v>2.14</v>
      </c>
      <c r="J126">
        <v>3.41</v>
      </c>
      <c r="K126">
        <v>3.22</v>
      </c>
      <c r="N126" s="18"/>
    </row>
    <row r="127" spans="1:14" x14ac:dyDescent="0.25">
      <c r="A127" t="str">
        <f>COUNTIF($D$2:D127,D127)&amp;D127</f>
        <v>4Sigma Olomouc</v>
      </c>
      <c r="B127" t="str">
        <f>COUNTIF($E$2:E127,E127)&amp;E127</f>
        <v>4C. Budejovice</v>
      </c>
      <c r="C127" s="20">
        <v>45185</v>
      </c>
      <c r="D127" t="s">
        <v>136</v>
      </c>
      <c r="E127" t="s">
        <v>147</v>
      </c>
      <c r="F127">
        <v>2</v>
      </c>
      <c r="G127">
        <v>1</v>
      </c>
      <c r="H127" t="s">
        <v>109</v>
      </c>
      <c r="I127">
        <v>1.49</v>
      </c>
      <c r="J127">
        <v>4.3099999999999996</v>
      </c>
      <c r="K127">
        <v>5.93</v>
      </c>
      <c r="N127" s="19"/>
    </row>
    <row r="128" spans="1:14" x14ac:dyDescent="0.25">
      <c r="A128" t="str">
        <f>COUNTIF($D$2:D128,D128)&amp;D128</f>
        <v>4Mlada Boleslav</v>
      </c>
      <c r="B128" t="str">
        <f>COUNTIF($E$2:E128,E128)&amp;E128</f>
        <v>5Hradec Kralove</v>
      </c>
      <c r="C128" s="20">
        <v>45185</v>
      </c>
      <c r="D128" t="s">
        <v>134</v>
      </c>
      <c r="E128" t="s">
        <v>138</v>
      </c>
      <c r="F128">
        <v>5</v>
      </c>
      <c r="G128">
        <v>1</v>
      </c>
      <c r="H128" t="s">
        <v>109</v>
      </c>
      <c r="I128">
        <v>1.76</v>
      </c>
      <c r="J128">
        <v>3.65</v>
      </c>
      <c r="K128">
        <v>4.32</v>
      </c>
      <c r="N128" s="19"/>
    </row>
    <row r="129" spans="1:14" x14ac:dyDescent="0.25">
      <c r="A129" t="str">
        <f>COUNTIF($D$2:D129,D129)&amp;D129</f>
        <v>5Han. Kromeriz</v>
      </c>
      <c r="B129" t="str">
        <f>COUNTIF($E$2:E129,E129)&amp;E129</f>
        <v>5Sigma Olomouc B</v>
      </c>
      <c r="C129" s="20">
        <v>45185</v>
      </c>
      <c r="D129" t="s">
        <v>163</v>
      </c>
      <c r="E129" t="s">
        <v>156</v>
      </c>
      <c r="F129">
        <v>1</v>
      </c>
      <c r="G129">
        <v>2</v>
      </c>
      <c r="H129" t="s">
        <v>110</v>
      </c>
      <c r="I129">
        <v>2.17</v>
      </c>
      <c r="J129">
        <v>3.35</v>
      </c>
      <c r="K129">
        <v>2.99</v>
      </c>
      <c r="N129" s="18"/>
    </row>
    <row r="130" spans="1:14" x14ac:dyDescent="0.25">
      <c r="A130" t="str">
        <f>COUNTIF($D$2:D130,D130)&amp;D130</f>
        <v>5Lisen</v>
      </c>
      <c r="B130" t="str">
        <f>COUNTIF($E$2:E130,E130)&amp;E130</f>
        <v>5Vlasim</v>
      </c>
      <c r="C130" s="20">
        <v>45185</v>
      </c>
      <c r="D130" t="s">
        <v>150</v>
      </c>
      <c r="E130" t="s">
        <v>157</v>
      </c>
      <c r="F130">
        <v>2</v>
      </c>
      <c r="G130">
        <v>2</v>
      </c>
      <c r="H130" t="s">
        <v>2</v>
      </c>
      <c r="I130">
        <v>2.2400000000000002</v>
      </c>
      <c r="J130">
        <v>3.3</v>
      </c>
      <c r="K130">
        <v>2.9</v>
      </c>
      <c r="N130" s="19"/>
    </row>
    <row r="131" spans="1:14" x14ac:dyDescent="0.25">
      <c r="A131" t="str">
        <f>COUNTIF($D$2:D131,D131)&amp;D131</f>
        <v>5Vyskov</v>
      </c>
      <c r="B131" t="str">
        <f>COUNTIF($E$2:E131,E131)&amp;E131</f>
        <v>5Prostejov</v>
      </c>
      <c r="C131" s="20">
        <v>45185</v>
      </c>
      <c r="D131" t="s">
        <v>154</v>
      </c>
      <c r="E131" t="s">
        <v>151</v>
      </c>
      <c r="F131">
        <v>4</v>
      </c>
      <c r="G131">
        <v>3</v>
      </c>
      <c r="H131" t="s">
        <v>109</v>
      </c>
      <c r="I131">
        <v>1.32</v>
      </c>
      <c r="J131">
        <v>4.9400000000000004</v>
      </c>
      <c r="K131">
        <v>7.71</v>
      </c>
      <c r="N131" s="18"/>
    </row>
    <row r="132" spans="1:14" x14ac:dyDescent="0.25">
      <c r="A132" t="str">
        <f>COUNTIF($D$2:D132,D132)&amp;D132</f>
        <v>3Jablonec</v>
      </c>
      <c r="B132" t="str">
        <f>COUNTIF($E$2:E132,E132)&amp;E132</f>
        <v>4Slovan Liberec</v>
      </c>
      <c r="C132" s="20">
        <v>45186</v>
      </c>
      <c r="D132" t="s">
        <v>143</v>
      </c>
      <c r="E132" t="s">
        <v>139</v>
      </c>
      <c r="F132">
        <v>1</v>
      </c>
      <c r="G132">
        <v>1</v>
      </c>
      <c r="H132" t="s">
        <v>2</v>
      </c>
      <c r="I132">
        <v>2.2200000000000002</v>
      </c>
      <c r="J132">
        <v>3.35</v>
      </c>
      <c r="K132">
        <v>3.1</v>
      </c>
      <c r="N132" s="19"/>
    </row>
    <row r="133" spans="1:14" x14ac:dyDescent="0.25">
      <c r="A133" t="str">
        <f>COUNTIF($D$2:D133,D133)&amp;D133</f>
        <v>4Sparta Prague</v>
      </c>
      <c r="B133" t="str">
        <f>COUNTIF($E$2:E133,E133)&amp;E133</f>
        <v>4Slovacko</v>
      </c>
      <c r="C133" s="20">
        <v>45186</v>
      </c>
      <c r="D133" t="s">
        <v>132</v>
      </c>
      <c r="E133" t="s">
        <v>140</v>
      </c>
      <c r="F133">
        <v>5</v>
      </c>
      <c r="G133">
        <v>0</v>
      </c>
      <c r="H133" t="s">
        <v>109</v>
      </c>
      <c r="I133">
        <v>1.36</v>
      </c>
      <c r="J133">
        <v>4.87</v>
      </c>
      <c r="K133">
        <v>7.7</v>
      </c>
      <c r="N133" s="19"/>
    </row>
    <row r="134" spans="1:14" x14ac:dyDescent="0.25">
      <c r="A134" t="str">
        <f>COUNTIF($D$2:D134,D134)&amp;D134</f>
        <v>4Zlin</v>
      </c>
      <c r="B134" t="str">
        <f>COUNTIF($E$2:E134,E134)&amp;E134</f>
        <v>3Viktoria Plzen</v>
      </c>
      <c r="C134" s="20">
        <v>45186</v>
      </c>
      <c r="D134" t="s">
        <v>146</v>
      </c>
      <c r="E134" t="s">
        <v>141</v>
      </c>
      <c r="F134">
        <v>1</v>
      </c>
      <c r="G134">
        <v>7</v>
      </c>
      <c r="H134" t="s">
        <v>110</v>
      </c>
      <c r="I134">
        <v>6.95</v>
      </c>
      <c r="J134">
        <v>4.46</v>
      </c>
      <c r="K134">
        <v>1.42</v>
      </c>
      <c r="N134" s="19"/>
    </row>
    <row r="135" spans="1:14" x14ac:dyDescent="0.25">
      <c r="A135" t="str">
        <f>COUNTIF($D$2:D135,D135)&amp;D135</f>
        <v>5Varnsdorf</v>
      </c>
      <c r="B135" t="str">
        <f>COUNTIF($E$2:E135,E135)&amp;E135</f>
        <v>5Chrudim</v>
      </c>
      <c r="C135" s="20">
        <v>45186</v>
      </c>
      <c r="D135" t="s">
        <v>161</v>
      </c>
      <c r="E135" t="s">
        <v>162</v>
      </c>
      <c r="F135">
        <v>3</v>
      </c>
      <c r="G135">
        <v>3</v>
      </c>
      <c r="H135" t="s">
        <v>2</v>
      </c>
      <c r="I135">
        <v>1.83</v>
      </c>
      <c r="J135">
        <v>3.68</v>
      </c>
      <c r="K135">
        <v>3.66</v>
      </c>
      <c r="N135" s="18"/>
    </row>
    <row r="136" spans="1:14" x14ac:dyDescent="0.25">
      <c r="A136" t="str">
        <f>COUNTIF($D$2:D136,D136)&amp;D136</f>
        <v>5Vikto Zizkov</v>
      </c>
      <c r="B136" t="str">
        <f>COUNTIF($E$2:E136,E136)&amp;E136</f>
        <v>4Taborsko</v>
      </c>
      <c r="C136" s="20">
        <v>45186</v>
      </c>
      <c r="D136" t="s">
        <v>160</v>
      </c>
      <c r="E136" t="s">
        <v>152</v>
      </c>
      <c r="F136">
        <v>4</v>
      </c>
      <c r="G136">
        <v>1</v>
      </c>
      <c r="H136" t="s">
        <v>109</v>
      </c>
      <c r="I136">
        <v>2.2000000000000002</v>
      </c>
      <c r="J136">
        <v>3.38</v>
      </c>
      <c r="K136">
        <v>2.93</v>
      </c>
      <c r="N136" s="19"/>
    </row>
    <row r="137" spans="1:14" x14ac:dyDescent="0.25">
      <c r="A137" t="str">
        <f>COUNTIF($D$2:D137,D137)&amp;D137</f>
        <v>6Taborsko</v>
      </c>
      <c r="B137" t="str">
        <f>COUNTIF($E$2:E137,E137)&amp;E137</f>
        <v>6Pribram</v>
      </c>
      <c r="C137" s="20">
        <v>45191</v>
      </c>
      <c r="D137" t="s">
        <v>152</v>
      </c>
      <c r="E137" t="s">
        <v>159</v>
      </c>
      <c r="F137">
        <v>0</v>
      </c>
      <c r="G137">
        <v>1</v>
      </c>
      <c r="H137" t="s">
        <v>110</v>
      </c>
      <c r="I137">
        <v>1.89</v>
      </c>
      <c r="J137">
        <v>3.53</v>
      </c>
      <c r="K137">
        <v>3.69</v>
      </c>
      <c r="N137" s="18"/>
    </row>
    <row r="138" spans="1:14" x14ac:dyDescent="0.25">
      <c r="A138" t="str">
        <f>COUNTIF($D$2:D138,D138)&amp;D138</f>
        <v>5C. Budejovice</v>
      </c>
      <c r="B138" t="str">
        <f>COUNTIF($E$2:E138,E138)&amp;E138</f>
        <v>4Mlada Boleslav</v>
      </c>
      <c r="C138" s="20">
        <v>45192</v>
      </c>
      <c r="D138" t="s">
        <v>147</v>
      </c>
      <c r="E138" t="s">
        <v>134</v>
      </c>
      <c r="F138">
        <v>1</v>
      </c>
      <c r="G138">
        <v>2</v>
      </c>
      <c r="H138" t="s">
        <v>110</v>
      </c>
      <c r="I138">
        <v>2.82</v>
      </c>
      <c r="J138">
        <v>3.55</v>
      </c>
      <c r="K138">
        <v>2.2999999999999998</v>
      </c>
      <c r="N138" s="19"/>
    </row>
    <row r="139" spans="1:14" x14ac:dyDescent="0.25">
      <c r="A139" t="str">
        <f>COUNTIF($D$2:D139,D139)&amp;D139</f>
        <v>5Bohemians</v>
      </c>
      <c r="B139" t="str">
        <f>COUNTIF($E$2:E139,E139)&amp;E139</f>
        <v>5Sigma Olomouc</v>
      </c>
      <c r="C139" s="20">
        <v>45192</v>
      </c>
      <c r="D139" t="s">
        <v>137</v>
      </c>
      <c r="E139" t="s">
        <v>136</v>
      </c>
      <c r="F139">
        <v>3</v>
      </c>
      <c r="G139">
        <v>2</v>
      </c>
      <c r="H139" t="s">
        <v>109</v>
      </c>
      <c r="I139">
        <v>2.21</v>
      </c>
      <c r="J139">
        <v>3.42</v>
      </c>
      <c r="K139">
        <v>3.04</v>
      </c>
      <c r="N139" s="19"/>
    </row>
    <row r="140" spans="1:14" x14ac:dyDescent="0.25">
      <c r="A140" t="str">
        <f>COUNTIF($D$2:D140,D140)&amp;D140</f>
        <v>5Slovan Liberec</v>
      </c>
      <c r="B140" t="str">
        <f>COUNTIF($E$2:E140,E140)&amp;E140</f>
        <v>5Teplice</v>
      </c>
      <c r="C140" s="20">
        <v>45192</v>
      </c>
      <c r="D140" t="s">
        <v>139</v>
      </c>
      <c r="E140" t="s">
        <v>135</v>
      </c>
      <c r="F140">
        <v>3</v>
      </c>
      <c r="G140">
        <v>3</v>
      </c>
      <c r="H140" t="s">
        <v>2</v>
      </c>
      <c r="I140">
        <v>1.71</v>
      </c>
      <c r="J140">
        <v>3.72</v>
      </c>
      <c r="K140">
        <v>4.58</v>
      </c>
      <c r="N140" s="19"/>
    </row>
    <row r="141" spans="1:14" x14ac:dyDescent="0.25">
      <c r="A141" t="str">
        <f>COUNTIF($D$2:D141,D141)&amp;D141</f>
        <v>5Slovacko</v>
      </c>
      <c r="B141" t="str">
        <f>COUNTIF($E$2:E141,E141)&amp;E141</f>
        <v>5Karvina</v>
      </c>
      <c r="C141" s="20">
        <v>45192</v>
      </c>
      <c r="D141" t="s">
        <v>140</v>
      </c>
      <c r="E141" t="s">
        <v>142</v>
      </c>
      <c r="F141">
        <v>2</v>
      </c>
      <c r="G141">
        <v>0</v>
      </c>
      <c r="H141" t="s">
        <v>109</v>
      </c>
      <c r="I141">
        <v>1.41</v>
      </c>
      <c r="J141">
        <v>4.5199999999999996</v>
      </c>
      <c r="K141">
        <v>7.1</v>
      </c>
      <c r="N141" s="19"/>
    </row>
    <row r="142" spans="1:14" x14ac:dyDescent="0.25">
      <c r="A142" t="str">
        <f>COUNTIF($D$2:D142,D142)&amp;D142</f>
        <v>5Banik Ostrava</v>
      </c>
      <c r="B142" t="str">
        <f>COUNTIF($E$2:E142,E142)&amp;E142</f>
        <v>5Zlin</v>
      </c>
      <c r="C142" s="20">
        <v>45192</v>
      </c>
      <c r="D142" t="s">
        <v>144</v>
      </c>
      <c r="E142" t="s">
        <v>146</v>
      </c>
      <c r="F142">
        <v>5</v>
      </c>
      <c r="G142">
        <v>1</v>
      </c>
      <c r="H142" t="s">
        <v>109</v>
      </c>
      <c r="I142">
        <v>1.36</v>
      </c>
      <c r="J142">
        <v>4.95</v>
      </c>
      <c r="K142">
        <v>7.39</v>
      </c>
      <c r="N142" s="18"/>
    </row>
    <row r="143" spans="1:14" x14ac:dyDescent="0.25">
      <c r="A143" t="str">
        <f>COUNTIF($D$2:D143,D143)&amp;D143</f>
        <v>5Chrudim</v>
      </c>
      <c r="B143" t="str">
        <f>COUNTIF($E$2:E143,E143)&amp;E143</f>
        <v>5Vikto Zizkov</v>
      </c>
      <c r="C143" s="20">
        <v>45192</v>
      </c>
      <c r="D143" t="s">
        <v>162</v>
      </c>
      <c r="E143" t="s">
        <v>160</v>
      </c>
      <c r="F143">
        <v>2</v>
      </c>
      <c r="G143">
        <v>2</v>
      </c>
      <c r="H143" t="s">
        <v>2</v>
      </c>
      <c r="I143">
        <v>2.37</v>
      </c>
      <c r="J143">
        <v>3.29</v>
      </c>
      <c r="K143">
        <v>2.75</v>
      </c>
      <c r="N143" s="19"/>
    </row>
    <row r="144" spans="1:14" x14ac:dyDescent="0.25">
      <c r="A144" t="str">
        <f>COUNTIF($D$2:D144,D144)&amp;D144</f>
        <v>5Zbrojovka Brno</v>
      </c>
      <c r="B144" t="str">
        <f>COUNTIF($E$2:E144,E144)&amp;E144</f>
        <v>5Vyskov</v>
      </c>
      <c r="C144" s="20">
        <v>45192</v>
      </c>
      <c r="D144" t="s">
        <v>158</v>
      </c>
      <c r="E144" t="s">
        <v>154</v>
      </c>
      <c r="F144">
        <v>0</v>
      </c>
      <c r="G144">
        <v>1</v>
      </c>
      <c r="H144" t="s">
        <v>110</v>
      </c>
      <c r="I144">
        <v>1.88</v>
      </c>
      <c r="J144">
        <v>3.4</v>
      </c>
      <c r="K144">
        <v>3.79</v>
      </c>
      <c r="N144" s="18"/>
    </row>
    <row r="145" spans="1:14" x14ac:dyDescent="0.25">
      <c r="A145" t="str">
        <f>COUNTIF($D$2:D145,D145)&amp;D145</f>
        <v>5Dukla Praha</v>
      </c>
      <c r="B145" t="str">
        <f>COUNTIF($E$2:E145,E145)&amp;E145</f>
        <v>5Han. Kromeriz</v>
      </c>
      <c r="C145" s="20">
        <v>45192</v>
      </c>
      <c r="D145" t="s">
        <v>148</v>
      </c>
      <c r="E145" t="s">
        <v>163</v>
      </c>
      <c r="F145">
        <v>3</v>
      </c>
      <c r="G145">
        <v>1</v>
      </c>
      <c r="H145" t="s">
        <v>109</v>
      </c>
      <c r="I145">
        <v>1.31</v>
      </c>
      <c r="J145">
        <v>4.92</v>
      </c>
      <c r="K145">
        <v>8.27</v>
      </c>
      <c r="N145" s="19"/>
    </row>
    <row r="146" spans="1:14" x14ac:dyDescent="0.25">
      <c r="A146" t="str">
        <f>COUNTIF($D$2:D146,D146)&amp;D146</f>
        <v>5Vlasim</v>
      </c>
      <c r="B146" t="str">
        <f>COUNTIF($E$2:E146,E146)&amp;E146</f>
        <v>5Opava</v>
      </c>
      <c r="C146" s="20">
        <v>45192</v>
      </c>
      <c r="D146" t="s">
        <v>157</v>
      </c>
      <c r="E146" t="s">
        <v>155</v>
      </c>
      <c r="F146">
        <v>1</v>
      </c>
      <c r="G146">
        <v>1</v>
      </c>
      <c r="H146" t="s">
        <v>2</v>
      </c>
      <c r="I146">
        <v>2.1800000000000002</v>
      </c>
      <c r="J146">
        <v>3.39</v>
      </c>
      <c r="K146">
        <v>2.93</v>
      </c>
      <c r="N146" s="19"/>
    </row>
    <row r="147" spans="1:14" x14ac:dyDescent="0.25">
      <c r="A147" t="str">
        <f>COUNTIF($D$2:D147,D147)&amp;D147</f>
        <v>5Prostejov</v>
      </c>
      <c r="B147" t="str">
        <f>COUNTIF($E$2:E147,E147)&amp;E147</f>
        <v>5Varnsdorf</v>
      </c>
      <c r="C147" s="20">
        <v>45192</v>
      </c>
      <c r="D147" t="s">
        <v>151</v>
      </c>
      <c r="E147" t="s">
        <v>161</v>
      </c>
      <c r="F147">
        <v>1</v>
      </c>
      <c r="G147">
        <v>0</v>
      </c>
      <c r="H147" t="s">
        <v>109</v>
      </c>
      <c r="I147">
        <v>2.4</v>
      </c>
      <c r="J147">
        <v>3.51</v>
      </c>
      <c r="K147">
        <v>2.58</v>
      </c>
      <c r="N147" s="19"/>
    </row>
    <row r="148" spans="1:14" x14ac:dyDescent="0.25">
      <c r="A148" t="str">
        <f>COUNTIF($D$2:D148,D148)&amp;D148</f>
        <v>4Hradec Kralove</v>
      </c>
      <c r="B148" t="str">
        <f>COUNTIF($E$2:E148,E148)&amp;E148</f>
        <v>6Jablonec</v>
      </c>
      <c r="C148" s="20">
        <v>45193</v>
      </c>
      <c r="D148" t="s">
        <v>138</v>
      </c>
      <c r="E148" t="s">
        <v>143</v>
      </c>
      <c r="F148">
        <v>1</v>
      </c>
      <c r="G148">
        <v>0</v>
      </c>
      <c r="H148" t="s">
        <v>109</v>
      </c>
      <c r="I148">
        <v>2.27</v>
      </c>
      <c r="J148">
        <v>3.4</v>
      </c>
      <c r="K148">
        <v>2.96</v>
      </c>
      <c r="N148" s="19"/>
    </row>
    <row r="149" spans="1:14" x14ac:dyDescent="0.25">
      <c r="A149" t="str">
        <f>COUNTIF($D$2:D149,D149)&amp;D149</f>
        <v>5Viktoria Plzen</v>
      </c>
      <c r="B149" t="str">
        <f>COUNTIF($E$2:E149,E149)&amp;E149</f>
        <v>4Pardubice</v>
      </c>
      <c r="C149" s="20">
        <v>45193</v>
      </c>
      <c r="D149" t="s">
        <v>141</v>
      </c>
      <c r="E149" t="s">
        <v>145</v>
      </c>
      <c r="F149">
        <v>6</v>
      </c>
      <c r="G149">
        <v>2</v>
      </c>
      <c r="H149" t="s">
        <v>109</v>
      </c>
      <c r="I149">
        <v>1.2</v>
      </c>
      <c r="J149">
        <v>6.38</v>
      </c>
      <c r="K149">
        <v>12.21</v>
      </c>
      <c r="N149" s="18"/>
    </row>
    <row r="150" spans="1:14" x14ac:dyDescent="0.25">
      <c r="A150" t="str">
        <f>COUNTIF($D$2:D150,D150)&amp;D150</f>
        <v>5Slavia Prague</v>
      </c>
      <c r="B150" t="str">
        <f>COUNTIF($E$2:E150,E150)&amp;E150</f>
        <v>5Sparta Prague</v>
      </c>
      <c r="C150" s="20">
        <v>45193</v>
      </c>
      <c r="D150" t="s">
        <v>133</v>
      </c>
      <c r="E150" t="s">
        <v>132</v>
      </c>
      <c r="F150">
        <v>1</v>
      </c>
      <c r="G150">
        <v>1</v>
      </c>
      <c r="H150" t="s">
        <v>2</v>
      </c>
      <c r="I150">
        <v>1.87</v>
      </c>
      <c r="J150">
        <v>3.6</v>
      </c>
      <c r="K150">
        <v>3.86</v>
      </c>
      <c r="N150" s="19"/>
    </row>
    <row r="151" spans="1:14" x14ac:dyDescent="0.25">
      <c r="A151" t="str">
        <f>COUNTIF($D$2:D151,D151)&amp;D151</f>
        <v>5Sigma Olomouc B</v>
      </c>
      <c r="B151" t="str">
        <f>COUNTIF($E$2:E151,E151)&amp;E151</f>
        <v>5Lisen</v>
      </c>
      <c r="C151" s="20">
        <v>45193</v>
      </c>
      <c r="D151" t="s">
        <v>156</v>
      </c>
      <c r="E151" t="s">
        <v>150</v>
      </c>
      <c r="F151">
        <v>0</v>
      </c>
      <c r="G151">
        <v>1</v>
      </c>
      <c r="H151" t="s">
        <v>110</v>
      </c>
      <c r="I151">
        <v>2.4</v>
      </c>
      <c r="J151">
        <v>3.15</v>
      </c>
      <c r="K151">
        <v>2.78</v>
      </c>
      <c r="N151" s="18"/>
    </row>
    <row r="152" spans="1:14" x14ac:dyDescent="0.25">
      <c r="A152" t="str">
        <f>COUNTIF($D$2:D152,D152)&amp;D152</f>
        <v>5Sparta Prague B</v>
      </c>
      <c r="B152" t="str">
        <f>COUNTIF($E$2:E152,E152)&amp;E152</f>
        <v>5Jihlava</v>
      </c>
      <c r="C152" s="20">
        <v>45193</v>
      </c>
      <c r="D152" t="s">
        <v>153</v>
      </c>
      <c r="E152" t="s">
        <v>149</v>
      </c>
      <c r="F152">
        <v>2</v>
      </c>
      <c r="G152">
        <v>1</v>
      </c>
      <c r="H152" t="s">
        <v>109</v>
      </c>
      <c r="I152">
        <v>2.41</v>
      </c>
      <c r="J152">
        <v>3.45</v>
      </c>
      <c r="K152">
        <v>2.57</v>
      </c>
      <c r="N152" s="19"/>
    </row>
    <row r="153" spans="1:14" x14ac:dyDescent="0.25">
      <c r="A153" t="str">
        <f>COUNTIF($D$2:D153,D153)&amp;D153</f>
        <v>5Pribram</v>
      </c>
      <c r="B153" t="str">
        <f>COUNTIF($E$2:E153,E153)&amp;E153</f>
        <v>6Chrudim</v>
      </c>
      <c r="C153" s="20">
        <v>45198</v>
      </c>
      <c r="D153" t="s">
        <v>159</v>
      </c>
      <c r="E153" t="s">
        <v>162</v>
      </c>
      <c r="F153">
        <v>2</v>
      </c>
      <c r="G153">
        <v>1</v>
      </c>
      <c r="H153" t="s">
        <v>109</v>
      </c>
      <c r="I153">
        <v>1.97</v>
      </c>
      <c r="J153">
        <v>3.41</v>
      </c>
      <c r="K153">
        <v>3.45</v>
      </c>
      <c r="N153" s="19"/>
    </row>
    <row r="154" spans="1:14" x14ac:dyDescent="0.25">
      <c r="A154" t="str">
        <f>COUNTIF($D$2:D154,D154)&amp;D154</f>
        <v>5Karvina</v>
      </c>
      <c r="B154" t="str">
        <f>COUNTIF($E$2:E154,E154)&amp;E154</f>
        <v>5Slovan Liberec</v>
      </c>
      <c r="C154" s="20">
        <v>45199</v>
      </c>
      <c r="D154" t="s">
        <v>142</v>
      </c>
      <c r="E154" t="s">
        <v>139</v>
      </c>
      <c r="F154">
        <v>5</v>
      </c>
      <c r="G154">
        <v>2</v>
      </c>
      <c r="H154" t="s">
        <v>109</v>
      </c>
      <c r="I154">
        <v>2.72</v>
      </c>
      <c r="J154">
        <v>3.24</v>
      </c>
      <c r="K154">
        <v>2.52</v>
      </c>
      <c r="N154" s="19"/>
    </row>
    <row r="155" spans="1:14" x14ac:dyDescent="0.25">
      <c r="A155" t="str">
        <f>COUNTIF($D$2:D155,D155)&amp;D155</f>
        <v>4Jablonec</v>
      </c>
      <c r="B155" t="str">
        <f>COUNTIF($E$2:E155,E155)&amp;E155</f>
        <v>5Slovacko</v>
      </c>
      <c r="C155" s="20">
        <v>45199</v>
      </c>
      <c r="D155" t="s">
        <v>143</v>
      </c>
      <c r="E155" t="s">
        <v>140</v>
      </c>
      <c r="F155">
        <v>2</v>
      </c>
      <c r="G155">
        <v>0</v>
      </c>
      <c r="H155" t="s">
        <v>109</v>
      </c>
      <c r="I155">
        <v>2.87</v>
      </c>
      <c r="J155">
        <v>3.22</v>
      </c>
      <c r="K155">
        <v>2.4300000000000002</v>
      </c>
      <c r="N155" s="18"/>
    </row>
    <row r="156" spans="1:14" x14ac:dyDescent="0.25">
      <c r="A156" t="str">
        <f>COUNTIF($D$2:D156,D156)&amp;D156</f>
        <v>5Sigma Olomouc</v>
      </c>
      <c r="B156" t="str">
        <f>COUNTIF($E$2:E156,E156)&amp;E156</f>
        <v>5Banik Ostrava</v>
      </c>
      <c r="C156" s="20">
        <v>45199</v>
      </c>
      <c r="D156" t="s">
        <v>136</v>
      </c>
      <c r="E156" t="s">
        <v>144</v>
      </c>
      <c r="F156">
        <v>0</v>
      </c>
      <c r="G156">
        <v>3</v>
      </c>
      <c r="H156" t="s">
        <v>110</v>
      </c>
      <c r="I156">
        <v>2.5099999999999998</v>
      </c>
      <c r="J156">
        <v>3.41</v>
      </c>
      <c r="K156">
        <v>2.63</v>
      </c>
      <c r="N156" s="19"/>
    </row>
    <row r="157" spans="1:14" x14ac:dyDescent="0.25">
      <c r="A157" t="str">
        <f>COUNTIF($D$2:D157,D157)&amp;D157</f>
        <v>5Zlin</v>
      </c>
      <c r="B157" t="str">
        <f>COUNTIF($E$2:E157,E157)&amp;E157</f>
        <v>5C. Budejovice</v>
      </c>
      <c r="C157" s="20">
        <v>45199</v>
      </c>
      <c r="D157" t="s">
        <v>146</v>
      </c>
      <c r="E157" t="s">
        <v>147</v>
      </c>
      <c r="F157">
        <v>1</v>
      </c>
      <c r="G157">
        <v>1</v>
      </c>
      <c r="H157" t="s">
        <v>2</v>
      </c>
      <c r="I157">
        <v>2.2599999999999998</v>
      </c>
      <c r="J157">
        <v>3.54</v>
      </c>
      <c r="K157">
        <v>2.89</v>
      </c>
      <c r="N157" s="18"/>
    </row>
    <row r="158" spans="1:14" x14ac:dyDescent="0.25">
      <c r="A158" t="str">
        <f>COUNTIF($D$2:D158,D158)&amp;D158</f>
        <v>5Sparta Prague</v>
      </c>
      <c r="B158" t="str">
        <f>COUNTIF($E$2:E158,E158)&amp;E158</f>
        <v>4Viktoria Plzen</v>
      </c>
      <c r="C158" s="20">
        <v>45199</v>
      </c>
      <c r="D158" t="s">
        <v>132</v>
      </c>
      <c r="E158" t="s">
        <v>141</v>
      </c>
      <c r="F158">
        <v>2</v>
      </c>
      <c r="G158">
        <v>1</v>
      </c>
      <c r="H158" t="s">
        <v>109</v>
      </c>
      <c r="I158">
        <v>1.73</v>
      </c>
      <c r="J158">
        <v>3.84</v>
      </c>
      <c r="K158">
        <v>4.29</v>
      </c>
      <c r="N158" s="19"/>
    </row>
    <row r="159" spans="1:14" x14ac:dyDescent="0.25">
      <c r="A159" t="str">
        <f>COUNTIF($D$2:D159,D159)&amp;D159</f>
        <v>6Han. Kromeriz</v>
      </c>
      <c r="B159" t="str">
        <f>COUNTIF($E$2:E159,E159)&amp;E159</f>
        <v>6Vlasim</v>
      </c>
      <c r="C159" s="20">
        <v>45199</v>
      </c>
      <c r="D159" t="s">
        <v>163</v>
      </c>
      <c r="E159" t="s">
        <v>157</v>
      </c>
      <c r="F159">
        <v>2</v>
      </c>
      <c r="G159">
        <v>1</v>
      </c>
      <c r="H159" t="s">
        <v>109</v>
      </c>
      <c r="I159">
        <v>2.92</v>
      </c>
      <c r="J159">
        <v>3.44</v>
      </c>
      <c r="K159">
        <v>2.17</v>
      </c>
      <c r="N159" s="19"/>
    </row>
    <row r="160" spans="1:14" x14ac:dyDescent="0.25">
      <c r="A160" t="str">
        <f>COUNTIF($D$2:D160,D160)&amp;D160</f>
        <v>6Lisen</v>
      </c>
      <c r="B160" t="str">
        <f>COUNTIF($E$2:E160,E160)&amp;E160</f>
        <v>5Taborsko</v>
      </c>
      <c r="C160" s="20">
        <v>45199</v>
      </c>
      <c r="D160" t="s">
        <v>150</v>
      </c>
      <c r="E160" t="s">
        <v>152</v>
      </c>
      <c r="F160">
        <v>0</v>
      </c>
      <c r="G160">
        <v>0</v>
      </c>
      <c r="H160" t="s">
        <v>2</v>
      </c>
      <c r="I160">
        <v>2.13</v>
      </c>
      <c r="J160">
        <v>3.24</v>
      </c>
      <c r="K160">
        <v>3.16</v>
      </c>
      <c r="N160" s="19"/>
    </row>
    <row r="161" spans="1:14" x14ac:dyDescent="0.25">
      <c r="A161" t="str">
        <f>COUNTIF($D$2:D161,D161)&amp;D161</f>
        <v>6Opava</v>
      </c>
      <c r="B161" t="str">
        <f>COUNTIF($E$2:E161,E161)&amp;E161</f>
        <v>6Zbrojovka Brno</v>
      </c>
      <c r="C161" s="20">
        <v>45199</v>
      </c>
      <c r="D161" t="s">
        <v>155</v>
      </c>
      <c r="E161" t="s">
        <v>158</v>
      </c>
      <c r="F161">
        <v>2</v>
      </c>
      <c r="G161">
        <v>1</v>
      </c>
      <c r="H161" t="s">
        <v>109</v>
      </c>
      <c r="I161">
        <v>2.04</v>
      </c>
      <c r="J161">
        <v>3.3</v>
      </c>
      <c r="K161">
        <v>3.37</v>
      </c>
      <c r="N161" s="18"/>
    </row>
    <row r="162" spans="1:14" x14ac:dyDescent="0.25">
      <c r="A162" t="str">
        <f>COUNTIF($D$2:D162,D162)&amp;D162</f>
        <v>6Pardubice</v>
      </c>
      <c r="B162" t="str">
        <f>COUNTIF($E$2:E162,E162)&amp;E162</f>
        <v>6Hradec Kralove</v>
      </c>
      <c r="C162" s="20">
        <v>45200</v>
      </c>
      <c r="D162" t="s">
        <v>145</v>
      </c>
      <c r="E162" t="s">
        <v>138</v>
      </c>
      <c r="F162">
        <v>1</v>
      </c>
      <c r="G162">
        <v>1</v>
      </c>
      <c r="H162" t="s">
        <v>2</v>
      </c>
      <c r="I162">
        <v>2.21</v>
      </c>
      <c r="J162">
        <v>3.32</v>
      </c>
      <c r="K162">
        <v>3.12</v>
      </c>
      <c r="N162" s="19"/>
    </row>
    <row r="163" spans="1:14" x14ac:dyDescent="0.25">
      <c r="A163" t="str">
        <f>COUNTIF($D$2:D163,D163)&amp;D163</f>
        <v>5Mlada Boleslav</v>
      </c>
      <c r="B163" t="str">
        <f>COUNTIF($E$2:E163,E163)&amp;E163</f>
        <v>5Bohemians</v>
      </c>
      <c r="C163" s="20">
        <v>45200</v>
      </c>
      <c r="D163" t="s">
        <v>134</v>
      </c>
      <c r="E163" t="s">
        <v>137</v>
      </c>
      <c r="F163">
        <v>2</v>
      </c>
      <c r="G163">
        <v>1</v>
      </c>
      <c r="H163" t="s">
        <v>109</v>
      </c>
      <c r="I163">
        <v>1.89</v>
      </c>
      <c r="J163">
        <v>3.63</v>
      </c>
      <c r="K163">
        <v>3.7</v>
      </c>
      <c r="N163" s="18"/>
    </row>
    <row r="164" spans="1:14" x14ac:dyDescent="0.25">
      <c r="A164" t="str">
        <f>COUNTIF($D$2:D164,D164)&amp;D164</f>
        <v>5Teplice</v>
      </c>
      <c r="B164" t="str">
        <f>COUNTIF($E$2:E164,E164)&amp;E164</f>
        <v>5Slavia Prague</v>
      </c>
      <c r="C164" s="20">
        <v>45200</v>
      </c>
      <c r="D164" t="s">
        <v>135</v>
      </c>
      <c r="E164" t="s">
        <v>133</v>
      </c>
      <c r="F164">
        <v>0</v>
      </c>
      <c r="G164">
        <v>0</v>
      </c>
      <c r="H164" t="s">
        <v>2</v>
      </c>
      <c r="I164">
        <v>10.67</v>
      </c>
      <c r="J164">
        <v>5.51</v>
      </c>
      <c r="K164">
        <v>1.26</v>
      </c>
      <c r="N164" s="19"/>
    </row>
    <row r="165" spans="1:14" x14ac:dyDescent="0.25">
      <c r="A165" t="str">
        <f>COUNTIF($D$2:D165,D165)&amp;D165</f>
        <v>6Jihlava</v>
      </c>
      <c r="B165" t="str">
        <f>COUNTIF($E$2:E165,E165)&amp;E165</f>
        <v>6Prostejov</v>
      </c>
      <c r="C165" s="20">
        <v>45200</v>
      </c>
      <c r="D165" t="s">
        <v>149</v>
      </c>
      <c r="E165" t="s">
        <v>151</v>
      </c>
      <c r="F165">
        <v>2</v>
      </c>
      <c r="G165">
        <v>1</v>
      </c>
      <c r="H165" t="s">
        <v>109</v>
      </c>
      <c r="I165">
        <v>1.7</v>
      </c>
      <c r="J165">
        <v>3.85</v>
      </c>
      <c r="K165">
        <v>4.09</v>
      </c>
      <c r="N165" s="19"/>
    </row>
    <row r="166" spans="1:14" x14ac:dyDescent="0.25">
      <c r="A166" t="str">
        <f>COUNTIF($D$2:D166,D166)&amp;D166</f>
        <v>6Varnsdorf</v>
      </c>
      <c r="B166" t="str">
        <f>COUNTIF($E$2:E166,E166)&amp;E166</f>
        <v>6Vyskov</v>
      </c>
      <c r="C166" s="20">
        <v>45200</v>
      </c>
      <c r="D166" t="s">
        <v>161</v>
      </c>
      <c r="E166" t="s">
        <v>154</v>
      </c>
      <c r="F166">
        <v>1</v>
      </c>
      <c r="G166">
        <v>1</v>
      </c>
      <c r="H166" t="s">
        <v>2</v>
      </c>
      <c r="I166">
        <v>2.91</v>
      </c>
      <c r="J166">
        <v>3.52</v>
      </c>
      <c r="K166">
        <v>2.15</v>
      </c>
      <c r="N166" s="19"/>
    </row>
    <row r="167" spans="1:14" x14ac:dyDescent="0.25">
      <c r="A167" t="str">
        <f>COUNTIF($D$2:D167,D167)&amp;D167</f>
        <v>6Vikto Zizkov</v>
      </c>
      <c r="B167" t="str">
        <f>COUNTIF($E$2:E167,E167)&amp;E167</f>
        <v>6Sparta Prague B</v>
      </c>
      <c r="C167" s="20">
        <v>45200</v>
      </c>
      <c r="D167" t="s">
        <v>160</v>
      </c>
      <c r="E167" t="s">
        <v>153</v>
      </c>
      <c r="F167">
        <v>1</v>
      </c>
      <c r="G167">
        <v>1</v>
      </c>
      <c r="H167" t="s">
        <v>2</v>
      </c>
      <c r="I167">
        <v>1.94</v>
      </c>
      <c r="J167">
        <v>3.58</v>
      </c>
      <c r="K167">
        <v>3.38</v>
      </c>
      <c r="N167" s="18"/>
    </row>
    <row r="168" spans="1:14" x14ac:dyDescent="0.25">
      <c r="A168" t="str">
        <f>COUNTIF($D$2:D168,D168)&amp;D168</f>
        <v>6Sigma Olomouc B</v>
      </c>
      <c r="B168" t="str">
        <f>COUNTIF($E$2:E168,E168)&amp;E168</f>
        <v>6Dukla Praha</v>
      </c>
      <c r="C168" s="20">
        <v>45201</v>
      </c>
      <c r="D168" t="s">
        <v>156</v>
      </c>
      <c r="E168" t="s">
        <v>148</v>
      </c>
      <c r="F168">
        <v>0</v>
      </c>
      <c r="G168">
        <v>1</v>
      </c>
      <c r="H168" t="s">
        <v>110</v>
      </c>
      <c r="I168">
        <v>2.91</v>
      </c>
      <c r="J168">
        <v>3.49</v>
      </c>
      <c r="K168">
        <v>2.15</v>
      </c>
      <c r="N168" s="19"/>
    </row>
    <row r="169" spans="1:14" x14ac:dyDescent="0.25">
      <c r="A169" t="str">
        <f>COUNTIF($D$2:D169,D169)&amp;D169</f>
        <v>6Zbrojovka Brno</v>
      </c>
      <c r="B169" t="str">
        <f>COUNTIF($E$2:E169,E169)&amp;E169</f>
        <v>7Pribram</v>
      </c>
      <c r="C169" s="20">
        <v>45205</v>
      </c>
      <c r="D169" t="s">
        <v>158</v>
      </c>
      <c r="E169" t="s">
        <v>159</v>
      </c>
      <c r="F169">
        <v>0</v>
      </c>
      <c r="G169">
        <v>1</v>
      </c>
      <c r="H169" t="s">
        <v>110</v>
      </c>
      <c r="I169">
        <v>1.67</v>
      </c>
      <c r="J169">
        <v>3.77</v>
      </c>
      <c r="K169">
        <v>4.43</v>
      </c>
      <c r="N169" s="18"/>
    </row>
    <row r="170" spans="1:14" x14ac:dyDescent="0.25">
      <c r="A170" t="str">
        <f>COUNTIF($D$2:D170,D170)&amp;D170</f>
        <v>6C. Budejovice</v>
      </c>
      <c r="B170" t="str">
        <f>COUNTIF($E$2:E170,E170)&amp;E170</f>
        <v>6Karvina</v>
      </c>
      <c r="C170" s="20">
        <v>45206</v>
      </c>
      <c r="D170" t="s">
        <v>147</v>
      </c>
      <c r="E170" t="s">
        <v>142</v>
      </c>
      <c r="F170">
        <v>1</v>
      </c>
      <c r="G170">
        <v>0</v>
      </c>
      <c r="H170" t="s">
        <v>109</v>
      </c>
      <c r="I170">
        <v>1.82</v>
      </c>
      <c r="J170">
        <v>3.85</v>
      </c>
      <c r="K170">
        <v>3.8</v>
      </c>
      <c r="N170" s="19"/>
    </row>
    <row r="171" spans="1:14" x14ac:dyDescent="0.25">
      <c r="A171" t="str">
        <f>COUNTIF($D$2:D171,D171)&amp;D171</f>
        <v>6Bohemians</v>
      </c>
      <c r="B171" t="str">
        <f>COUNTIF($E$2:E171,E171)&amp;E171</f>
        <v>6Zlin</v>
      </c>
      <c r="C171" s="20">
        <v>45206</v>
      </c>
      <c r="D171" t="s">
        <v>137</v>
      </c>
      <c r="E171" t="s">
        <v>146</v>
      </c>
      <c r="F171">
        <v>0</v>
      </c>
      <c r="G171">
        <v>0</v>
      </c>
      <c r="H171" t="s">
        <v>2</v>
      </c>
      <c r="I171">
        <v>1.39</v>
      </c>
      <c r="J171">
        <v>4.8099999999999996</v>
      </c>
      <c r="K171">
        <v>6.92</v>
      </c>
      <c r="N171" s="19"/>
    </row>
    <row r="172" spans="1:14" x14ac:dyDescent="0.25">
      <c r="A172" t="str">
        <f>COUNTIF($D$2:D172,D172)&amp;D172</f>
        <v>6Banik Ostrava</v>
      </c>
      <c r="B172" t="str">
        <f>COUNTIF($E$2:E172,E172)&amp;E172</f>
        <v>5Pardubice</v>
      </c>
      <c r="C172" s="20">
        <v>45206</v>
      </c>
      <c r="D172" t="s">
        <v>144</v>
      </c>
      <c r="E172" t="s">
        <v>145</v>
      </c>
      <c r="F172">
        <v>1</v>
      </c>
      <c r="G172">
        <v>1</v>
      </c>
      <c r="H172" t="s">
        <v>2</v>
      </c>
      <c r="I172">
        <v>1.31</v>
      </c>
      <c r="J172">
        <v>5.22</v>
      </c>
      <c r="K172">
        <v>8.48</v>
      </c>
      <c r="N172" s="19"/>
    </row>
    <row r="173" spans="1:14" x14ac:dyDescent="0.25">
      <c r="A173" t="str">
        <f>COUNTIF($D$2:D173,D173)&amp;D173</f>
        <v>6Slovacko</v>
      </c>
      <c r="B173" t="str">
        <f>COUNTIF($E$2:E173,E173)&amp;E173</f>
        <v>6Teplice</v>
      </c>
      <c r="C173" s="20">
        <v>45206</v>
      </c>
      <c r="D173" t="s">
        <v>140</v>
      </c>
      <c r="E173" t="s">
        <v>135</v>
      </c>
      <c r="F173">
        <v>2</v>
      </c>
      <c r="G173">
        <v>0</v>
      </c>
      <c r="H173" t="s">
        <v>109</v>
      </c>
      <c r="I173">
        <v>1.47</v>
      </c>
      <c r="J173">
        <v>4.0599999999999996</v>
      </c>
      <c r="K173">
        <v>6.89</v>
      </c>
      <c r="N173" s="18"/>
    </row>
    <row r="174" spans="1:14" x14ac:dyDescent="0.25">
      <c r="A174" t="str">
        <f>COUNTIF($D$2:D174,D174)&amp;D174</f>
        <v>6Sigma Olomouc</v>
      </c>
      <c r="B174" t="str">
        <f>COUNTIF($E$2:E174,E174)&amp;E174</f>
        <v>5Mlada Boleslav</v>
      </c>
      <c r="C174" s="20">
        <v>45206</v>
      </c>
      <c r="D174" t="s">
        <v>136</v>
      </c>
      <c r="E174" t="s">
        <v>134</v>
      </c>
      <c r="F174">
        <v>4</v>
      </c>
      <c r="G174">
        <v>0</v>
      </c>
      <c r="H174" t="s">
        <v>109</v>
      </c>
      <c r="I174">
        <v>2.2999999999999998</v>
      </c>
      <c r="J174">
        <v>3.5</v>
      </c>
      <c r="K174">
        <v>2.86</v>
      </c>
      <c r="N174" s="19"/>
    </row>
    <row r="175" spans="1:14" x14ac:dyDescent="0.25">
      <c r="A175" t="str">
        <f>COUNTIF($D$2:D175,D175)&amp;D175</f>
        <v>6Vyskov</v>
      </c>
      <c r="B175" t="str">
        <f>COUNTIF($E$2:E175,E175)&amp;E175</f>
        <v>6Vikto Zizkov</v>
      </c>
      <c r="C175" s="20">
        <v>45206</v>
      </c>
      <c r="D175" t="s">
        <v>154</v>
      </c>
      <c r="E175" t="s">
        <v>160</v>
      </c>
      <c r="F175">
        <v>2</v>
      </c>
      <c r="G175">
        <v>0</v>
      </c>
      <c r="H175" t="s">
        <v>109</v>
      </c>
      <c r="I175">
        <v>1.5</v>
      </c>
      <c r="J175">
        <v>4.1500000000000004</v>
      </c>
      <c r="K175">
        <v>5.6</v>
      </c>
      <c r="N175" s="18"/>
    </row>
    <row r="176" spans="1:14" x14ac:dyDescent="0.25">
      <c r="A176" t="str">
        <f>COUNTIF($D$2:D176,D176)&amp;D176</f>
        <v>6Chrudim</v>
      </c>
      <c r="B176" t="str">
        <f>COUNTIF($E$2:E176,E176)&amp;E176</f>
        <v>6Opava</v>
      </c>
      <c r="C176" s="20">
        <v>45206</v>
      </c>
      <c r="D176" t="s">
        <v>162</v>
      </c>
      <c r="E176" t="s">
        <v>155</v>
      </c>
      <c r="F176">
        <v>1</v>
      </c>
      <c r="G176">
        <v>0</v>
      </c>
      <c r="H176" t="s">
        <v>109</v>
      </c>
      <c r="I176">
        <v>2.81</v>
      </c>
      <c r="J176">
        <v>3.13</v>
      </c>
      <c r="K176">
        <v>2.41</v>
      </c>
      <c r="N176" s="19"/>
    </row>
    <row r="177" spans="1:14" x14ac:dyDescent="0.25">
      <c r="A177" t="str">
        <f>COUNTIF($D$2:D177,D177)&amp;D177</f>
        <v>6Prostejov</v>
      </c>
      <c r="B177" t="str">
        <f>COUNTIF($E$2:E177,E177)&amp;E177</f>
        <v>6Lisen</v>
      </c>
      <c r="C177" s="20">
        <v>45206</v>
      </c>
      <c r="D177" t="s">
        <v>151</v>
      </c>
      <c r="E177" t="s">
        <v>150</v>
      </c>
      <c r="F177">
        <v>4</v>
      </c>
      <c r="G177">
        <v>2</v>
      </c>
      <c r="H177" t="s">
        <v>109</v>
      </c>
      <c r="I177">
        <v>2.71</v>
      </c>
      <c r="J177">
        <v>3.24</v>
      </c>
      <c r="K177">
        <v>2.4300000000000002</v>
      </c>
      <c r="N177" s="19"/>
    </row>
    <row r="178" spans="1:14" x14ac:dyDescent="0.25">
      <c r="A178" t="str">
        <f>COUNTIF($D$2:D178,D178)&amp;D178</f>
        <v>6Vlasim</v>
      </c>
      <c r="B178" t="str">
        <f>COUNTIF($E$2:E178,E178)&amp;E178</f>
        <v>7Dukla Praha</v>
      </c>
      <c r="C178" s="20">
        <v>45206</v>
      </c>
      <c r="D178" t="s">
        <v>157</v>
      </c>
      <c r="E178" t="s">
        <v>148</v>
      </c>
      <c r="F178">
        <v>3</v>
      </c>
      <c r="G178">
        <v>2</v>
      </c>
      <c r="H178" t="s">
        <v>109</v>
      </c>
      <c r="I178">
        <v>2.42</v>
      </c>
      <c r="J178">
        <v>3.36</v>
      </c>
      <c r="K178">
        <v>2.6</v>
      </c>
      <c r="N178" s="19"/>
    </row>
    <row r="179" spans="1:14" x14ac:dyDescent="0.25">
      <c r="A179" t="str">
        <f>COUNTIF($D$2:D179,D179)&amp;D179</f>
        <v>7Taborsko</v>
      </c>
      <c r="B179" t="str">
        <f>COUNTIF($E$2:E179,E179)&amp;E179</f>
        <v>6Sigma Olomouc B</v>
      </c>
      <c r="C179" s="20">
        <v>45206</v>
      </c>
      <c r="D179" t="s">
        <v>152</v>
      </c>
      <c r="E179" t="s">
        <v>156</v>
      </c>
      <c r="F179">
        <v>6</v>
      </c>
      <c r="G179">
        <v>2</v>
      </c>
      <c r="H179" t="s">
        <v>109</v>
      </c>
      <c r="I179">
        <v>1.69</v>
      </c>
      <c r="J179">
        <v>3.63</v>
      </c>
      <c r="K179">
        <v>4.45</v>
      </c>
      <c r="N179" s="18"/>
    </row>
    <row r="180" spans="1:14" x14ac:dyDescent="0.25">
      <c r="A180" t="str">
        <f>COUNTIF($D$2:D180,D180)&amp;D180</f>
        <v>5Hradec Kralove</v>
      </c>
      <c r="B180" t="str">
        <f>COUNTIF($E$2:E180,E180)&amp;E180</f>
        <v>6Sparta Prague</v>
      </c>
      <c r="C180" s="20">
        <v>45207</v>
      </c>
      <c r="D180" t="s">
        <v>138</v>
      </c>
      <c r="E180" t="s">
        <v>132</v>
      </c>
      <c r="F180">
        <v>1</v>
      </c>
      <c r="G180">
        <v>3</v>
      </c>
      <c r="H180" t="s">
        <v>110</v>
      </c>
      <c r="I180">
        <v>8.11</v>
      </c>
      <c r="J180">
        <v>4.9000000000000004</v>
      </c>
      <c r="K180">
        <v>1.35</v>
      </c>
      <c r="N180" s="19"/>
    </row>
    <row r="181" spans="1:14" x14ac:dyDescent="0.25">
      <c r="A181" t="str">
        <f>COUNTIF($D$2:D181,D181)&amp;D181</f>
        <v>6Slovan Liberec</v>
      </c>
      <c r="B181" t="str">
        <f>COUNTIF($E$2:E181,E181)&amp;E181</f>
        <v>6Slavia Prague</v>
      </c>
      <c r="C181" s="20">
        <v>45207</v>
      </c>
      <c r="D181" t="s">
        <v>139</v>
      </c>
      <c r="E181" t="s">
        <v>133</v>
      </c>
      <c r="F181">
        <v>2</v>
      </c>
      <c r="G181">
        <v>3</v>
      </c>
      <c r="H181" t="s">
        <v>110</v>
      </c>
      <c r="I181">
        <v>7.87</v>
      </c>
      <c r="J181">
        <v>4.76</v>
      </c>
      <c r="K181">
        <v>1.36</v>
      </c>
      <c r="N181" s="18"/>
    </row>
    <row r="182" spans="1:14" x14ac:dyDescent="0.25">
      <c r="A182" t="str">
        <f>COUNTIF($D$2:D182,D182)&amp;D182</f>
        <v>6Viktoria Plzen</v>
      </c>
      <c r="B182" t="str">
        <f>COUNTIF($E$2:E182,E182)&amp;E182</f>
        <v>7Jablonec</v>
      </c>
      <c r="C182" s="20">
        <v>45207</v>
      </c>
      <c r="D182" t="s">
        <v>141</v>
      </c>
      <c r="E182" t="s">
        <v>143</v>
      </c>
      <c r="F182">
        <v>3</v>
      </c>
      <c r="G182">
        <v>2</v>
      </c>
      <c r="H182" t="s">
        <v>109</v>
      </c>
      <c r="I182">
        <v>1.25</v>
      </c>
      <c r="J182">
        <v>5.82</v>
      </c>
      <c r="K182">
        <v>10.210000000000001</v>
      </c>
      <c r="N182" s="19"/>
    </row>
    <row r="183" spans="1:14" x14ac:dyDescent="0.25">
      <c r="A183" t="str">
        <f>COUNTIF($D$2:D183,D183)&amp;D183</f>
        <v>6Sparta Prague B</v>
      </c>
      <c r="B183" t="str">
        <f>COUNTIF($E$2:E183,E183)&amp;E183</f>
        <v>6Han. Kromeriz</v>
      </c>
      <c r="C183" s="20">
        <v>45207</v>
      </c>
      <c r="D183" t="s">
        <v>153</v>
      </c>
      <c r="E183" t="s">
        <v>163</v>
      </c>
      <c r="F183">
        <v>1</v>
      </c>
      <c r="G183">
        <v>1</v>
      </c>
      <c r="H183" t="s">
        <v>2</v>
      </c>
      <c r="I183">
        <v>1.77</v>
      </c>
      <c r="J183">
        <v>3.58</v>
      </c>
      <c r="K183">
        <v>4.07</v>
      </c>
      <c r="N183" s="19"/>
    </row>
    <row r="184" spans="1:14" x14ac:dyDescent="0.25">
      <c r="A184" t="str">
        <f>COUNTIF($D$2:D184,D184)&amp;D184</f>
        <v>7Varnsdorf</v>
      </c>
      <c r="B184" t="str">
        <f>COUNTIF($E$2:E184,E184)&amp;E184</f>
        <v>6Jihlava</v>
      </c>
      <c r="C184" s="20">
        <v>45207</v>
      </c>
      <c r="D184" t="s">
        <v>161</v>
      </c>
      <c r="E184" t="s">
        <v>149</v>
      </c>
      <c r="F184">
        <v>3</v>
      </c>
      <c r="G184">
        <v>3</v>
      </c>
      <c r="H184" t="s">
        <v>2</v>
      </c>
      <c r="I184">
        <v>1.85</v>
      </c>
      <c r="J184">
        <v>3.69</v>
      </c>
      <c r="K184">
        <v>3.59</v>
      </c>
      <c r="N184" s="18"/>
    </row>
    <row r="185" spans="1:14" x14ac:dyDescent="0.25">
      <c r="A185" t="str">
        <f>COUNTIF($D$2:D185,D185)&amp;D185</f>
        <v>7Jihlava</v>
      </c>
      <c r="B185" t="str">
        <f>COUNTIF($E$2:E185,E185)&amp;E185</f>
        <v>7Vyskov</v>
      </c>
      <c r="C185" s="20">
        <v>45219</v>
      </c>
      <c r="D185" t="s">
        <v>149</v>
      </c>
      <c r="E185" t="s">
        <v>154</v>
      </c>
      <c r="F185">
        <v>0</v>
      </c>
      <c r="G185">
        <v>1</v>
      </c>
      <c r="H185" t="s">
        <v>110</v>
      </c>
      <c r="I185">
        <v>2.77</v>
      </c>
      <c r="J185">
        <v>3.34</v>
      </c>
      <c r="K185">
        <v>2.3199999999999998</v>
      </c>
      <c r="N185" s="19"/>
    </row>
    <row r="186" spans="1:14" x14ac:dyDescent="0.25">
      <c r="A186" t="str">
        <f>COUNTIF($D$2:D186,D186)&amp;D186</f>
        <v>6Pribram</v>
      </c>
      <c r="B186" t="str">
        <f>COUNTIF($E$2:E186,E186)&amp;E186</f>
        <v>7Prostejov</v>
      </c>
      <c r="C186" s="20">
        <v>45219</v>
      </c>
      <c r="D186" t="s">
        <v>159</v>
      </c>
      <c r="E186" t="s">
        <v>151</v>
      </c>
      <c r="F186">
        <v>1</v>
      </c>
      <c r="G186">
        <v>0</v>
      </c>
      <c r="H186" t="s">
        <v>109</v>
      </c>
      <c r="I186">
        <v>1.53</v>
      </c>
      <c r="J186">
        <v>3.95</v>
      </c>
      <c r="K186">
        <v>5.36</v>
      </c>
      <c r="N186" s="18"/>
    </row>
    <row r="187" spans="1:14" x14ac:dyDescent="0.25">
      <c r="A187" t="str">
        <f>COUNTIF($D$2:D187,D187)&amp;D187</f>
        <v>7Slovan Liberec</v>
      </c>
      <c r="B187" t="str">
        <f>COUNTIF($E$2:E187,E187)&amp;E187</f>
        <v>5Viktoria Plzen</v>
      </c>
      <c r="C187" s="20">
        <v>45220</v>
      </c>
      <c r="D187" t="s">
        <v>139</v>
      </c>
      <c r="E187" t="s">
        <v>141</v>
      </c>
      <c r="F187">
        <v>3</v>
      </c>
      <c r="G187">
        <v>0</v>
      </c>
      <c r="H187" t="s">
        <v>109</v>
      </c>
      <c r="I187">
        <v>4.3899999999999997</v>
      </c>
      <c r="J187">
        <v>3.97</v>
      </c>
      <c r="K187">
        <v>1.69</v>
      </c>
      <c r="N187" s="19"/>
    </row>
    <row r="188" spans="1:14" x14ac:dyDescent="0.25">
      <c r="A188" t="str">
        <f>COUNTIF($D$2:D188,D188)&amp;D188</f>
        <v>7Pardubice</v>
      </c>
      <c r="B188" t="str">
        <f>COUNTIF($E$2:E188,E188)&amp;E188</f>
        <v>6Sigma Olomouc</v>
      </c>
      <c r="C188" s="20">
        <v>45220</v>
      </c>
      <c r="D188" t="s">
        <v>145</v>
      </c>
      <c r="E188" t="s">
        <v>136</v>
      </c>
      <c r="F188">
        <v>1</v>
      </c>
      <c r="G188">
        <v>1</v>
      </c>
      <c r="H188" t="s">
        <v>2</v>
      </c>
      <c r="I188">
        <v>3.17</v>
      </c>
      <c r="J188">
        <v>3.44</v>
      </c>
      <c r="K188">
        <v>2.15</v>
      </c>
      <c r="N188" s="18"/>
    </row>
    <row r="189" spans="1:14" x14ac:dyDescent="0.25">
      <c r="A189" t="str">
        <f>COUNTIF($D$2:D189,D189)&amp;D189</f>
        <v>6Karvina</v>
      </c>
      <c r="B189" t="str">
        <f>COUNTIF($E$2:E189,E189)&amp;E189</f>
        <v>7Hradec Kralove</v>
      </c>
      <c r="C189" s="20">
        <v>45220</v>
      </c>
      <c r="D189" t="s">
        <v>142</v>
      </c>
      <c r="E189" t="s">
        <v>138</v>
      </c>
      <c r="F189">
        <v>1</v>
      </c>
      <c r="G189">
        <v>0</v>
      </c>
      <c r="H189" t="s">
        <v>109</v>
      </c>
      <c r="I189">
        <v>2.2599999999999998</v>
      </c>
      <c r="J189">
        <v>3.4</v>
      </c>
      <c r="K189">
        <v>2.98</v>
      </c>
      <c r="N189" s="19"/>
    </row>
    <row r="190" spans="1:14" x14ac:dyDescent="0.25">
      <c r="A190" t="str">
        <f>COUNTIF($D$2:D190,D190)&amp;D190</f>
        <v>6Zlin</v>
      </c>
      <c r="B190" t="str">
        <f>COUNTIF($E$2:E190,E190)&amp;E190</f>
        <v>6Mlada Boleslav</v>
      </c>
      <c r="C190" s="20">
        <v>45220</v>
      </c>
      <c r="D190" t="s">
        <v>146</v>
      </c>
      <c r="E190" t="s">
        <v>134</v>
      </c>
      <c r="F190">
        <v>5</v>
      </c>
      <c r="G190">
        <v>9</v>
      </c>
      <c r="H190" t="s">
        <v>110</v>
      </c>
      <c r="I190">
        <v>3.54</v>
      </c>
      <c r="J190">
        <v>3.56</v>
      </c>
      <c r="K190">
        <v>1.96</v>
      </c>
      <c r="N190" s="19"/>
    </row>
    <row r="191" spans="1:14" x14ac:dyDescent="0.25">
      <c r="A191" t="str">
        <f>COUNTIF($D$2:D191,D191)&amp;D191</f>
        <v>6Slavia Prague</v>
      </c>
      <c r="B191" t="str">
        <f>COUNTIF($E$2:E191,E191)&amp;E191</f>
        <v>6Slovacko</v>
      </c>
      <c r="C191" s="20">
        <v>45220</v>
      </c>
      <c r="D191" t="s">
        <v>133</v>
      </c>
      <c r="E191" t="s">
        <v>140</v>
      </c>
      <c r="F191">
        <v>2</v>
      </c>
      <c r="G191">
        <v>0</v>
      </c>
      <c r="H191" t="s">
        <v>109</v>
      </c>
      <c r="I191">
        <v>1.36</v>
      </c>
      <c r="J191">
        <v>4.8</v>
      </c>
      <c r="K191">
        <v>7.92</v>
      </c>
      <c r="N191" s="18"/>
    </row>
    <row r="192" spans="1:14" x14ac:dyDescent="0.25">
      <c r="A192" t="str">
        <f>COUNTIF($D$2:D192,D192)&amp;D192</f>
        <v>7Han. Kromeriz</v>
      </c>
      <c r="B192" t="str">
        <f>COUNTIF($E$2:E192,E192)&amp;E192</f>
        <v>6Varnsdorf</v>
      </c>
      <c r="C192" s="20">
        <v>45220</v>
      </c>
      <c r="D192" t="s">
        <v>163</v>
      </c>
      <c r="E192" t="s">
        <v>161</v>
      </c>
      <c r="F192">
        <v>1</v>
      </c>
      <c r="G192">
        <v>2</v>
      </c>
      <c r="H192" t="s">
        <v>110</v>
      </c>
      <c r="I192">
        <v>2.04</v>
      </c>
      <c r="J192">
        <v>3.35</v>
      </c>
      <c r="K192">
        <v>3.27</v>
      </c>
      <c r="N192" s="19"/>
    </row>
    <row r="193" spans="1:14" x14ac:dyDescent="0.25">
      <c r="A193" t="str">
        <f>COUNTIF($D$2:D193,D193)&amp;D193</f>
        <v>6Dukla Praha</v>
      </c>
      <c r="B193" t="str">
        <f>COUNTIF($E$2:E193,E193)&amp;E193</f>
        <v>7Chrudim</v>
      </c>
      <c r="C193" s="20">
        <v>45220</v>
      </c>
      <c r="D193" t="s">
        <v>148</v>
      </c>
      <c r="E193" t="s">
        <v>162</v>
      </c>
      <c r="F193">
        <v>1</v>
      </c>
      <c r="G193">
        <v>0</v>
      </c>
      <c r="H193" t="s">
        <v>109</v>
      </c>
      <c r="I193">
        <v>1.41</v>
      </c>
      <c r="J193">
        <v>4.53</v>
      </c>
      <c r="K193">
        <v>6.19</v>
      </c>
      <c r="N193" s="18"/>
    </row>
    <row r="194" spans="1:14" x14ac:dyDescent="0.25">
      <c r="A194" t="str">
        <f>COUNTIF($D$2:D194,D194)&amp;D194</f>
        <v>7Opava</v>
      </c>
      <c r="B194" t="str">
        <f>COUNTIF($E$2:E194,E194)&amp;E194</f>
        <v>6Taborsko</v>
      </c>
      <c r="C194" s="20">
        <v>45220</v>
      </c>
      <c r="D194" t="s">
        <v>155</v>
      </c>
      <c r="E194" t="s">
        <v>152</v>
      </c>
      <c r="F194">
        <v>0</v>
      </c>
      <c r="G194">
        <v>1</v>
      </c>
      <c r="H194" t="s">
        <v>110</v>
      </c>
      <c r="I194">
        <v>1.88</v>
      </c>
      <c r="J194">
        <v>3.4</v>
      </c>
      <c r="K194">
        <v>3.72</v>
      </c>
      <c r="N194" s="19"/>
    </row>
    <row r="195" spans="1:14" x14ac:dyDescent="0.25">
      <c r="A195" t="str">
        <f>COUNTIF($D$2:D195,D195)&amp;D195</f>
        <v>7Lisen</v>
      </c>
      <c r="B195" t="str">
        <f>COUNTIF($E$2:E195,E195)&amp;E195</f>
        <v>7Sparta Prague B</v>
      </c>
      <c r="C195" s="20">
        <v>45220</v>
      </c>
      <c r="D195" t="s">
        <v>150</v>
      </c>
      <c r="E195" t="s">
        <v>153</v>
      </c>
      <c r="F195">
        <v>4</v>
      </c>
      <c r="G195">
        <v>2</v>
      </c>
      <c r="H195" t="s">
        <v>109</v>
      </c>
      <c r="I195">
        <v>1.73</v>
      </c>
      <c r="J195">
        <v>3.52</v>
      </c>
      <c r="K195">
        <v>4.37</v>
      </c>
      <c r="N195" s="18"/>
    </row>
    <row r="196" spans="1:14" x14ac:dyDescent="0.25">
      <c r="A196" t="str">
        <f>COUNTIF($D$2:D196,D196)&amp;D196</f>
        <v>5Jablonec</v>
      </c>
      <c r="B196" t="str">
        <f>COUNTIF($E$2:E196,E196)&amp;E196</f>
        <v>6Bohemians</v>
      </c>
      <c r="C196" s="20">
        <v>45221</v>
      </c>
      <c r="D196" t="s">
        <v>143</v>
      </c>
      <c r="E196" t="s">
        <v>137</v>
      </c>
      <c r="F196">
        <v>0</v>
      </c>
      <c r="G196">
        <v>1</v>
      </c>
      <c r="H196" t="s">
        <v>110</v>
      </c>
      <c r="I196">
        <v>2.0299999999999998</v>
      </c>
      <c r="J196">
        <v>3.44</v>
      </c>
      <c r="K196">
        <v>3.46</v>
      </c>
      <c r="N196" s="19"/>
    </row>
    <row r="197" spans="1:14" x14ac:dyDescent="0.25">
      <c r="A197" t="str">
        <f>COUNTIF($D$2:D197,D197)&amp;D197</f>
        <v>6Sparta Prague</v>
      </c>
      <c r="B197" t="str">
        <f>COUNTIF($E$2:E197,E197)&amp;E197</f>
        <v>6C. Budejovice</v>
      </c>
      <c r="C197" s="20">
        <v>45221</v>
      </c>
      <c r="D197" t="s">
        <v>132</v>
      </c>
      <c r="E197" t="s">
        <v>147</v>
      </c>
      <c r="F197">
        <v>4</v>
      </c>
      <c r="G197">
        <v>0</v>
      </c>
      <c r="H197" t="s">
        <v>109</v>
      </c>
      <c r="I197">
        <v>1.1200000000000001</v>
      </c>
      <c r="J197">
        <v>8.6300000000000008</v>
      </c>
      <c r="K197">
        <v>16.809999999999999</v>
      </c>
      <c r="N197" s="19"/>
    </row>
    <row r="198" spans="1:14" x14ac:dyDescent="0.25">
      <c r="A198" t="str">
        <f>COUNTIF($D$2:D198,D198)&amp;D198</f>
        <v>6Teplice</v>
      </c>
      <c r="B198" t="str">
        <f>COUNTIF($E$2:E198,E198)&amp;E198</f>
        <v>6Banik Ostrava</v>
      </c>
      <c r="C198" s="20">
        <v>45221</v>
      </c>
      <c r="D198" t="s">
        <v>135</v>
      </c>
      <c r="E198" t="s">
        <v>144</v>
      </c>
      <c r="F198">
        <v>0</v>
      </c>
      <c r="G198">
        <v>1</v>
      </c>
      <c r="H198" t="s">
        <v>110</v>
      </c>
      <c r="I198">
        <v>3.8</v>
      </c>
      <c r="J198">
        <v>3.52</v>
      </c>
      <c r="K198">
        <v>1.91</v>
      </c>
      <c r="N198" s="18"/>
    </row>
    <row r="199" spans="1:14" x14ac:dyDescent="0.25">
      <c r="A199" t="str">
        <f>COUNTIF($D$2:D199,D199)&amp;D199</f>
        <v>7Sigma Olomouc B</v>
      </c>
      <c r="B199" t="str">
        <f>COUNTIF($E$2:E199,E199)&amp;E199</f>
        <v>7Vlasim</v>
      </c>
      <c r="C199" s="20">
        <v>45221</v>
      </c>
      <c r="D199" t="s">
        <v>156</v>
      </c>
      <c r="E199" t="s">
        <v>157</v>
      </c>
      <c r="F199">
        <v>1</v>
      </c>
      <c r="G199">
        <v>0</v>
      </c>
      <c r="H199" t="s">
        <v>109</v>
      </c>
      <c r="I199">
        <v>2.71</v>
      </c>
      <c r="J199">
        <v>3.45</v>
      </c>
      <c r="K199">
        <v>2.29</v>
      </c>
      <c r="N199" s="19"/>
    </row>
    <row r="200" spans="1:14" x14ac:dyDescent="0.25">
      <c r="A200" t="str">
        <f>COUNTIF($D$2:D200,D200)&amp;D200</f>
        <v>7Vikto Zizkov</v>
      </c>
      <c r="B200" t="str">
        <f>COUNTIF($E$2:E200,E200)&amp;E200</f>
        <v>7Zbrojovka Brno</v>
      </c>
      <c r="C200" s="20">
        <v>45221</v>
      </c>
      <c r="D200" t="s">
        <v>160</v>
      </c>
      <c r="E200" t="s">
        <v>158</v>
      </c>
      <c r="F200">
        <v>4</v>
      </c>
      <c r="G200">
        <v>2</v>
      </c>
      <c r="H200" t="s">
        <v>109</v>
      </c>
      <c r="I200">
        <v>3.36</v>
      </c>
      <c r="J200">
        <v>3.49</v>
      </c>
      <c r="K200">
        <v>1.97</v>
      </c>
      <c r="N200" s="18"/>
    </row>
    <row r="201" spans="1:14" x14ac:dyDescent="0.25">
      <c r="A201" t="str">
        <f>COUNTIF($D$2:D201,D201)&amp;D201</f>
        <v>7Zbrojovka Brno</v>
      </c>
      <c r="B201" t="str">
        <f>COUNTIF($E$2:E201,E201)&amp;E201</f>
        <v>7Lisen</v>
      </c>
      <c r="C201" s="20">
        <v>45226</v>
      </c>
      <c r="D201" t="s">
        <v>158</v>
      </c>
      <c r="E201" t="s">
        <v>150</v>
      </c>
      <c r="F201">
        <v>3</v>
      </c>
      <c r="G201">
        <v>0</v>
      </c>
      <c r="H201" t="s">
        <v>109</v>
      </c>
      <c r="I201">
        <v>1.71</v>
      </c>
      <c r="J201">
        <v>3.55</v>
      </c>
      <c r="K201">
        <v>4.3899999999999997</v>
      </c>
      <c r="N201" s="19"/>
    </row>
    <row r="202" spans="1:14" x14ac:dyDescent="0.25">
      <c r="A202" t="str">
        <f>COUNTIF($D$2:D202,D202)&amp;D202</f>
        <v>8Jihlava</v>
      </c>
      <c r="B202" t="str">
        <f>COUNTIF($E$2:E202,E202)&amp;E202</f>
        <v>8Pribram</v>
      </c>
      <c r="C202" s="20">
        <v>45226</v>
      </c>
      <c r="D202" t="s">
        <v>149</v>
      </c>
      <c r="E202" t="s">
        <v>159</v>
      </c>
      <c r="F202">
        <v>2</v>
      </c>
      <c r="G202">
        <v>1</v>
      </c>
      <c r="H202" t="s">
        <v>109</v>
      </c>
      <c r="I202">
        <v>2.23</v>
      </c>
      <c r="J202">
        <v>3.39</v>
      </c>
      <c r="K202">
        <v>2.85</v>
      </c>
      <c r="N202" s="19"/>
    </row>
    <row r="203" spans="1:14" x14ac:dyDescent="0.25">
      <c r="A203" t="str">
        <f>COUNTIF($D$2:D203,D203)&amp;D203</f>
        <v>6Hradec Kralove</v>
      </c>
      <c r="B203" t="str">
        <f>COUNTIF($E$2:E203,E203)&amp;E203</f>
        <v>7Teplice</v>
      </c>
      <c r="C203" s="20">
        <v>45227</v>
      </c>
      <c r="D203" t="s">
        <v>138</v>
      </c>
      <c r="E203" t="s">
        <v>135</v>
      </c>
      <c r="F203">
        <v>1</v>
      </c>
      <c r="G203">
        <v>0</v>
      </c>
      <c r="H203" t="s">
        <v>109</v>
      </c>
      <c r="I203">
        <v>1.87</v>
      </c>
      <c r="J203">
        <v>3.39</v>
      </c>
      <c r="K203">
        <v>4.13</v>
      </c>
      <c r="N203" s="18"/>
    </row>
    <row r="204" spans="1:14" x14ac:dyDescent="0.25">
      <c r="A204" t="str">
        <f>COUNTIF($D$2:D204,D204)&amp;D204</f>
        <v>7C. Budejovice</v>
      </c>
      <c r="B204" t="str">
        <f>COUNTIF($E$2:E204,E204)&amp;E204</f>
        <v>6Pardubice</v>
      </c>
      <c r="C204" s="20">
        <v>45227</v>
      </c>
      <c r="D204" t="s">
        <v>147</v>
      </c>
      <c r="E204" t="s">
        <v>145</v>
      </c>
      <c r="F204">
        <v>0</v>
      </c>
      <c r="G204">
        <v>1</v>
      </c>
      <c r="H204" t="s">
        <v>110</v>
      </c>
      <c r="I204">
        <v>1.81</v>
      </c>
      <c r="J204">
        <v>3.78</v>
      </c>
      <c r="K204">
        <v>3.9</v>
      </c>
      <c r="N204" s="19"/>
    </row>
    <row r="205" spans="1:14" x14ac:dyDescent="0.25">
      <c r="A205" t="str">
        <f>COUNTIF($D$2:D205,D205)&amp;D205</f>
        <v>7Banik Ostrava</v>
      </c>
      <c r="B205" t="str">
        <f>COUNTIF($E$2:E205,E205)&amp;E205</f>
        <v>8Jablonec</v>
      </c>
      <c r="C205" s="20">
        <v>45227</v>
      </c>
      <c r="D205" t="s">
        <v>144</v>
      </c>
      <c r="E205" t="s">
        <v>143</v>
      </c>
      <c r="F205">
        <v>0</v>
      </c>
      <c r="G205">
        <v>1</v>
      </c>
      <c r="H205" t="s">
        <v>110</v>
      </c>
      <c r="I205">
        <v>1.67</v>
      </c>
      <c r="J205">
        <v>3.81</v>
      </c>
      <c r="K205">
        <v>4.7699999999999996</v>
      </c>
      <c r="N205" s="18"/>
    </row>
    <row r="206" spans="1:14" x14ac:dyDescent="0.25">
      <c r="A206" t="str">
        <f>COUNTIF($D$2:D206,D206)&amp;D206</f>
        <v>7Slovacko</v>
      </c>
      <c r="B206" t="str">
        <f>COUNTIF($E$2:E206,E206)&amp;E206</f>
        <v>6Slovan Liberec</v>
      </c>
      <c r="C206" s="20">
        <v>45227</v>
      </c>
      <c r="D206" t="s">
        <v>140</v>
      </c>
      <c r="E206" t="s">
        <v>139</v>
      </c>
      <c r="F206">
        <v>1</v>
      </c>
      <c r="G206">
        <v>1</v>
      </c>
      <c r="H206" t="s">
        <v>2</v>
      </c>
      <c r="I206">
        <v>1.87</v>
      </c>
      <c r="J206">
        <v>3.56</v>
      </c>
      <c r="K206">
        <v>3.91</v>
      </c>
      <c r="N206" s="19"/>
    </row>
    <row r="207" spans="1:14" x14ac:dyDescent="0.25">
      <c r="A207" t="str">
        <f>COUNTIF($D$2:D207,D207)&amp;D207</f>
        <v>7Sigma Olomouc</v>
      </c>
      <c r="B207" t="str">
        <f>COUNTIF($E$2:E207,E207)&amp;E207</f>
        <v>7Zlin</v>
      </c>
      <c r="C207" s="20">
        <v>45227</v>
      </c>
      <c r="D207" t="s">
        <v>136</v>
      </c>
      <c r="E207" t="s">
        <v>146</v>
      </c>
      <c r="F207">
        <v>0</v>
      </c>
      <c r="G207">
        <v>0</v>
      </c>
      <c r="H207" t="s">
        <v>2</v>
      </c>
      <c r="I207">
        <v>1.36</v>
      </c>
      <c r="J207">
        <v>4.87</v>
      </c>
      <c r="K207">
        <v>7.74</v>
      </c>
      <c r="N207" s="18"/>
    </row>
    <row r="208" spans="1:14" x14ac:dyDescent="0.25">
      <c r="A208" t="str">
        <f>COUNTIF($D$2:D208,D208)&amp;D208</f>
        <v>7Vyskov</v>
      </c>
      <c r="B208" t="str">
        <f>COUNTIF($E$2:E208,E208)&amp;E208</f>
        <v>7Opava</v>
      </c>
      <c r="C208" s="20">
        <v>45227</v>
      </c>
      <c r="D208" t="s">
        <v>154</v>
      </c>
      <c r="E208" t="s">
        <v>155</v>
      </c>
      <c r="F208">
        <v>1</v>
      </c>
      <c r="G208">
        <v>3</v>
      </c>
      <c r="H208" t="s">
        <v>110</v>
      </c>
      <c r="I208">
        <v>1.8</v>
      </c>
      <c r="J208">
        <v>3.44</v>
      </c>
      <c r="K208">
        <v>4.04</v>
      </c>
      <c r="N208" s="19"/>
    </row>
    <row r="209" spans="1:14" x14ac:dyDescent="0.25">
      <c r="A209" t="str">
        <f>COUNTIF($D$2:D209,D209)&amp;D209</f>
        <v>7Chrudim</v>
      </c>
      <c r="B209" t="str">
        <f>COUNTIF($E$2:E209,E209)&amp;E209</f>
        <v>7Han. Kromeriz</v>
      </c>
      <c r="C209" s="20">
        <v>45227</v>
      </c>
      <c r="D209" t="s">
        <v>162</v>
      </c>
      <c r="E209" t="s">
        <v>163</v>
      </c>
      <c r="F209">
        <v>3</v>
      </c>
      <c r="G209">
        <v>1</v>
      </c>
      <c r="H209" t="s">
        <v>109</v>
      </c>
      <c r="I209">
        <v>1.8</v>
      </c>
      <c r="J209">
        <v>3.52</v>
      </c>
      <c r="K209">
        <v>3.95</v>
      </c>
      <c r="N209" s="19"/>
    </row>
    <row r="210" spans="1:14" x14ac:dyDescent="0.25">
      <c r="A210" t="str">
        <f>COUNTIF($D$2:D210,D210)&amp;D210</f>
        <v>8Taborsko</v>
      </c>
      <c r="B210" t="str">
        <f>COUNTIF($E$2:E210,E210)&amp;E210</f>
        <v>8Vlasim</v>
      </c>
      <c r="C210" s="20">
        <v>45227</v>
      </c>
      <c r="D210" t="s">
        <v>152</v>
      </c>
      <c r="E210" t="s">
        <v>157</v>
      </c>
      <c r="F210">
        <v>1</v>
      </c>
      <c r="G210">
        <v>1</v>
      </c>
      <c r="H210" t="s">
        <v>2</v>
      </c>
      <c r="I210">
        <v>1.81</v>
      </c>
      <c r="J210">
        <v>3.64</v>
      </c>
      <c r="K210">
        <v>3.75</v>
      </c>
      <c r="N210" s="18"/>
    </row>
    <row r="211" spans="1:14" x14ac:dyDescent="0.25">
      <c r="A211" t="str">
        <f>COUNTIF($D$2:D211,D211)&amp;D211</f>
        <v>7Prostejov</v>
      </c>
      <c r="B211" t="str">
        <f>COUNTIF($E$2:E211,E211)&amp;E211</f>
        <v>8Dukla Praha</v>
      </c>
      <c r="C211" s="20">
        <v>45227</v>
      </c>
      <c r="D211" t="s">
        <v>151</v>
      </c>
      <c r="E211" t="s">
        <v>148</v>
      </c>
      <c r="F211">
        <v>1</v>
      </c>
      <c r="G211">
        <v>2</v>
      </c>
      <c r="H211" t="s">
        <v>110</v>
      </c>
      <c r="I211">
        <v>3.78</v>
      </c>
      <c r="J211">
        <v>3.65</v>
      </c>
      <c r="K211">
        <v>1.8</v>
      </c>
      <c r="N211" s="19"/>
    </row>
    <row r="212" spans="1:14" x14ac:dyDescent="0.25">
      <c r="A212" t="str">
        <f>COUNTIF($D$2:D212,D212)&amp;D212</f>
        <v>7Bohemians</v>
      </c>
      <c r="B212" t="str">
        <f>COUNTIF($E$2:E212,E212)&amp;E212</f>
        <v>7Slavia Prague</v>
      </c>
      <c r="C212" s="20">
        <v>45228</v>
      </c>
      <c r="D212" t="s">
        <v>137</v>
      </c>
      <c r="E212" t="s">
        <v>133</v>
      </c>
      <c r="F212">
        <v>0</v>
      </c>
      <c r="G212">
        <v>2</v>
      </c>
      <c r="H212" t="s">
        <v>110</v>
      </c>
      <c r="I212">
        <v>6.97</v>
      </c>
      <c r="J212">
        <v>4.49</v>
      </c>
      <c r="K212">
        <v>1.41</v>
      </c>
      <c r="N212" s="18"/>
    </row>
    <row r="213" spans="1:14" x14ac:dyDescent="0.25">
      <c r="A213" t="str">
        <f>COUNTIF($D$2:D213,D213)&amp;D213</f>
        <v>6Mlada Boleslav</v>
      </c>
      <c r="B213" t="str">
        <f>COUNTIF($E$2:E213,E213)&amp;E213</f>
        <v>7Sparta Prague</v>
      </c>
      <c r="C213" s="20">
        <v>45228</v>
      </c>
      <c r="D213" t="s">
        <v>134</v>
      </c>
      <c r="E213" t="s">
        <v>132</v>
      </c>
      <c r="F213">
        <v>3</v>
      </c>
      <c r="G213">
        <v>1</v>
      </c>
      <c r="H213" t="s">
        <v>109</v>
      </c>
      <c r="I213">
        <v>4.46</v>
      </c>
      <c r="J213">
        <v>3.94</v>
      </c>
      <c r="K213">
        <v>1.68</v>
      </c>
      <c r="N213" s="19"/>
    </row>
    <row r="214" spans="1:14" x14ac:dyDescent="0.25">
      <c r="A214" t="str">
        <f>COUNTIF($D$2:D214,D214)&amp;D214</f>
        <v>7Viktoria Plzen</v>
      </c>
      <c r="B214" t="str">
        <f>COUNTIF($E$2:E214,E214)&amp;E214</f>
        <v>7Karvina</v>
      </c>
      <c r="C214" s="20">
        <v>45228</v>
      </c>
      <c r="D214" t="s">
        <v>141</v>
      </c>
      <c r="E214" t="s">
        <v>142</v>
      </c>
      <c r="F214">
        <v>0</v>
      </c>
      <c r="G214">
        <v>1</v>
      </c>
      <c r="H214" t="s">
        <v>110</v>
      </c>
      <c r="I214">
        <v>1.18</v>
      </c>
      <c r="J214">
        <v>6.9</v>
      </c>
      <c r="K214">
        <v>12.64</v>
      </c>
      <c r="N214" s="19"/>
    </row>
    <row r="215" spans="1:14" x14ac:dyDescent="0.25">
      <c r="A215" t="str">
        <f>COUNTIF($D$2:D215,D215)&amp;D215</f>
        <v>7Sparta Prague B</v>
      </c>
      <c r="B215" t="str">
        <f>COUNTIF($E$2:E215,E215)&amp;E215</f>
        <v>7Sigma Olomouc B</v>
      </c>
      <c r="C215" s="20">
        <v>45228</v>
      </c>
      <c r="D215" t="s">
        <v>153</v>
      </c>
      <c r="E215" t="s">
        <v>156</v>
      </c>
      <c r="F215">
        <v>0</v>
      </c>
      <c r="G215">
        <v>2</v>
      </c>
      <c r="H215" t="s">
        <v>110</v>
      </c>
      <c r="I215">
        <v>2.0499999999999998</v>
      </c>
      <c r="J215">
        <v>3.47</v>
      </c>
      <c r="K215">
        <v>3.09</v>
      </c>
      <c r="N215" s="19"/>
    </row>
    <row r="216" spans="1:14" x14ac:dyDescent="0.25">
      <c r="A216" t="str">
        <f>COUNTIF($D$2:D217,D217)&amp;D217</f>
        <v>7Pribram</v>
      </c>
      <c r="B216" t="str">
        <f>COUNTIF($E$2:E217,E217)&amp;E217</f>
        <v>7Varnsdorf</v>
      </c>
      <c r="C216" s="20">
        <v>45228</v>
      </c>
      <c r="D216" t="s">
        <v>161</v>
      </c>
      <c r="E216" t="s">
        <v>160</v>
      </c>
      <c r="F216">
        <v>4</v>
      </c>
      <c r="G216">
        <v>2</v>
      </c>
      <c r="H216" t="s">
        <v>109</v>
      </c>
      <c r="I216">
        <v>2.12</v>
      </c>
      <c r="J216">
        <v>3.49</v>
      </c>
      <c r="K216">
        <v>2.97</v>
      </c>
      <c r="N216" s="18"/>
    </row>
    <row r="217" spans="1:14" x14ac:dyDescent="0.25">
      <c r="A217" t="str">
        <f>COUNTIF($D$2:D377,D377)&amp;D377</f>
        <v>0</v>
      </c>
      <c r="B217" t="str">
        <f>COUNTIF($E$2:E377,E377)&amp;E377</f>
        <v>0</v>
      </c>
      <c r="C217" s="20">
        <v>45232</v>
      </c>
      <c r="D217" t="s">
        <v>159</v>
      </c>
      <c r="E217" t="s">
        <v>161</v>
      </c>
      <c r="F217">
        <v>2</v>
      </c>
      <c r="G217">
        <v>2</v>
      </c>
      <c r="H217" t="s">
        <v>2</v>
      </c>
      <c r="I217">
        <v>1.86</v>
      </c>
      <c r="J217">
        <v>3.63</v>
      </c>
      <c r="K217">
        <v>3.57</v>
      </c>
      <c r="N217" s="19"/>
    </row>
    <row r="218" spans="1:14" x14ac:dyDescent="0.25">
      <c r="A218" t="str">
        <f>COUNTIF($D$2:D378,D378)&amp;D378</f>
        <v>0</v>
      </c>
      <c r="B218" t="str">
        <f>COUNTIF($E$2:E378,E378)&amp;E378</f>
        <v>0</v>
      </c>
      <c r="N218" s="18"/>
    </row>
    <row r="219" spans="1:14" x14ac:dyDescent="0.25">
      <c r="A219" t="str">
        <f>COUNTIF($D$2:D379,D379)&amp;D379</f>
        <v>0</v>
      </c>
      <c r="B219" t="str">
        <f>COUNTIF($E$2:E379,E379)&amp;E379</f>
        <v>0</v>
      </c>
      <c r="N219" s="19"/>
    </row>
    <row r="220" spans="1:14" x14ac:dyDescent="0.25">
      <c r="A220" t="str">
        <f>COUNTIF($D$2:D380,D380)&amp;D380</f>
        <v>0</v>
      </c>
      <c r="B220" t="str">
        <f>COUNTIF($E$2:E380,E380)&amp;E380</f>
        <v>0</v>
      </c>
      <c r="N220" s="19"/>
    </row>
    <row r="221" spans="1:14" x14ac:dyDescent="0.25">
      <c r="A221" t="str">
        <f>COUNTIF($D$2:D381,D381)&amp;D381</f>
        <v>0</v>
      </c>
      <c r="B221" t="str">
        <f>COUNTIF($E$2:E381,E381)&amp;E381</f>
        <v>0</v>
      </c>
      <c r="N221" s="19"/>
    </row>
    <row r="222" spans="1:14" x14ac:dyDescent="0.25">
      <c r="A222" t="str">
        <f>COUNTIF($D$2:D382,D382)&amp;D382</f>
        <v>0</v>
      </c>
      <c r="B222" t="str">
        <f>COUNTIF($E$2:E382,E382)&amp;E382</f>
        <v>0</v>
      </c>
      <c r="N222" s="18"/>
    </row>
    <row r="223" spans="1:14" x14ac:dyDescent="0.25">
      <c r="A223" t="str">
        <f>COUNTIF($D$2:D383,D383)&amp;D383</f>
        <v>0</v>
      </c>
      <c r="B223" t="str">
        <f>COUNTIF($E$2:E383,E383)&amp;E383</f>
        <v>0</v>
      </c>
      <c r="N223" s="19"/>
    </row>
    <row r="224" spans="1:14" x14ac:dyDescent="0.25">
      <c r="A224" t="str">
        <f>COUNTIF($D$2:D384,D384)&amp;D384</f>
        <v>0</v>
      </c>
      <c r="B224" t="str">
        <f>COUNTIF($E$2:E384,E384)&amp;E384</f>
        <v>0</v>
      </c>
      <c r="N224" s="18"/>
    </row>
    <row r="225" spans="1:14" x14ac:dyDescent="0.25">
      <c r="A225" t="str">
        <f>COUNTIF($D$2:D385,D385)&amp;D385</f>
        <v>0</v>
      </c>
      <c r="B225" t="str">
        <f>COUNTIF($E$2:E385,E385)&amp;E385</f>
        <v>0</v>
      </c>
      <c r="N225" s="19"/>
    </row>
    <row r="226" spans="1:14" x14ac:dyDescent="0.25">
      <c r="A226" t="str">
        <f>COUNTIF($D$2:D386,D386)&amp;D386</f>
        <v>0</v>
      </c>
      <c r="B226" t="str">
        <f>COUNTIF($E$2:E386,E386)&amp;E386</f>
        <v>0</v>
      </c>
      <c r="N226" s="19"/>
    </row>
    <row r="227" spans="1:14" x14ac:dyDescent="0.25">
      <c r="A227" t="str">
        <f>COUNTIF($D$2:D387,D387)&amp;D387</f>
        <v>0</v>
      </c>
      <c r="B227" t="str">
        <f>COUNTIF($E$2:E387,E387)&amp;E387</f>
        <v>0</v>
      </c>
      <c r="N227" s="19"/>
    </row>
    <row r="228" spans="1:14" x14ac:dyDescent="0.25">
      <c r="A228" t="str">
        <f>COUNTIF($D$2:D388,D388)&amp;D388</f>
        <v>0</v>
      </c>
      <c r="B228" t="str">
        <f>COUNTIF($E$2:E388,E388)&amp;E388</f>
        <v>0</v>
      </c>
      <c r="N228" s="19"/>
    </row>
    <row r="229" spans="1:14" x14ac:dyDescent="0.25">
      <c r="A229" t="str">
        <f>COUNTIF($D$2:D389,D389)&amp;D389</f>
        <v>0</v>
      </c>
      <c r="B229" t="str">
        <f>COUNTIF($E$2:E389,E389)&amp;E389</f>
        <v>0</v>
      </c>
      <c r="N229" s="18"/>
    </row>
    <row r="230" spans="1:14" x14ac:dyDescent="0.25">
      <c r="A230" t="str">
        <f>COUNTIF($D$2:D390,D390)&amp;D390</f>
        <v>0</v>
      </c>
      <c r="B230" t="str">
        <f>COUNTIF($E$2:E390,E390)&amp;E390</f>
        <v>0</v>
      </c>
      <c r="N230" s="19"/>
    </row>
    <row r="231" spans="1:14" x14ac:dyDescent="0.25">
      <c r="A231" t="str">
        <f>COUNTIF($D$2:D391,D391)&amp;D391</f>
        <v>0</v>
      </c>
      <c r="B231" t="str">
        <f>COUNTIF($E$2:E391,E391)&amp;E391</f>
        <v>0</v>
      </c>
      <c r="N231" s="18"/>
    </row>
    <row r="232" spans="1:14" x14ac:dyDescent="0.25">
      <c r="A232" t="str">
        <f>COUNTIF($D$2:D392,D392)&amp;D392</f>
        <v>0</v>
      </c>
      <c r="B232" t="str">
        <f>COUNTIF($E$2:E392,E392)&amp;E392</f>
        <v>0</v>
      </c>
      <c r="N232" s="19"/>
    </row>
    <row r="233" spans="1:14" x14ac:dyDescent="0.25">
      <c r="A233" t="str">
        <f>COUNTIF($D$2:D393,D393)&amp;D393</f>
        <v>0</v>
      </c>
      <c r="B233" t="str">
        <f>COUNTIF($E$2:E393,E393)&amp;E393</f>
        <v>0</v>
      </c>
      <c r="N233" s="19"/>
    </row>
    <row r="234" spans="1:14" x14ac:dyDescent="0.25">
      <c r="A234" t="str">
        <f>COUNTIF($D$2:D394,D394)&amp;D394</f>
        <v>0</v>
      </c>
      <c r="B234" t="str">
        <f>COUNTIF($E$2:E394,E394)&amp;E394</f>
        <v>0</v>
      </c>
      <c r="N234" s="19"/>
    </row>
    <row r="235" spans="1:14" x14ac:dyDescent="0.25">
      <c r="A235" t="str">
        <f>COUNTIF($D$2:D395,D395)&amp;D395</f>
        <v>0</v>
      </c>
      <c r="B235" t="str">
        <f>COUNTIF($E$2:E395,E395)&amp;E395</f>
        <v>0</v>
      </c>
      <c r="N235" s="19"/>
    </row>
    <row r="236" spans="1:14" x14ac:dyDescent="0.25">
      <c r="A236" t="str">
        <f>COUNTIF($D$2:D396,D396)&amp;D396</f>
        <v>0</v>
      </c>
      <c r="B236" t="str">
        <f>COUNTIF($E$2:E396,E396)&amp;E396</f>
        <v>0</v>
      </c>
      <c r="N236" s="18"/>
    </row>
    <row r="237" spans="1:14" x14ac:dyDescent="0.25">
      <c r="A237" t="str">
        <f>COUNTIF($D$2:D397,D397)&amp;D397</f>
        <v>0</v>
      </c>
      <c r="B237" t="str">
        <f>COUNTIF($E$2:E397,E397)&amp;E397</f>
        <v>0</v>
      </c>
      <c r="N237" s="19"/>
    </row>
    <row r="238" spans="1:14" x14ac:dyDescent="0.25">
      <c r="A238" t="str">
        <f>COUNTIF($D$2:D398,D398)&amp;D398</f>
        <v>0</v>
      </c>
      <c r="B238" t="str">
        <f>COUNTIF($E$2:E398,E398)&amp;E398</f>
        <v>0</v>
      </c>
      <c r="N238" s="18"/>
    </row>
    <row r="239" spans="1:14" x14ac:dyDescent="0.25">
      <c r="A239" t="str">
        <f>COUNTIF($D$2:D399,D399)&amp;D399</f>
        <v>0</v>
      </c>
      <c r="B239" t="str">
        <f>COUNTIF($E$2:E399,E399)&amp;E399</f>
        <v>0</v>
      </c>
      <c r="N239" s="19"/>
    </row>
    <row r="240" spans="1:14" x14ac:dyDescent="0.25">
      <c r="A240" t="str">
        <f>COUNTIF($D$2:D400,D400)&amp;D400</f>
        <v>0</v>
      </c>
      <c r="B240" t="str">
        <f>COUNTIF($E$2:E400,E400)&amp;E400</f>
        <v>0</v>
      </c>
      <c r="N240" s="19"/>
    </row>
    <row r="241" spans="1:14" x14ac:dyDescent="0.25">
      <c r="A241" t="str">
        <f>COUNTIF($D$2:D401,D401)&amp;D401</f>
        <v>0</v>
      </c>
      <c r="B241" t="str">
        <f>COUNTIF($E$2:E401,E401)&amp;E401</f>
        <v>0</v>
      </c>
      <c r="N241" s="19"/>
    </row>
    <row r="242" spans="1:14" x14ac:dyDescent="0.25">
      <c r="A242" t="str">
        <f>COUNTIF($D$2:D402,D402)&amp;D402</f>
        <v>0</v>
      </c>
      <c r="B242" t="str">
        <f>COUNTIF($E$2:E402,E402)&amp;E402</f>
        <v>0</v>
      </c>
      <c r="N242" s="18"/>
    </row>
    <row r="243" spans="1:14" x14ac:dyDescent="0.25">
      <c r="A243" t="str">
        <f>COUNTIF($D$2:D403,D403)&amp;D403</f>
        <v>0</v>
      </c>
      <c r="B243" t="str">
        <f>COUNTIF($E$2:E403,E403)&amp;E403</f>
        <v>0</v>
      </c>
      <c r="N243" s="19"/>
    </row>
    <row r="244" spans="1:14" x14ac:dyDescent="0.25">
      <c r="A244" t="str">
        <f>COUNTIF($D$2:D404,D404)&amp;D404</f>
        <v>0</v>
      </c>
      <c r="B244" t="str">
        <f>COUNTIF($E$2:E404,E404)&amp;E404</f>
        <v>0</v>
      </c>
      <c r="N244" s="18"/>
    </row>
    <row r="245" spans="1:14" x14ac:dyDescent="0.25">
      <c r="A245" t="str">
        <f>COUNTIF($D$2:D405,D405)&amp;D405</f>
        <v>0</v>
      </c>
      <c r="B245" t="str">
        <f>COUNTIF($E$2:E405,E405)&amp;E405</f>
        <v>0</v>
      </c>
      <c r="N245" s="19"/>
    </row>
    <row r="246" spans="1:14" x14ac:dyDescent="0.25">
      <c r="A246" t="str">
        <f>COUNTIF($D$2:D406,D406)&amp;D406</f>
        <v>0</v>
      </c>
      <c r="B246" t="str">
        <f>COUNTIF($E$2:E406,E406)&amp;E406</f>
        <v>0</v>
      </c>
      <c r="N246" s="19"/>
    </row>
    <row r="247" spans="1:14" x14ac:dyDescent="0.25">
      <c r="A247" t="str">
        <f>COUNTIF($D$2:D407,D407)&amp;D407</f>
        <v>0</v>
      </c>
      <c r="B247" t="str">
        <f>COUNTIF($E$2:E407,E407)&amp;E407</f>
        <v>0</v>
      </c>
      <c r="N247" s="19"/>
    </row>
    <row r="248" spans="1:14" x14ac:dyDescent="0.25">
      <c r="A248" t="str">
        <f>COUNTIF($D$2:D408,D408)&amp;D408</f>
        <v>0</v>
      </c>
      <c r="B248" t="str">
        <f>COUNTIF($E$2:E408,E408)&amp;E408</f>
        <v>0</v>
      </c>
      <c r="N248" s="19"/>
    </row>
    <row r="249" spans="1:14" x14ac:dyDescent="0.25">
      <c r="A249" t="str">
        <f>COUNTIF($D$2:D409,D409)&amp;D409</f>
        <v>0</v>
      </c>
      <c r="B249" t="str">
        <f>COUNTIF($E$2:E409,E409)&amp;E409</f>
        <v>0</v>
      </c>
      <c r="N249" s="18"/>
    </row>
    <row r="250" spans="1:14" x14ac:dyDescent="0.25">
      <c r="A250" t="str">
        <f>COUNTIF($D$2:D410,D410)&amp;D410</f>
        <v>0</v>
      </c>
      <c r="B250" t="str">
        <f>COUNTIF($E$2:E410,E410)&amp;E410</f>
        <v>0</v>
      </c>
      <c r="N250" s="19"/>
    </row>
    <row r="251" spans="1:14" x14ac:dyDescent="0.25">
      <c r="A251" t="str">
        <f>COUNTIF($D$2:D411,D411)&amp;D411</f>
        <v>0</v>
      </c>
      <c r="B251" t="str">
        <f>COUNTIF($E$2:E411,E411)&amp;E411</f>
        <v>0</v>
      </c>
      <c r="N251" s="18"/>
    </row>
    <row r="252" spans="1:14" x14ac:dyDescent="0.25">
      <c r="A252" t="str">
        <f>COUNTIF($D$2:D412,D412)&amp;D412</f>
        <v>0</v>
      </c>
      <c r="B252" t="str">
        <f>COUNTIF($E$2:E412,E412)&amp;E412</f>
        <v>0</v>
      </c>
      <c r="N252" s="19"/>
    </row>
    <row r="253" spans="1:14" x14ac:dyDescent="0.25">
      <c r="A253" t="str">
        <f>COUNTIF($D$2:D413,D413)&amp;D413</f>
        <v>0</v>
      </c>
      <c r="B253" t="str">
        <f>COUNTIF($E$2:E413,E413)&amp;E413</f>
        <v>0</v>
      </c>
      <c r="N253" s="19"/>
    </row>
    <row r="254" spans="1:14" x14ac:dyDescent="0.25">
      <c r="A254" t="str">
        <f>COUNTIF($D$2:D414,D414)&amp;D414</f>
        <v>0</v>
      </c>
      <c r="B254" t="str">
        <f>COUNTIF($E$2:E414,E414)&amp;E414</f>
        <v>0</v>
      </c>
      <c r="N254" s="19"/>
    </row>
    <row r="255" spans="1:14" x14ac:dyDescent="0.25">
      <c r="A255" t="str">
        <f>COUNTIF($D$2:D415,D415)&amp;D415</f>
        <v>0</v>
      </c>
      <c r="B255" t="str">
        <f>COUNTIF($E$2:E415,E415)&amp;E415</f>
        <v>0</v>
      </c>
      <c r="N255" s="19"/>
    </row>
    <row r="256" spans="1:14" x14ac:dyDescent="0.25">
      <c r="A256" t="str">
        <f>COUNTIF($D$2:D416,D416)&amp;D416</f>
        <v>0</v>
      </c>
      <c r="B256" t="str">
        <f>COUNTIF($E$2:E416,E416)&amp;E416</f>
        <v>0</v>
      </c>
      <c r="N256" s="18"/>
    </row>
    <row r="257" spans="1:14" x14ac:dyDescent="0.25">
      <c r="A257" t="str">
        <f>COUNTIF($D$2:D417,D417)&amp;D417</f>
        <v>0</v>
      </c>
      <c r="B257" t="str">
        <f>COUNTIF($E$2:E417,E417)&amp;E417</f>
        <v>0</v>
      </c>
      <c r="N257" s="19"/>
    </row>
    <row r="258" spans="1:14" x14ac:dyDescent="0.25">
      <c r="A258" t="str">
        <f>COUNTIF($D$2:D418,D418)&amp;D418</f>
        <v>0</v>
      </c>
      <c r="B258" t="str">
        <f>COUNTIF($E$2:E418,E418)&amp;E418</f>
        <v>0</v>
      </c>
      <c r="N258" s="18"/>
    </row>
    <row r="259" spans="1:14" x14ac:dyDescent="0.25">
      <c r="A259" t="str">
        <f>COUNTIF($D$2:D419,D419)&amp;D419</f>
        <v>0</v>
      </c>
      <c r="B259" t="str">
        <f>COUNTIF($E$2:E419,E419)&amp;E419</f>
        <v>0</v>
      </c>
      <c r="N259" s="19"/>
    </row>
    <row r="260" spans="1:14" x14ac:dyDescent="0.25">
      <c r="A260" t="str">
        <f>COUNTIF($D$2:D420,D420)&amp;D420</f>
        <v>0</v>
      </c>
      <c r="B260" t="str">
        <f>COUNTIF($E$2:E420,E420)&amp;E420</f>
        <v>0</v>
      </c>
      <c r="N260" s="19"/>
    </row>
    <row r="261" spans="1:14" x14ac:dyDescent="0.25">
      <c r="A261" t="str">
        <f>COUNTIF($D$2:D421,D421)&amp;D421</f>
        <v>0</v>
      </c>
      <c r="B261" t="str">
        <f>COUNTIF($E$2:E421,E421)&amp;E421</f>
        <v>0</v>
      </c>
      <c r="N261" s="19"/>
    </row>
    <row r="262" spans="1:14" x14ac:dyDescent="0.25">
      <c r="A262" t="str">
        <f>COUNTIF($D$2:D422,D422)&amp;D422</f>
        <v>0</v>
      </c>
      <c r="B262" t="str">
        <f>COUNTIF($E$2:E422,E422)&amp;E422</f>
        <v>0</v>
      </c>
      <c r="N262" s="19"/>
    </row>
    <row r="263" spans="1:14" x14ac:dyDescent="0.25">
      <c r="A263" t="str">
        <f>COUNTIF($D$2:D423,D423)&amp;D423</f>
        <v>0</v>
      </c>
      <c r="B263" t="str">
        <f>COUNTIF($E$2:E423,E423)&amp;E423</f>
        <v>0</v>
      </c>
      <c r="N263" s="18"/>
    </row>
    <row r="264" spans="1:14" x14ac:dyDescent="0.25">
      <c r="A264" t="str">
        <f>COUNTIF($D$2:D424,D424)&amp;D424</f>
        <v>0</v>
      </c>
      <c r="B264" t="str">
        <f>COUNTIF($E$2:E424,E424)&amp;E424</f>
        <v>0</v>
      </c>
      <c r="N264" s="19"/>
    </row>
    <row r="265" spans="1:14" x14ac:dyDescent="0.25">
      <c r="A265" t="str">
        <f>COUNTIF($D$2:D425,D425)&amp;D425</f>
        <v>0</v>
      </c>
      <c r="B265" t="str">
        <f>COUNTIF($E$2:E425,E425)&amp;E425</f>
        <v>0</v>
      </c>
      <c r="N265" s="18"/>
    </row>
    <row r="266" spans="1:14" x14ac:dyDescent="0.25">
      <c r="A266" t="str">
        <f>COUNTIF($D$2:D426,D426)&amp;D426</f>
        <v>0</v>
      </c>
      <c r="B266" t="str">
        <f>COUNTIF($E$2:E426,E426)&amp;E426</f>
        <v>0</v>
      </c>
      <c r="N266" s="19"/>
    </row>
    <row r="267" spans="1:14" x14ac:dyDescent="0.25">
      <c r="A267" t="str">
        <f>COUNTIF($D$2:D427,D427)&amp;D427</f>
        <v>0</v>
      </c>
      <c r="B267" t="str">
        <f>COUNTIF($E$2:E427,E427)&amp;E427</f>
        <v>0</v>
      </c>
      <c r="N267" s="19"/>
    </row>
    <row r="268" spans="1:14" x14ac:dyDescent="0.25">
      <c r="A268" t="str">
        <f>COUNTIF($D$2:D428,D428)&amp;D428</f>
        <v>0</v>
      </c>
      <c r="B268" t="str">
        <f>COUNTIF($E$2:E428,E428)&amp;E428</f>
        <v>0</v>
      </c>
      <c r="N268" s="19"/>
    </row>
    <row r="269" spans="1:14" x14ac:dyDescent="0.25">
      <c r="A269" t="str">
        <f>COUNTIF($D$2:D429,D429)&amp;D429</f>
        <v>0</v>
      </c>
      <c r="B269" t="str">
        <f>COUNTIF($E$2:E429,E429)&amp;E429</f>
        <v>0</v>
      </c>
      <c r="N269" s="18"/>
    </row>
    <row r="270" spans="1:14" x14ac:dyDescent="0.25">
      <c r="A270" t="str">
        <f>COUNTIF($D$2:D430,D430)&amp;D430</f>
        <v>0</v>
      </c>
      <c r="B270" t="str">
        <f>COUNTIF($E$2:E430,E430)&amp;E430</f>
        <v>0</v>
      </c>
      <c r="N270" s="19"/>
    </row>
    <row r="271" spans="1:14" x14ac:dyDescent="0.25">
      <c r="A271" t="str">
        <f>COUNTIF($D$2:D431,D431)&amp;D431</f>
        <v>0</v>
      </c>
      <c r="B271" t="str">
        <f>COUNTIF($E$2:E431,E431)&amp;E431</f>
        <v>0</v>
      </c>
      <c r="N271" s="18"/>
    </row>
    <row r="272" spans="1:14" x14ac:dyDescent="0.25">
      <c r="A272" t="str">
        <f>COUNTIF($D$2:D432,D432)&amp;D432</f>
        <v>0</v>
      </c>
      <c r="B272" t="str">
        <f>COUNTIF($E$2:E432,E432)&amp;E432</f>
        <v>0</v>
      </c>
      <c r="N272" s="19"/>
    </row>
    <row r="273" spans="1:14" x14ac:dyDescent="0.25">
      <c r="A273" t="str">
        <f>COUNTIF($D$2:D433,D433)&amp;D433</f>
        <v>0</v>
      </c>
      <c r="B273" t="str">
        <f>COUNTIF($E$2:E433,E433)&amp;E433</f>
        <v>0</v>
      </c>
      <c r="N273" s="18"/>
    </row>
    <row r="274" spans="1:14" x14ac:dyDescent="0.25">
      <c r="A274" t="str">
        <f>COUNTIF($D$2:D434,D434)&amp;D434</f>
        <v>0</v>
      </c>
      <c r="B274" t="str">
        <f>COUNTIF($E$2:E434,E434)&amp;E434</f>
        <v>0</v>
      </c>
      <c r="N274" s="19"/>
    </row>
    <row r="275" spans="1:14" x14ac:dyDescent="0.25">
      <c r="A275" t="str">
        <f>COUNTIF($D$2:D435,D435)&amp;D435</f>
        <v>0</v>
      </c>
      <c r="B275" t="str">
        <f>COUNTIF($E$2:E435,E435)&amp;E435</f>
        <v>0</v>
      </c>
      <c r="N275" s="19"/>
    </row>
    <row r="276" spans="1:14" x14ac:dyDescent="0.25">
      <c r="A276" t="str">
        <f>COUNTIF($D$2:D436,D436)&amp;D436</f>
        <v>0</v>
      </c>
      <c r="B276" t="str">
        <f>COUNTIF($E$2:E436,E436)&amp;E436</f>
        <v>0</v>
      </c>
      <c r="N276" s="19"/>
    </row>
    <row r="277" spans="1:14" x14ac:dyDescent="0.25">
      <c r="A277" t="str">
        <f>COUNTIF($D$2:D437,D437)&amp;D437</f>
        <v>0</v>
      </c>
      <c r="B277" t="str">
        <f>COUNTIF($E$2:E437,E437)&amp;E437</f>
        <v>0</v>
      </c>
      <c r="N277" s="18"/>
    </row>
    <row r="278" spans="1:14" x14ac:dyDescent="0.25">
      <c r="A278" t="str">
        <f>COUNTIF($D$2:D438,D438)&amp;D438</f>
        <v>0</v>
      </c>
      <c r="B278" t="str">
        <f>COUNTIF($E$2:E438,E438)&amp;E438</f>
        <v>0</v>
      </c>
      <c r="N278" s="19"/>
    </row>
    <row r="279" spans="1:14" x14ac:dyDescent="0.25">
      <c r="A279" t="str">
        <f>COUNTIF($D$2:D439,D439)&amp;D439</f>
        <v>0</v>
      </c>
      <c r="B279" t="str">
        <f>COUNTIF($E$2:E439,E439)&amp;E439</f>
        <v>0</v>
      </c>
      <c r="N279" s="18"/>
    </row>
    <row r="280" spans="1:14" x14ac:dyDescent="0.25">
      <c r="A280" t="str">
        <f>COUNTIF($D$2:D440,D440)&amp;D440</f>
        <v>0</v>
      </c>
      <c r="B280" t="str">
        <f>COUNTIF($E$2:E440,E440)&amp;E440</f>
        <v>0</v>
      </c>
      <c r="N280" s="19"/>
    </row>
    <row r="281" spans="1:14" x14ac:dyDescent="0.25">
      <c r="A281" t="str">
        <f>COUNTIF($D$2:D441,D441)&amp;D441</f>
        <v>0</v>
      </c>
      <c r="B281" t="str">
        <f>COUNTIF($E$2:E441,E441)&amp;E441</f>
        <v>0</v>
      </c>
      <c r="N281" s="18"/>
    </row>
    <row r="282" spans="1:14" x14ac:dyDescent="0.25">
      <c r="A282" t="str">
        <f>COUNTIF($D$2:D442,D442)&amp;D442</f>
        <v>0</v>
      </c>
      <c r="B282" t="str">
        <f>COUNTIF($E$2:E442,E442)&amp;E442</f>
        <v>0</v>
      </c>
      <c r="N282" s="19"/>
    </row>
    <row r="283" spans="1:14" x14ac:dyDescent="0.25">
      <c r="A283" t="str">
        <f>COUNTIF($D$2:D443,D443)&amp;D443</f>
        <v>0</v>
      </c>
      <c r="B283" t="str">
        <f>COUNTIF($E$2:E443,E443)&amp;E443</f>
        <v>0</v>
      </c>
      <c r="N283" s="19"/>
    </row>
    <row r="284" spans="1:14" x14ac:dyDescent="0.25">
      <c r="A284" t="str">
        <f>COUNTIF($D$2:D444,D444)&amp;D444</f>
        <v>0</v>
      </c>
      <c r="B284" t="str">
        <f>COUNTIF($E$2:E444,E444)&amp;E444</f>
        <v>0</v>
      </c>
      <c r="N284" s="19"/>
    </row>
    <row r="285" spans="1:14" x14ac:dyDescent="0.25">
      <c r="A285" t="str">
        <f>COUNTIF($D$2:D445,D445)&amp;D445</f>
        <v>0</v>
      </c>
      <c r="B285" t="str">
        <f>COUNTIF($E$2:E445,E445)&amp;E445</f>
        <v>0</v>
      </c>
      <c r="N285" s="18"/>
    </row>
    <row r="286" spans="1:14" x14ac:dyDescent="0.25">
      <c r="A286" t="str">
        <f>COUNTIF($D$2:D446,D446)&amp;D446</f>
        <v>0</v>
      </c>
      <c r="B286" t="str">
        <f>COUNTIF($E$2:E446,E446)&amp;E446</f>
        <v>0</v>
      </c>
      <c r="N286" s="19"/>
    </row>
    <row r="287" spans="1:14" x14ac:dyDescent="0.25">
      <c r="A287" t="str">
        <f>COUNTIF($D$2:D447,D447)&amp;D447</f>
        <v>0</v>
      </c>
      <c r="B287" t="str">
        <f>COUNTIF($E$2:E447,E447)&amp;E447</f>
        <v>0</v>
      </c>
      <c r="N287" s="18"/>
    </row>
    <row r="288" spans="1:14" x14ac:dyDescent="0.25">
      <c r="A288" t="str">
        <f>COUNTIF($D$2:D448,D448)&amp;D448</f>
        <v>0</v>
      </c>
      <c r="B288" t="str">
        <f>COUNTIF($E$2:E448,E448)&amp;E448</f>
        <v>0</v>
      </c>
      <c r="N288" s="19"/>
    </row>
    <row r="289" spans="1:14" x14ac:dyDescent="0.25">
      <c r="A289" t="str">
        <f>COUNTIF($D$2:D449,D449)&amp;D449</f>
        <v>0</v>
      </c>
      <c r="B289" t="str">
        <f>COUNTIF($E$2:E449,E449)&amp;E449</f>
        <v>0</v>
      </c>
      <c r="N289" s="19"/>
    </row>
    <row r="290" spans="1:14" x14ac:dyDescent="0.25">
      <c r="A290" t="str">
        <f>COUNTIF($D$2:D450,D450)&amp;D450</f>
        <v>0</v>
      </c>
      <c r="B290" t="str">
        <f>COUNTIF($E$2:E450,E450)&amp;E450</f>
        <v>0</v>
      </c>
      <c r="N290" s="19"/>
    </row>
    <row r="291" spans="1:14" x14ac:dyDescent="0.25">
      <c r="A291" t="str">
        <f>COUNTIF($D$2:D451,D451)&amp;D451</f>
        <v>0</v>
      </c>
      <c r="B291" t="str">
        <f>COUNTIF($E$2:E451,E451)&amp;E451</f>
        <v>0</v>
      </c>
      <c r="N291" s="18"/>
    </row>
    <row r="292" spans="1:14" x14ac:dyDescent="0.25">
      <c r="A292" t="str">
        <f>COUNTIF($D$2:D452,D452)&amp;D452</f>
        <v>0</v>
      </c>
      <c r="B292" t="str">
        <f>COUNTIF($E$2:E452,E452)&amp;E452</f>
        <v>0</v>
      </c>
      <c r="N292" s="19"/>
    </row>
    <row r="293" spans="1:14" x14ac:dyDescent="0.25">
      <c r="A293" t="str">
        <f>COUNTIF($D$2:D453,D453)&amp;D453</f>
        <v>0</v>
      </c>
      <c r="B293" t="str">
        <f>COUNTIF($E$2:E453,E453)&amp;E453</f>
        <v>0</v>
      </c>
      <c r="N293" s="18"/>
    </row>
    <row r="294" spans="1:14" x14ac:dyDescent="0.25">
      <c r="A294" t="str">
        <f>COUNTIF($D$2:D454,D454)&amp;D454</f>
        <v>0</v>
      </c>
      <c r="B294" t="str">
        <f>COUNTIF($E$2:E454,E454)&amp;E454</f>
        <v>0</v>
      </c>
      <c r="N294" s="19"/>
    </row>
    <row r="295" spans="1:14" x14ac:dyDescent="0.25">
      <c r="A295" t="str">
        <f>COUNTIF($D$2:D455,D455)&amp;D455</f>
        <v>0</v>
      </c>
      <c r="B295" t="str">
        <f>COUNTIF($E$2:E455,E455)&amp;E455</f>
        <v>0</v>
      </c>
      <c r="N295" s="19"/>
    </row>
    <row r="296" spans="1:14" x14ac:dyDescent="0.25">
      <c r="A296" t="str">
        <f>COUNTIF($D$2:D456,D456)&amp;D456</f>
        <v>0</v>
      </c>
      <c r="B296" t="str">
        <f>COUNTIF($E$2:E456,E456)&amp;E456</f>
        <v>0</v>
      </c>
      <c r="N296" s="19"/>
    </row>
    <row r="297" spans="1:14" x14ac:dyDescent="0.25">
      <c r="A297" t="str">
        <f>COUNTIF($D$2:D457,D457)&amp;D457</f>
        <v>0</v>
      </c>
      <c r="B297" t="str">
        <f>COUNTIF($E$2:E457,E457)&amp;E457</f>
        <v>0</v>
      </c>
      <c r="N297" s="19"/>
    </row>
    <row r="298" spans="1:14" x14ac:dyDescent="0.25">
      <c r="A298" t="str">
        <f>COUNTIF($D$2:D458,D458)&amp;D458</f>
        <v>0</v>
      </c>
      <c r="B298" t="str">
        <f>COUNTIF($E$2:E458,E458)&amp;E458</f>
        <v>0</v>
      </c>
      <c r="N298" s="18"/>
    </row>
    <row r="299" spans="1:14" x14ac:dyDescent="0.25">
      <c r="A299" t="str">
        <f>COUNTIF($D$2:D459,D459)&amp;D459</f>
        <v>0</v>
      </c>
      <c r="B299" t="str">
        <f>COUNTIF($E$2:E459,E459)&amp;E459</f>
        <v>0</v>
      </c>
      <c r="N299" s="19"/>
    </row>
    <row r="300" spans="1:14" x14ac:dyDescent="0.25">
      <c r="A300" t="str">
        <f>COUNTIF($D$2:D460,D460)&amp;D460</f>
        <v>0</v>
      </c>
      <c r="B300" t="str">
        <f>COUNTIF($E$2:E460,E460)&amp;E460</f>
        <v>0</v>
      </c>
      <c r="N300" s="18"/>
    </row>
    <row r="301" spans="1:14" x14ac:dyDescent="0.25">
      <c r="A301" t="str">
        <f>COUNTIF($D$2:D461,D461)&amp;D461</f>
        <v>0</v>
      </c>
      <c r="B301" t="str">
        <f>COUNTIF($E$2:E461,E461)&amp;E461</f>
        <v>0</v>
      </c>
      <c r="N301" s="19"/>
    </row>
    <row r="302" spans="1:14" x14ac:dyDescent="0.25">
      <c r="A302" t="str">
        <f>COUNTIF($D$2:D462,D462)&amp;D462</f>
        <v>0</v>
      </c>
      <c r="B302" t="str">
        <f>COUNTIF($E$2:E462,E462)&amp;E462</f>
        <v>0</v>
      </c>
    </row>
    <row r="303" spans="1:14" x14ac:dyDescent="0.25">
      <c r="A303" t="str">
        <f>COUNTIF($D$2:D463,D463)&amp;D463</f>
        <v>0</v>
      </c>
      <c r="B303" t="str">
        <f>COUNTIF($E$2:E463,E463)&amp;E463</f>
        <v>0</v>
      </c>
    </row>
    <row r="304" spans="1:14" x14ac:dyDescent="0.25">
      <c r="A304" t="str">
        <f>COUNTIF($D$2:D464,D464)&amp;D464</f>
        <v>0</v>
      </c>
      <c r="B304" t="str">
        <f>COUNTIF($E$2:E464,E464)&amp;E464</f>
        <v>0</v>
      </c>
    </row>
    <row r="305" spans="1:2" x14ac:dyDescent="0.25">
      <c r="A305" t="str">
        <f>COUNTIF($D$2:D465,D465)&amp;D465</f>
        <v>0</v>
      </c>
      <c r="B305" t="str">
        <f>COUNTIF($E$2:E465,E465)&amp;E465</f>
        <v>0</v>
      </c>
    </row>
    <row r="306" spans="1:2" x14ac:dyDescent="0.25">
      <c r="A306" t="str">
        <f>COUNTIF($D$2:D466,D466)&amp;D466</f>
        <v>0</v>
      </c>
      <c r="B306" t="str">
        <f>COUNTIF($E$2:E466,E466)&amp;E466</f>
        <v>0</v>
      </c>
    </row>
    <row r="307" spans="1:2" x14ac:dyDescent="0.25">
      <c r="A307" t="str">
        <f>COUNTIF($D$2:D467,D467)&amp;D467</f>
        <v>0</v>
      </c>
      <c r="B307" t="str">
        <f>COUNTIF($E$2:E467,E467)&amp;E467</f>
        <v>0</v>
      </c>
    </row>
    <row r="308" spans="1:2" x14ac:dyDescent="0.25">
      <c r="A308" t="str">
        <f>COUNTIF($D$2:D468,D468)&amp;D468</f>
        <v>0</v>
      </c>
      <c r="B308" t="str">
        <f>COUNTIF($E$2:E468,E468)&amp;E468</f>
        <v>0</v>
      </c>
    </row>
    <row r="309" spans="1:2" x14ac:dyDescent="0.25">
      <c r="A309" t="str">
        <f>COUNTIF($D$2:D469,D469)&amp;D469</f>
        <v>0</v>
      </c>
      <c r="B309" t="str">
        <f>COUNTIF($E$2:E469,E469)&amp;E469</f>
        <v>0</v>
      </c>
    </row>
    <row r="310" spans="1:2" x14ac:dyDescent="0.25">
      <c r="A310" t="str">
        <f>COUNTIF($D$2:D470,D470)&amp;D470</f>
        <v>0</v>
      </c>
      <c r="B310" t="str">
        <f>COUNTIF($E$2:E470,E470)&amp;E470</f>
        <v>0</v>
      </c>
    </row>
    <row r="311" spans="1:2" x14ac:dyDescent="0.25">
      <c r="A311" t="str">
        <f>COUNTIF($D$2:D471,D471)&amp;D471</f>
        <v>0</v>
      </c>
      <c r="B311" t="str">
        <f>COUNTIF($E$2:E471,E471)&amp;E471</f>
        <v>0</v>
      </c>
    </row>
    <row r="312" spans="1:2" x14ac:dyDescent="0.25">
      <c r="A312" t="str">
        <f>COUNTIF($D$2:D472,D472)&amp;D472</f>
        <v>0</v>
      </c>
      <c r="B312" t="str">
        <f>COUNTIF($E$2:E472,E472)&amp;E472</f>
        <v>0</v>
      </c>
    </row>
    <row r="313" spans="1:2" x14ac:dyDescent="0.25">
      <c r="A313" t="str">
        <f>COUNTIF($D$2:D473,D473)&amp;D473</f>
        <v>0</v>
      </c>
      <c r="B313" t="str">
        <f>COUNTIF($E$2:E473,E473)&amp;E473</f>
        <v>0</v>
      </c>
    </row>
    <row r="314" spans="1:2" x14ac:dyDescent="0.25">
      <c r="A314" t="str">
        <f>COUNTIF($D$2:D474,D474)&amp;D474</f>
        <v>0</v>
      </c>
      <c r="B314" t="str">
        <f>COUNTIF($E$2:E474,E474)&amp;E474</f>
        <v>0</v>
      </c>
    </row>
    <row r="315" spans="1:2" x14ac:dyDescent="0.25">
      <c r="A315" t="str">
        <f>COUNTIF($D$2:D475,D475)&amp;D475</f>
        <v>0</v>
      </c>
      <c r="B315" t="str">
        <f>COUNTIF($E$2:E475,E475)&amp;E475</f>
        <v>0</v>
      </c>
    </row>
    <row r="316" spans="1:2" x14ac:dyDescent="0.25">
      <c r="A316" t="str">
        <f>COUNTIF($D$2:D476,D476)&amp;D476</f>
        <v>0</v>
      </c>
      <c r="B316" t="str">
        <f>COUNTIF($E$2:E476,E476)&amp;E476</f>
        <v>0</v>
      </c>
    </row>
    <row r="317" spans="1:2" x14ac:dyDescent="0.25">
      <c r="A317" t="str">
        <f>COUNTIF($D$2:D477,D477)&amp;D477</f>
        <v>0</v>
      </c>
      <c r="B317" t="str">
        <f>COUNTIF($E$2:E477,E477)&amp;E477</f>
        <v>0</v>
      </c>
    </row>
    <row r="318" spans="1:2" x14ac:dyDescent="0.25">
      <c r="A318" t="str">
        <f>COUNTIF($D$2:D478,D478)&amp;D478</f>
        <v>0</v>
      </c>
      <c r="B318" t="str">
        <f>COUNTIF($E$2:E478,E478)&amp;E478</f>
        <v>0</v>
      </c>
    </row>
    <row r="319" spans="1:2" x14ac:dyDescent="0.25">
      <c r="A319" t="str">
        <f>COUNTIF($D$2:D479,D479)&amp;D479</f>
        <v>0</v>
      </c>
      <c r="B319" t="str">
        <f>COUNTIF($E$2:E479,E479)&amp;E479</f>
        <v>0</v>
      </c>
    </row>
    <row r="320" spans="1:2" x14ac:dyDescent="0.25">
      <c r="A320" t="str">
        <f>COUNTIF($D$2:D480,D480)&amp;D480</f>
        <v>0</v>
      </c>
      <c r="B320" t="str">
        <f>COUNTIF($E$2:E480,E480)&amp;E480</f>
        <v>0</v>
      </c>
    </row>
    <row r="321" spans="1:2" x14ac:dyDescent="0.25">
      <c r="A321" t="str">
        <f>COUNTIF($D$2:D481,D481)&amp;D481</f>
        <v>0</v>
      </c>
      <c r="B321" t="str">
        <f>COUNTIF($E$2:E481,E481)&amp;E481</f>
        <v>0</v>
      </c>
    </row>
    <row r="322" spans="1:2" x14ac:dyDescent="0.25">
      <c r="A322" t="str">
        <f>COUNTIF($D$2:D482,D482)&amp;D482</f>
        <v>0</v>
      </c>
      <c r="B322" t="str">
        <f>COUNTIF($E$2:E482,E482)&amp;E482</f>
        <v>0</v>
      </c>
    </row>
    <row r="323" spans="1:2" x14ac:dyDescent="0.25">
      <c r="A323" t="str">
        <f>COUNTIF($D$2:D483,D483)&amp;D483</f>
        <v>0</v>
      </c>
      <c r="B323" t="str">
        <f>COUNTIF($E$2:E483,E483)&amp;E483</f>
        <v>0</v>
      </c>
    </row>
    <row r="324" spans="1:2" x14ac:dyDescent="0.25">
      <c r="A324" t="str">
        <f>COUNTIF($D$2:D484,D484)&amp;D484</f>
        <v>0</v>
      </c>
      <c r="B324" t="str">
        <f>COUNTIF($E$2:E484,E484)&amp;E484</f>
        <v>0</v>
      </c>
    </row>
    <row r="325" spans="1:2" x14ac:dyDescent="0.25">
      <c r="A325" t="str">
        <f>COUNTIF($D$2:D485,D485)&amp;D485</f>
        <v>0</v>
      </c>
      <c r="B325" t="str">
        <f>COUNTIF($E$2:E485,E485)&amp;E485</f>
        <v>0</v>
      </c>
    </row>
    <row r="326" spans="1:2" x14ac:dyDescent="0.25">
      <c r="A326" t="str">
        <f>COUNTIF($D$2:D486,D486)&amp;D486</f>
        <v>0</v>
      </c>
      <c r="B326" t="str">
        <f>COUNTIF($E$2:E486,E486)&amp;E486</f>
        <v>0</v>
      </c>
    </row>
    <row r="327" spans="1:2" x14ac:dyDescent="0.25">
      <c r="A327" t="str">
        <f>COUNTIF($D$2:D487,D487)&amp;D487</f>
        <v>0</v>
      </c>
      <c r="B327" t="str">
        <f>COUNTIF($E$2:E487,E487)&amp;E487</f>
        <v>0</v>
      </c>
    </row>
    <row r="328" spans="1:2" x14ac:dyDescent="0.25">
      <c r="A328" t="str">
        <f>COUNTIF($D$2:D488,D488)&amp;D488</f>
        <v>0</v>
      </c>
      <c r="B328" t="str">
        <f>COUNTIF($E$2:E488,E488)&amp;E488</f>
        <v>0</v>
      </c>
    </row>
    <row r="329" spans="1:2" x14ac:dyDescent="0.25">
      <c r="A329" t="str">
        <f>COUNTIF($D$2:D489,D489)&amp;D489</f>
        <v>0</v>
      </c>
      <c r="B329" t="str">
        <f>COUNTIF($E$2:E489,E489)&amp;E489</f>
        <v>0</v>
      </c>
    </row>
    <row r="330" spans="1:2" x14ac:dyDescent="0.25">
      <c r="A330" t="str">
        <f>COUNTIF($D$2:D490,D490)&amp;D490</f>
        <v>0</v>
      </c>
      <c r="B330" t="str">
        <f>COUNTIF($E$2:E490,E490)&amp;E490</f>
        <v>0</v>
      </c>
    </row>
    <row r="331" spans="1:2" x14ac:dyDescent="0.25">
      <c r="A331" t="str">
        <f>COUNTIF($D$2:D491,D491)&amp;D491</f>
        <v>0</v>
      </c>
      <c r="B331" t="str">
        <f>COUNTIF($E$2:E491,E491)&amp;E491</f>
        <v>0</v>
      </c>
    </row>
    <row r="332" spans="1:2" x14ac:dyDescent="0.25">
      <c r="A332" t="str">
        <f>COUNTIF($D$2:D492,D492)&amp;D492</f>
        <v>0</v>
      </c>
      <c r="B332" t="str">
        <f>COUNTIF($E$2:E492,E492)&amp;E492</f>
        <v>0</v>
      </c>
    </row>
    <row r="333" spans="1:2" x14ac:dyDescent="0.25">
      <c r="A333" t="str">
        <f>COUNTIF($D$2:D493,D493)&amp;D493</f>
        <v>0</v>
      </c>
      <c r="B333" t="str">
        <f>COUNTIF($E$2:E493,E493)&amp;E493</f>
        <v>0</v>
      </c>
    </row>
    <row r="334" spans="1:2" x14ac:dyDescent="0.25">
      <c r="A334" t="str">
        <f>COUNTIF($D$2:D494,D494)&amp;D494</f>
        <v>0</v>
      </c>
      <c r="B334" t="str">
        <f>COUNTIF($E$2:E494,E494)&amp;E494</f>
        <v>0</v>
      </c>
    </row>
    <row r="335" spans="1:2" x14ac:dyDescent="0.25">
      <c r="A335" t="str">
        <f>COUNTIF($D$2:D495,D495)&amp;D495</f>
        <v>0</v>
      </c>
      <c r="B335" t="str">
        <f>COUNTIF($E$2:E495,E495)&amp;E495</f>
        <v>0</v>
      </c>
    </row>
    <row r="336" spans="1:2" x14ac:dyDescent="0.25">
      <c r="A336" t="str">
        <f>COUNTIF($D$2:D496,D496)&amp;D496</f>
        <v>0</v>
      </c>
      <c r="B336" t="str">
        <f>COUNTIF($E$2:E496,E496)&amp;E496</f>
        <v>0</v>
      </c>
    </row>
    <row r="337" spans="1:2" x14ac:dyDescent="0.25">
      <c r="A337" t="str">
        <f>COUNTIF($D$2:D497,D497)&amp;D497</f>
        <v>0</v>
      </c>
      <c r="B337" t="str">
        <f>COUNTIF($E$2:E497,E497)&amp;E497</f>
        <v>0</v>
      </c>
    </row>
    <row r="338" spans="1:2" x14ac:dyDescent="0.25">
      <c r="A338" t="str">
        <f>COUNTIF($D$2:D498,D498)&amp;D498</f>
        <v>0</v>
      </c>
      <c r="B338" t="str">
        <f>COUNTIF($E$2:E498,E498)&amp;E498</f>
        <v>0</v>
      </c>
    </row>
    <row r="339" spans="1:2" x14ac:dyDescent="0.25">
      <c r="A339" t="str">
        <f>COUNTIF($D$2:D499,D499)&amp;D499</f>
        <v>0</v>
      </c>
      <c r="B339" t="str">
        <f>COUNTIF($E$2:E499,E499)&amp;E499</f>
        <v>0</v>
      </c>
    </row>
    <row r="340" spans="1:2" x14ac:dyDescent="0.25">
      <c r="A340" t="str">
        <f>COUNTIF($D$2:D500,D500)&amp;D500</f>
        <v>0</v>
      </c>
      <c r="B340" t="str">
        <f>COUNTIF($E$2:E500,E500)&amp;E500</f>
        <v>0</v>
      </c>
    </row>
    <row r="341" spans="1:2" x14ac:dyDescent="0.25">
      <c r="A341" t="str">
        <f>COUNTIF($D$2:D501,D501)&amp;D501</f>
        <v>0</v>
      </c>
      <c r="B341" t="str">
        <f>COUNTIF($E$2:E501,E501)&amp;E501</f>
        <v>0</v>
      </c>
    </row>
    <row r="342" spans="1:2" x14ac:dyDescent="0.25">
      <c r="A342" t="str">
        <f>COUNTIF($D$2:D502,D502)&amp;D502</f>
        <v>0</v>
      </c>
      <c r="B342" t="str">
        <f>COUNTIF($E$2:E502,E502)&amp;E502</f>
        <v>0</v>
      </c>
    </row>
    <row r="343" spans="1:2" x14ac:dyDescent="0.25">
      <c r="A343" t="str">
        <f>COUNTIF($D$2:D503,D503)&amp;D503</f>
        <v>0</v>
      </c>
      <c r="B343" t="str">
        <f>COUNTIF($E$2:E503,E503)&amp;E503</f>
        <v>0</v>
      </c>
    </row>
    <row r="344" spans="1:2" x14ac:dyDescent="0.25">
      <c r="A344" t="str">
        <f>COUNTIF($D$2:D504,D504)&amp;D504</f>
        <v>0</v>
      </c>
      <c r="B344" t="str">
        <f>COUNTIF($E$2:E504,E504)&amp;E504</f>
        <v>0</v>
      </c>
    </row>
    <row r="345" spans="1:2" x14ac:dyDescent="0.25">
      <c r="A345" t="str">
        <f>COUNTIF($D$2:D505,D505)&amp;D505</f>
        <v>0</v>
      </c>
      <c r="B345" t="str">
        <f>COUNTIF($E$2:E505,E505)&amp;E505</f>
        <v>0</v>
      </c>
    </row>
    <row r="346" spans="1:2" x14ac:dyDescent="0.25">
      <c r="A346" t="str">
        <f>COUNTIF($D$2:D506,D506)&amp;D506</f>
        <v>0</v>
      </c>
      <c r="B346" t="str">
        <f>COUNTIF($E$2:E506,E506)&amp;E506</f>
        <v>0</v>
      </c>
    </row>
    <row r="347" spans="1:2" x14ac:dyDescent="0.25">
      <c r="A347" t="str">
        <f>COUNTIF($D$2:D507,D507)&amp;D507</f>
        <v>0</v>
      </c>
      <c r="B347" t="str">
        <f>COUNTIF($E$2:E507,E507)&amp;E507</f>
        <v>0</v>
      </c>
    </row>
    <row r="348" spans="1:2" x14ac:dyDescent="0.25">
      <c r="A348" t="str">
        <f>COUNTIF($D$2:D508,D508)&amp;D508</f>
        <v>0</v>
      </c>
      <c r="B348" t="str">
        <f>COUNTIF($E$2:E508,E508)&amp;E508</f>
        <v>0</v>
      </c>
    </row>
    <row r="349" spans="1:2" x14ac:dyDescent="0.25">
      <c r="A349" t="str">
        <f>COUNTIF($D$2:D509,D509)&amp;D509</f>
        <v>0</v>
      </c>
      <c r="B349" t="str">
        <f>COUNTIF($E$2:E509,E509)&amp;E509</f>
        <v>0</v>
      </c>
    </row>
    <row r="350" spans="1:2" x14ac:dyDescent="0.25">
      <c r="A350" t="str">
        <f>COUNTIF($D$2:D510,D510)&amp;D510</f>
        <v>0</v>
      </c>
      <c r="B350" t="str">
        <f>COUNTIF($E$2:E510,E510)&amp;E510</f>
        <v>0</v>
      </c>
    </row>
    <row r="351" spans="1:2" x14ac:dyDescent="0.25">
      <c r="A351" t="str">
        <f>COUNTIF($D$2:D511,D511)&amp;D511</f>
        <v>0</v>
      </c>
      <c r="B351" t="str">
        <f>COUNTIF($E$2:E511,E511)&amp;E511</f>
        <v>0</v>
      </c>
    </row>
    <row r="352" spans="1:2" x14ac:dyDescent="0.25">
      <c r="A352" t="str">
        <f>COUNTIF($D$2:D512,D512)&amp;D512</f>
        <v>0</v>
      </c>
      <c r="B352" t="str">
        <f>COUNTIF($E$2:E512,E512)&amp;E512</f>
        <v>0</v>
      </c>
    </row>
    <row r="353" spans="1:2" x14ac:dyDescent="0.25">
      <c r="A353" t="str">
        <f>COUNTIF($D$2:D513,D513)&amp;D513</f>
        <v>0</v>
      </c>
      <c r="B353" t="str">
        <f>COUNTIF($E$2:E513,E513)&amp;E513</f>
        <v>0</v>
      </c>
    </row>
    <row r="354" spans="1:2" x14ac:dyDescent="0.25">
      <c r="A354" t="str">
        <f>COUNTIF($D$2:D514,D514)&amp;D514</f>
        <v>0</v>
      </c>
      <c r="B354" t="str">
        <f>COUNTIF($E$2:E514,E514)&amp;E514</f>
        <v>0</v>
      </c>
    </row>
    <row r="355" spans="1:2" x14ac:dyDescent="0.25">
      <c r="A355" t="str">
        <f>COUNTIF($D$2:D515,D515)&amp;D515</f>
        <v>0</v>
      </c>
      <c r="B355" t="str">
        <f>COUNTIF($E$2:E515,E515)&amp;E515</f>
        <v>0</v>
      </c>
    </row>
    <row r="356" spans="1:2" x14ac:dyDescent="0.25">
      <c r="A356" t="str">
        <f>COUNTIF($D$2:D516,D516)&amp;D516</f>
        <v>0</v>
      </c>
      <c r="B356" t="str">
        <f>COUNTIF($E$2:E516,E516)&amp;E516</f>
        <v>0</v>
      </c>
    </row>
    <row r="357" spans="1:2" x14ac:dyDescent="0.25">
      <c r="A357" t="str">
        <f>COUNTIF($D$2:D517,D517)&amp;D517</f>
        <v>0</v>
      </c>
      <c r="B357" t="str">
        <f>COUNTIF($E$2:E517,E517)&amp;E517</f>
        <v>0</v>
      </c>
    </row>
    <row r="358" spans="1:2" x14ac:dyDescent="0.25">
      <c r="A358" t="str">
        <f>COUNTIF($D$2:D518,D518)&amp;D518</f>
        <v>0</v>
      </c>
      <c r="B358" t="str">
        <f>COUNTIF($E$2:E518,E518)&amp;E518</f>
        <v>0</v>
      </c>
    </row>
    <row r="359" spans="1:2" x14ac:dyDescent="0.25">
      <c r="A359" t="str">
        <f>COUNTIF($D$2:D519,D519)&amp;D519</f>
        <v>0</v>
      </c>
      <c r="B359" t="str">
        <f>COUNTIF($E$2:E519,E519)&amp;E519</f>
        <v>0</v>
      </c>
    </row>
    <row r="360" spans="1:2" x14ac:dyDescent="0.25">
      <c r="A360" t="str">
        <f>COUNTIF($D$2:D520,D520)&amp;D520</f>
        <v>0</v>
      </c>
      <c r="B360" t="str">
        <f>COUNTIF($E$2:E520,E520)&amp;E520</f>
        <v>0</v>
      </c>
    </row>
    <row r="361" spans="1:2" x14ac:dyDescent="0.25">
      <c r="A361" t="str">
        <f>COUNTIF($D$2:D521,D521)&amp;D521</f>
        <v>0</v>
      </c>
      <c r="B361" t="str">
        <f>COUNTIF($E$2:E521,E521)&amp;E521</f>
        <v>0</v>
      </c>
    </row>
    <row r="362" spans="1:2" x14ac:dyDescent="0.25">
      <c r="A362" t="str">
        <f>COUNTIF($D$2:D522,D522)&amp;D522</f>
        <v>0</v>
      </c>
      <c r="B362" t="str">
        <f>COUNTIF($E$2:E522,E522)&amp;E522</f>
        <v>0</v>
      </c>
    </row>
    <row r="363" spans="1:2" x14ac:dyDescent="0.25">
      <c r="A363" t="str">
        <f>COUNTIF($D$2:D523,D523)&amp;D523</f>
        <v>0</v>
      </c>
      <c r="B363" t="str">
        <f>COUNTIF($E$2:E523,E523)&amp;E523</f>
        <v>0</v>
      </c>
    </row>
    <row r="364" spans="1:2" x14ac:dyDescent="0.25">
      <c r="A364" t="str">
        <f>COUNTIF($D$2:D524,D524)&amp;D524</f>
        <v>0</v>
      </c>
      <c r="B364" t="str">
        <f>COUNTIF($E$2:E524,E524)&amp;E524</f>
        <v>0</v>
      </c>
    </row>
    <row r="365" spans="1:2" x14ac:dyDescent="0.25">
      <c r="A365" t="str">
        <f>COUNTIF($D$2:D525,D525)&amp;D525</f>
        <v>0</v>
      </c>
      <c r="B365" t="str">
        <f>COUNTIF($E$2:E525,E525)&amp;E525</f>
        <v>0</v>
      </c>
    </row>
    <row r="366" spans="1:2" x14ac:dyDescent="0.25">
      <c r="A366" t="str">
        <f>COUNTIF($D$2:D526,D526)&amp;D526</f>
        <v>0</v>
      </c>
      <c r="B366" t="str">
        <f>COUNTIF($E$2:E526,E526)&amp;E526</f>
        <v>0</v>
      </c>
    </row>
    <row r="367" spans="1:2" x14ac:dyDescent="0.25">
      <c r="A367" t="str">
        <f>COUNTIF($D$2:D527,D527)&amp;D527</f>
        <v>0</v>
      </c>
      <c r="B367" t="str">
        <f>COUNTIF($E$2:E527,E527)&amp;E527</f>
        <v>0</v>
      </c>
    </row>
    <row r="368" spans="1:2" x14ac:dyDescent="0.25">
      <c r="A368" t="str">
        <f>COUNTIF($D$2:D528,D528)&amp;D528</f>
        <v>0</v>
      </c>
      <c r="B368" t="str">
        <f>COUNTIF($E$2:E528,E528)&amp;E528</f>
        <v>0</v>
      </c>
    </row>
    <row r="369" spans="1:2" x14ac:dyDescent="0.25">
      <c r="A369" t="str">
        <f>COUNTIF($D$2:D529,D529)&amp;D529</f>
        <v>0</v>
      </c>
      <c r="B369" t="str">
        <f>COUNTIF($E$2:E529,E529)&amp;E529</f>
        <v>0</v>
      </c>
    </row>
    <row r="370" spans="1:2" x14ac:dyDescent="0.25">
      <c r="A370" t="str">
        <f>COUNTIF($D$2:D530,D530)&amp;D530</f>
        <v>0</v>
      </c>
      <c r="B370" t="str">
        <f>COUNTIF($E$2:E530,E530)&amp;E530</f>
        <v>0</v>
      </c>
    </row>
    <row r="371" spans="1:2" x14ac:dyDescent="0.25">
      <c r="A371" t="str">
        <f>COUNTIF($D$2:D531,D531)&amp;D531</f>
        <v>0</v>
      </c>
      <c r="B371" t="str">
        <f>COUNTIF($E$2:E531,E531)&amp;E531</f>
        <v>0</v>
      </c>
    </row>
    <row r="372" spans="1:2" x14ac:dyDescent="0.25">
      <c r="A372" t="str">
        <f>COUNTIF($D$2:D532,D532)&amp;D532</f>
        <v>0</v>
      </c>
      <c r="B372" t="str">
        <f>COUNTIF($E$2:E532,E532)&amp;E532</f>
        <v>0</v>
      </c>
    </row>
    <row r="373" spans="1:2" x14ac:dyDescent="0.25">
      <c r="A373" t="str">
        <f>COUNTIF($D$2:D533,D533)&amp;D533</f>
        <v>0</v>
      </c>
      <c r="B373" t="str">
        <f>COUNTIF($E$2:E533,E533)&amp;E533</f>
        <v>0</v>
      </c>
    </row>
    <row r="374" spans="1:2" x14ac:dyDescent="0.25">
      <c r="A374" t="str">
        <f>COUNTIF($D$2:D534,D534)&amp;D534</f>
        <v>0</v>
      </c>
      <c r="B374" t="str">
        <f>COUNTIF($E$2:E534,E534)&amp;E534</f>
        <v>0</v>
      </c>
    </row>
    <row r="375" spans="1:2" x14ac:dyDescent="0.25">
      <c r="A375" t="str">
        <f>COUNTIF($D$2:D535,D535)&amp;D535</f>
        <v>0</v>
      </c>
      <c r="B375" t="str">
        <f>COUNTIF($E$2:E535,E535)&amp;E535</f>
        <v>0</v>
      </c>
    </row>
    <row r="376" spans="1:2" x14ac:dyDescent="0.25">
      <c r="A376" t="str">
        <f>COUNTIF($D$2:D536,D536)&amp;D536</f>
        <v>0</v>
      </c>
      <c r="B376" t="str">
        <f>COUNTIF($E$2:E536,E536)&amp;E536</f>
        <v>0</v>
      </c>
    </row>
    <row r="377" spans="1:2" x14ac:dyDescent="0.25">
      <c r="A377" t="str">
        <f>COUNTIF($D$2:D537,D537)&amp;D537</f>
        <v>0</v>
      </c>
      <c r="B377" t="str">
        <f>COUNTIF($E$2:E537,E537)&amp;E537</f>
        <v>0</v>
      </c>
    </row>
    <row r="378" spans="1:2" x14ac:dyDescent="0.25">
      <c r="A378" t="str">
        <f>COUNTIF($D$2:D538,D538)&amp;D538</f>
        <v>0</v>
      </c>
      <c r="B378" t="str">
        <f>COUNTIF($E$2:E538,E538)&amp;E538</f>
        <v>0</v>
      </c>
    </row>
    <row r="379" spans="1:2" x14ac:dyDescent="0.25">
      <c r="A379" t="str">
        <f>COUNTIF($D$2:D539,D539)&amp;D539</f>
        <v>0</v>
      </c>
      <c r="B379" t="str">
        <f>COUNTIF($E$2:E539,E539)&amp;E539</f>
        <v>0</v>
      </c>
    </row>
    <row r="380" spans="1:2" x14ac:dyDescent="0.25">
      <c r="A380" t="str">
        <f>COUNTIF($D$2:D540,D540)&amp;D540</f>
        <v>0</v>
      </c>
      <c r="B380" t="str">
        <f>COUNTIF($E$2:E540,E540)&amp;E540</f>
        <v>0</v>
      </c>
    </row>
    <row r="381" spans="1:2" x14ac:dyDescent="0.25">
      <c r="A381" t="str">
        <f>COUNTIF($D$2:D541,D541)&amp;D541</f>
        <v>0</v>
      </c>
      <c r="B381" t="str">
        <f>COUNTIF($E$2:E541,E541)&amp;E541</f>
        <v>0</v>
      </c>
    </row>
    <row r="382" spans="1:2" x14ac:dyDescent="0.25">
      <c r="A382" t="str">
        <f>COUNTIF($D$2:D542,D542)&amp;D542</f>
        <v>0</v>
      </c>
      <c r="B382" t="str">
        <f>COUNTIF($E$2:E542,E542)&amp;E542</f>
        <v>0</v>
      </c>
    </row>
    <row r="383" spans="1:2" x14ac:dyDescent="0.25">
      <c r="A383" t="str">
        <f>COUNTIF($D$2:D543,D543)&amp;D543</f>
        <v>0</v>
      </c>
      <c r="B383" t="str">
        <f>COUNTIF($E$2:E543,E543)&amp;E543</f>
        <v>0</v>
      </c>
    </row>
    <row r="384" spans="1:2" x14ac:dyDescent="0.25">
      <c r="A384" t="str">
        <f>COUNTIF($D$2:D544,D544)&amp;D544</f>
        <v>0</v>
      </c>
      <c r="B384" t="str">
        <f>COUNTIF($E$2:E544,E544)&amp;E544</f>
        <v>0</v>
      </c>
    </row>
    <row r="385" spans="1:2" x14ac:dyDescent="0.25">
      <c r="A385" t="str">
        <f>COUNTIF($D$2:D545,D545)&amp;D545</f>
        <v>0</v>
      </c>
      <c r="B385" t="str">
        <f>COUNTIF($E$2:E545,E545)&amp;E545</f>
        <v>0</v>
      </c>
    </row>
    <row r="386" spans="1:2" x14ac:dyDescent="0.25">
      <c r="A386" t="str">
        <f>COUNTIF($D$2:D546,D546)&amp;D546</f>
        <v>0</v>
      </c>
      <c r="B386" t="str">
        <f>COUNTIF($E$2:E546,E546)&amp;E546</f>
        <v>0</v>
      </c>
    </row>
    <row r="387" spans="1:2" x14ac:dyDescent="0.25">
      <c r="A387" t="str">
        <f>COUNTIF($D$2:D547,D547)&amp;D547</f>
        <v>0</v>
      </c>
      <c r="B387" t="str">
        <f>COUNTIF($E$2:E547,E547)&amp;E547</f>
        <v>0</v>
      </c>
    </row>
    <row r="388" spans="1:2" x14ac:dyDescent="0.25">
      <c r="A388" t="str">
        <f>COUNTIF($D$2:D548,D548)&amp;D548</f>
        <v>0</v>
      </c>
      <c r="B388" t="str">
        <f>COUNTIF($E$2:E548,E548)&amp;E548</f>
        <v>0</v>
      </c>
    </row>
    <row r="389" spans="1:2" x14ac:dyDescent="0.25">
      <c r="A389" t="str">
        <f>COUNTIF($D$2:D549,D549)&amp;D549</f>
        <v>0</v>
      </c>
      <c r="B389" t="str">
        <f>COUNTIF($E$2:E549,E549)&amp;E549</f>
        <v>0</v>
      </c>
    </row>
    <row r="390" spans="1:2" x14ac:dyDescent="0.25">
      <c r="A390" t="str">
        <f>COUNTIF($D$2:D550,D550)&amp;D550</f>
        <v>0</v>
      </c>
      <c r="B390" t="str">
        <f>COUNTIF($E$2:E550,E550)&amp;E550</f>
        <v>0</v>
      </c>
    </row>
    <row r="391" spans="1:2" x14ac:dyDescent="0.25">
      <c r="A391" t="str">
        <f>COUNTIF($D$2:D551,D551)&amp;D551</f>
        <v>0</v>
      </c>
      <c r="B391" t="str">
        <f>COUNTIF($E$2:E551,E551)&amp;E551</f>
        <v>0</v>
      </c>
    </row>
    <row r="392" spans="1:2" x14ac:dyDescent="0.25">
      <c r="A392" t="str">
        <f>COUNTIF($D$2:D552,D552)&amp;D552</f>
        <v>0</v>
      </c>
      <c r="B392" t="str">
        <f>COUNTIF($E$2:E552,E552)&amp;E552</f>
        <v>0</v>
      </c>
    </row>
    <row r="393" spans="1:2" x14ac:dyDescent="0.25">
      <c r="A393" t="str">
        <f>COUNTIF($D$2:D553,D553)&amp;D553</f>
        <v>0</v>
      </c>
      <c r="B393" t="str">
        <f>COUNTIF($E$2:E553,E553)&amp;E553</f>
        <v>0</v>
      </c>
    </row>
    <row r="394" spans="1:2" x14ac:dyDescent="0.25">
      <c r="A394" t="str">
        <f>COUNTIF($D$2:D554,D554)&amp;D554</f>
        <v>0</v>
      </c>
      <c r="B394" t="str">
        <f>COUNTIF($E$2:E554,E554)&amp;E554</f>
        <v>0</v>
      </c>
    </row>
    <row r="395" spans="1:2" x14ac:dyDescent="0.25">
      <c r="A395" t="str">
        <f>COUNTIF($D$2:D555,D555)&amp;D555</f>
        <v>0</v>
      </c>
      <c r="B395" t="str">
        <f>COUNTIF($E$2:E555,E555)&amp;E555</f>
        <v>0</v>
      </c>
    </row>
    <row r="396" spans="1:2" x14ac:dyDescent="0.25">
      <c r="A396" t="str">
        <f>COUNTIF($D$2:D556,D556)&amp;D556</f>
        <v>0</v>
      </c>
      <c r="B396" t="str">
        <f>COUNTIF($E$2:E556,E556)&amp;E556</f>
        <v>0</v>
      </c>
    </row>
    <row r="397" spans="1:2" x14ac:dyDescent="0.25">
      <c r="A397" t="str">
        <f>COUNTIF($D$2:D557,D557)&amp;D557</f>
        <v>0</v>
      </c>
      <c r="B397" t="str">
        <f>COUNTIF($E$2:E557,E557)&amp;E557</f>
        <v>0</v>
      </c>
    </row>
    <row r="398" spans="1:2" x14ac:dyDescent="0.25">
      <c r="A398" t="str">
        <f>COUNTIF($D$2:D558,D558)&amp;D558</f>
        <v>0</v>
      </c>
      <c r="B398" t="str">
        <f>COUNTIF($E$2:E558,E558)&amp;E558</f>
        <v>0</v>
      </c>
    </row>
    <row r="399" spans="1:2" x14ac:dyDescent="0.25">
      <c r="A399" t="str">
        <f>COUNTIF($D$2:D559,D559)&amp;D559</f>
        <v>0</v>
      </c>
      <c r="B399" t="str">
        <f>COUNTIF($E$2:E559,E559)&amp;E559</f>
        <v>0</v>
      </c>
    </row>
    <row r="400" spans="1:2" x14ac:dyDescent="0.25">
      <c r="A400" t="str">
        <f>COUNTIF($D$2:D560,D560)&amp;D560</f>
        <v>0</v>
      </c>
      <c r="B400" t="str">
        <f>COUNTIF($E$2:E560,E560)&amp;E560</f>
        <v>0</v>
      </c>
    </row>
    <row r="401" spans="1:2" x14ac:dyDescent="0.25">
      <c r="A401" t="str">
        <f>COUNTIF($D$2:D561,D561)&amp;D561</f>
        <v>0</v>
      </c>
      <c r="B401" t="str">
        <f>COUNTIF($E$2:E561,E561)&amp;E561</f>
        <v>0</v>
      </c>
    </row>
    <row r="402" spans="1:2" x14ac:dyDescent="0.25">
      <c r="A402" t="str">
        <f>COUNTIF($D$2:D562,D562)&amp;D562</f>
        <v>0</v>
      </c>
      <c r="B402" t="str">
        <f>COUNTIF($E$2:E562,E562)&amp;E562</f>
        <v>0</v>
      </c>
    </row>
    <row r="403" spans="1:2" x14ac:dyDescent="0.25">
      <c r="A403" t="str">
        <f>COUNTIF($D$2:D563,D563)&amp;D563</f>
        <v>0</v>
      </c>
      <c r="B403" t="str">
        <f>COUNTIF($E$2:E563,E563)&amp;E563</f>
        <v>0</v>
      </c>
    </row>
    <row r="404" spans="1:2" x14ac:dyDescent="0.25">
      <c r="A404" t="str">
        <f>COUNTIF($D$2:D564,D564)&amp;D564</f>
        <v>0</v>
      </c>
      <c r="B404" t="str">
        <f>COUNTIF($E$2:E564,E564)&amp;E564</f>
        <v>0</v>
      </c>
    </row>
    <row r="405" spans="1:2" x14ac:dyDescent="0.25">
      <c r="A405" t="str">
        <f>COUNTIF($D$2:D565,D565)&amp;D565</f>
        <v>0</v>
      </c>
      <c r="B405" t="str">
        <f>COUNTIF($E$2:E565,E565)&amp;E565</f>
        <v>0</v>
      </c>
    </row>
    <row r="406" spans="1:2" x14ac:dyDescent="0.25">
      <c r="A406" t="str">
        <f>COUNTIF($D$2:D566,D566)&amp;D566</f>
        <v>0</v>
      </c>
      <c r="B406" t="str">
        <f>COUNTIF($E$2:E566,E566)&amp;E566</f>
        <v>0</v>
      </c>
    </row>
    <row r="407" spans="1:2" x14ac:dyDescent="0.25">
      <c r="A407" t="str">
        <f>COUNTIF($D$2:D567,D567)&amp;D567</f>
        <v>0</v>
      </c>
      <c r="B407" t="str">
        <f>COUNTIF($E$2:E567,E567)&amp;E567</f>
        <v>0</v>
      </c>
    </row>
    <row r="408" spans="1:2" x14ac:dyDescent="0.25">
      <c r="A408" t="str">
        <f>COUNTIF($D$2:D568,D568)&amp;D568</f>
        <v>0</v>
      </c>
      <c r="B408" t="str">
        <f>COUNTIF($E$2:E568,E568)&amp;E568</f>
        <v>0</v>
      </c>
    </row>
    <row r="409" spans="1:2" x14ac:dyDescent="0.25">
      <c r="A409" t="str">
        <f>COUNTIF($D$2:D569,D569)&amp;D569</f>
        <v>0</v>
      </c>
      <c r="B409" t="str">
        <f>COUNTIF($E$2:E569,E569)&amp;E569</f>
        <v>0</v>
      </c>
    </row>
    <row r="410" spans="1:2" x14ac:dyDescent="0.25">
      <c r="A410" t="str">
        <f>COUNTIF($D$2:D570,D570)&amp;D570</f>
        <v>0</v>
      </c>
      <c r="B410" t="str">
        <f>COUNTIF($E$2:E570,E570)&amp;E570</f>
        <v>0</v>
      </c>
    </row>
    <row r="411" spans="1:2" x14ac:dyDescent="0.25">
      <c r="A411" t="str">
        <f>COUNTIF($D$2:D571,D571)&amp;D571</f>
        <v>0</v>
      </c>
      <c r="B411" t="str">
        <f>COUNTIF($E$2:E571,E571)&amp;E571</f>
        <v>0</v>
      </c>
    </row>
    <row r="412" spans="1:2" x14ac:dyDescent="0.25">
      <c r="A412" t="str">
        <f>COUNTIF($D$2:D572,D572)&amp;D572</f>
        <v>0</v>
      </c>
      <c r="B412" t="str">
        <f>COUNTIF($E$2:E572,E572)&amp;E572</f>
        <v>0</v>
      </c>
    </row>
    <row r="413" spans="1:2" x14ac:dyDescent="0.25">
      <c r="A413" t="str">
        <f>COUNTIF($D$2:D573,D573)&amp;D573</f>
        <v>0</v>
      </c>
      <c r="B413" t="str">
        <f>COUNTIF($E$2:E573,E573)&amp;E573</f>
        <v>0</v>
      </c>
    </row>
    <row r="414" spans="1:2" x14ac:dyDescent="0.25">
      <c r="A414" t="str">
        <f>COUNTIF($D$2:D574,D574)&amp;D574</f>
        <v>0</v>
      </c>
      <c r="B414" t="str">
        <f>COUNTIF($E$2:E574,E574)&amp;E574</f>
        <v>0</v>
      </c>
    </row>
    <row r="415" spans="1:2" x14ac:dyDescent="0.25">
      <c r="A415" t="str">
        <f>COUNTIF($D$2:D575,D575)&amp;D575</f>
        <v>0</v>
      </c>
      <c r="B415" t="str">
        <f>COUNTIF($E$2:E575,E575)&amp;E575</f>
        <v>0</v>
      </c>
    </row>
    <row r="416" spans="1:2" x14ac:dyDescent="0.25">
      <c r="A416" t="str">
        <f>COUNTIF($D$2:D576,D576)&amp;D576</f>
        <v>0</v>
      </c>
      <c r="B416" t="str">
        <f>COUNTIF($E$2:E576,E576)&amp;E576</f>
        <v>0</v>
      </c>
    </row>
    <row r="417" spans="1:2" x14ac:dyDescent="0.25">
      <c r="A417" t="str">
        <f>COUNTIF($D$2:D577,D577)&amp;D577</f>
        <v>0</v>
      </c>
      <c r="B417" t="str">
        <f>COUNTIF($E$2:E577,E577)&amp;E577</f>
        <v>0</v>
      </c>
    </row>
    <row r="418" spans="1:2" x14ac:dyDescent="0.25">
      <c r="A418" t="str">
        <f>COUNTIF($D$2:D578,D578)&amp;D578</f>
        <v>0</v>
      </c>
      <c r="B418" t="str">
        <f>COUNTIF($E$2:E578,E578)&amp;E578</f>
        <v>0</v>
      </c>
    </row>
    <row r="419" spans="1:2" x14ac:dyDescent="0.25">
      <c r="A419" t="str">
        <f>COUNTIF($D$2:D579,D579)&amp;D579</f>
        <v>0</v>
      </c>
      <c r="B419" t="str">
        <f>COUNTIF($E$2:E579,E579)&amp;E579</f>
        <v>0</v>
      </c>
    </row>
    <row r="420" spans="1:2" x14ac:dyDescent="0.25">
      <c r="A420" t="str">
        <f>COUNTIF($D$2:D580,D580)&amp;D580</f>
        <v>0</v>
      </c>
      <c r="B420" t="str">
        <f>COUNTIF($E$2:E580,E580)&amp;E580</f>
        <v>0</v>
      </c>
    </row>
    <row r="421" spans="1:2" x14ac:dyDescent="0.25">
      <c r="A421" t="str">
        <f>COUNTIF($D$2:D581,D581)&amp;D581</f>
        <v>0</v>
      </c>
      <c r="B421" t="str">
        <f>COUNTIF($E$2:E581,E581)&amp;E581</f>
        <v>0</v>
      </c>
    </row>
    <row r="422" spans="1:2" x14ac:dyDescent="0.25">
      <c r="A422" t="str">
        <f>COUNTIF($D$2:D582,D582)&amp;D582</f>
        <v>0</v>
      </c>
      <c r="B422" t="str">
        <f>COUNTIF($E$2:E582,E582)&amp;E582</f>
        <v>0</v>
      </c>
    </row>
    <row r="423" spans="1:2" x14ac:dyDescent="0.25">
      <c r="A423" t="str">
        <f>COUNTIF($D$2:D583,D583)&amp;D583</f>
        <v>0</v>
      </c>
      <c r="B423" t="str">
        <f>COUNTIF($E$2:E583,E583)&amp;E583</f>
        <v>0</v>
      </c>
    </row>
    <row r="424" spans="1:2" x14ac:dyDescent="0.25">
      <c r="A424" t="str">
        <f>COUNTIF($D$2:D584,D584)&amp;D584</f>
        <v>0</v>
      </c>
      <c r="B424" t="str">
        <f>COUNTIF($E$2:E584,E584)&amp;E584</f>
        <v>0</v>
      </c>
    </row>
    <row r="425" spans="1:2" x14ac:dyDescent="0.25">
      <c r="A425" t="str">
        <f>COUNTIF($D$2:D585,D585)&amp;D585</f>
        <v>0</v>
      </c>
      <c r="B425" t="str">
        <f>COUNTIF($E$2:E585,E585)&amp;E585</f>
        <v>0</v>
      </c>
    </row>
    <row r="426" spans="1:2" x14ac:dyDescent="0.25">
      <c r="A426" t="str">
        <f>COUNTIF($D$2:D586,D586)&amp;D586</f>
        <v>0</v>
      </c>
      <c r="B426" t="str">
        <f>COUNTIF($E$2:E586,E586)&amp;E586</f>
        <v>0</v>
      </c>
    </row>
    <row r="427" spans="1:2" x14ac:dyDescent="0.25">
      <c r="A427" t="str">
        <f>COUNTIF($D$2:D587,D587)&amp;D587</f>
        <v>0</v>
      </c>
      <c r="B427" t="str">
        <f>COUNTIF($E$2:E587,E587)&amp;E587</f>
        <v>0</v>
      </c>
    </row>
    <row r="428" spans="1:2" x14ac:dyDescent="0.25">
      <c r="A428" t="str">
        <f>COUNTIF($D$2:D588,D588)&amp;D588</f>
        <v>0</v>
      </c>
      <c r="B428" t="str">
        <f>COUNTIF($E$2:E588,E588)&amp;E588</f>
        <v>0</v>
      </c>
    </row>
    <row r="429" spans="1:2" x14ac:dyDescent="0.25">
      <c r="A429" t="str">
        <f>COUNTIF($D$2:D589,D589)&amp;D589</f>
        <v>0</v>
      </c>
      <c r="B429" t="str">
        <f>COUNTIF($E$2:E589,E589)&amp;E589</f>
        <v>0</v>
      </c>
    </row>
    <row r="430" spans="1:2" x14ac:dyDescent="0.25">
      <c r="A430" t="str">
        <f>COUNTIF($D$2:D590,D590)&amp;D590</f>
        <v>0</v>
      </c>
      <c r="B430" t="str">
        <f>COUNTIF($E$2:E590,E590)&amp;E590</f>
        <v>0</v>
      </c>
    </row>
    <row r="431" spans="1:2" x14ac:dyDescent="0.25">
      <c r="A431" t="str">
        <f>COUNTIF($D$2:D591,D591)&amp;D591</f>
        <v>0</v>
      </c>
      <c r="B431" t="str">
        <f>COUNTIF($E$2:E591,E591)&amp;E591</f>
        <v>0</v>
      </c>
    </row>
    <row r="432" spans="1:2" x14ac:dyDescent="0.25">
      <c r="A432" t="str">
        <f>COUNTIF($D$2:D592,D592)&amp;D592</f>
        <v>0</v>
      </c>
      <c r="B432" t="str">
        <f>COUNTIF($E$2:E592,E592)&amp;E592</f>
        <v>0</v>
      </c>
    </row>
    <row r="433" spans="1:2" x14ac:dyDescent="0.25">
      <c r="A433" t="str">
        <f>COUNTIF($D$2:D593,D593)&amp;D593</f>
        <v>0</v>
      </c>
      <c r="B433" t="str">
        <f>COUNTIF($E$2:E593,E593)&amp;E593</f>
        <v>0</v>
      </c>
    </row>
    <row r="434" spans="1:2" x14ac:dyDescent="0.25">
      <c r="A434" t="str">
        <f>COUNTIF($D$2:D594,D594)&amp;D594</f>
        <v>0</v>
      </c>
      <c r="B434" t="str">
        <f>COUNTIF($E$2:E594,E594)&amp;E594</f>
        <v>0</v>
      </c>
    </row>
    <row r="435" spans="1:2" x14ac:dyDescent="0.25">
      <c r="A435" t="str">
        <f>COUNTIF($D$2:D595,D595)&amp;D595</f>
        <v>0</v>
      </c>
      <c r="B435" t="str">
        <f>COUNTIF($E$2:E595,E595)&amp;E595</f>
        <v>0</v>
      </c>
    </row>
    <row r="436" spans="1:2" x14ac:dyDescent="0.25">
      <c r="A436" t="str">
        <f>COUNTIF($D$2:D596,D596)&amp;D596</f>
        <v>0</v>
      </c>
      <c r="B436" t="str">
        <f>COUNTIF($E$2:E596,E596)&amp;E596</f>
        <v>0</v>
      </c>
    </row>
    <row r="437" spans="1:2" x14ac:dyDescent="0.25">
      <c r="A437" t="str">
        <f>COUNTIF($D$2:D597,D597)&amp;D597</f>
        <v>0</v>
      </c>
      <c r="B437" t="str">
        <f>COUNTIF($E$2:E597,E597)&amp;E597</f>
        <v>0</v>
      </c>
    </row>
    <row r="438" spans="1:2" x14ac:dyDescent="0.25">
      <c r="A438" t="str">
        <f>COUNTIF($D$2:D598,D598)&amp;D598</f>
        <v>0</v>
      </c>
      <c r="B438" t="str">
        <f>COUNTIF($E$2:E598,E598)&amp;E598</f>
        <v>0</v>
      </c>
    </row>
    <row r="439" spans="1:2" x14ac:dyDescent="0.25">
      <c r="A439" t="str">
        <f>COUNTIF($D$2:D599,D599)&amp;D599</f>
        <v>0</v>
      </c>
      <c r="B439" t="str">
        <f>COUNTIF($E$2:E599,E599)&amp;E599</f>
        <v>0</v>
      </c>
    </row>
    <row r="440" spans="1:2" x14ac:dyDescent="0.25">
      <c r="A440" t="str">
        <f>COUNTIF($D$2:D600,D600)&amp;D600</f>
        <v>0</v>
      </c>
      <c r="B440" t="str">
        <f>COUNTIF($E$2:E600,E600)&amp;E600</f>
        <v>0</v>
      </c>
    </row>
    <row r="441" spans="1:2" x14ac:dyDescent="0.25">
      <c r="A441" t="str">
        <f>COUNTIF($D$2:D601,D601)&amp;D601</f>
        <v>0</v>
      </c>
      <c r="B441" t="str">
        <f>COUNTIF($E$2:E601,E601)&amp;E601</f>
        <v>0</v>
      </c>
    </row>
    <row r="442" spans="1:2" x14ac:dyDescent="0.25">
      <c r="A442" t="str">
        <f>COUNTIF($D$2:D602,D602)&amp;D602</f>
        <v>0</v>
      </c>
      <c r="B442" t="str">
        <f>COUNTIF($E$2:E602,E602)&amp;E602</f>
        <v>0</v>
      </c>
    </row>
    <row r="443" spans="1:2" x14ac:dyDescent="0.25">
      <c r="A443" t="str">
        <f>COUNTIF($D$2:D603,D603)&amp;D603</f>
        <v>0</v>
      </c>
      <c r="B443" t="str">
        <f>COUNTIF($E$2:E603,E603)&amp;E603</f>
        <v>0</v>
      </c>
    </row>
    <row r="444" spans="1:2" x14ac:dyDescent="0.25">
      <c r="A444" t="str">
        <f>COUNTIF($D$2:D604,D604)&amp;D604</f>
        <v>0</v>
      </c>
      <c r="B444" t="str">
        <f>COUNTIF($E$2:E604,E604)&amp;E604</f>
        <v>0</v>
      </c>
    </row>
    <row r="445" spans="1:2" x14ac:dyDescent="0.25">
      <c r="A445" t="str">
        <f>COUNTIF($D$2:D605,D605)&amp;D605</f>
        <v>0</v>
      </c>
      <c r="B445" t="str">
        <f>COUNTIF($E$2:E605,E605)&amp;E605</f>
        <v>0</v>
      </c>
    </row>
    <row r="446" spans="1:2" x14ac:dyDescent="0.25">
      <c r="A446" t="str">
        <f>COUNTIF($D$2:D606,D606)&amp;D606</f>
        <v>0</v>
      </c>
      <c r="B446" t="str">
        <f>COUNTIF($E$2:E606,E606)&amp;E606</f>
        <v>0</v>
      </c>
    </row>
    <row r="447" spans="1:2" x14ac:dyDescent="0.25">
      <c r="A447" t="str">
        <f>COUNTIF($D$2:D607,D607)&amp;D607</f>
        <v>0</v>
      </c>
      <c r="B447" t="str">
        <f>COUNTIF($E$2:E607,E607)&amp;E607</f>
        <v>0</v>
      </c>
    </row>
    <row r="448" spans="1:2" x14ac:dyDescent="0.25">
      <c r="A448" t="str">
        <f>COUNTIF($D$2:D608,D608)&amp;D608</f>
        <v>0</v>
      </c>
      <c r="B448" t="str">
        <f>COUNTIF($E$2:E608,E608)&amp;E608</f>
        <v>0</v>
      </c>
    </row>
    <row r="449" spans="1:2" x14ac:dyDescent="0.25">
      <c r="A449" t="str">
        <f>COUNTIF($D$2:D609,D609)&amp;D609</f>
        <v>0</v>
      </c>
      <c r="B449" t="str">
        <f>COUNTIF($E$2:E609,E609)&amp;E609</f>
        <v>0</v>
      </c>
    </row>
    <row r="450" spans="1:2" x14ac:dyDescent="0.25">
      <c r="A450" t="str">
        <f>COUNTIF($D$2:D610,D610)&amp;D610</f>
        <v>0</v>
      </c>
      <c r="B450" t="str">
        <f>COUNTIF($E$2:E610,E610)&amp;E610</f>
        <v>0</v>
      </c>
    </row>
    <row r="451" spans="1:2" x14ac:dyDescent="0.25">
      <c r="A451" t="str">
        <f>COUNTIF($D$2:D611,D611)&amp;D611</f>
        <v>0</v>
      </c>
      <c r="B451" t="str">
        <f>COUNTIF($E$2:E611,E611)&amp;E611</f>
        <v>0</v>
      </c>
    </row>
    <row r="452" spans="1:2" x14ac:dyDescent="0.25">
      <c r="A452" t="str">
        <f>COUNTIF($D$2:D612,D612)&amp;D612</f>
        <v>0</v>
      </c>
      <c r="B452" t="str">
        <f>COUNTIF($E$2:E612,E612)&amp;E612</f>
        <v>0</v>
      </c>
    </row>
    <row r="453" spans="1:2" x14ac:dyDescent="0.25">
      <c r="A453" t="str">
        <f>COUNTIF($D$2:D613,D613)&amp;D613</f>
        <v>0</v>
      </c>
      <c r="B453" t="str">
        <f>COUNTIF($E$2:E613,E613)&amp;E613</f>
        <v>0</v>
      </c>
    </row>
    <row r="454" spans="1:2" x14ac:dyDescent="0.25">
      <c r="A454" t="str">
        <f>COUNTIF($D$2:D614,D614)&amp;D614</f>
        <v>0</v>
      </c>
      <c r="B454" t="str">
        <f>COUNTIF($E$2:E614,E614)&amp;E614</f>
        <v>0</v>
      </c>
    </row>
    <row r="455" spans="1:2" x14ac:dyDescent="0.25">
      <c r="A455" t="str">
        <f>COUNTIF($D$2:D615,D615)&amp;D615</f>
        <v>0</v>
      </c>
      <c r="B455" t="str">
        <f>COUNTIF($E$2:E615,E615)&amp;E615</f>
        <v>0</v>
      </c>
    </row>
    <row r="456" spans="1:2" x14ac:dyDescent="0.25">
      <c r="A456" t="str">
        <f>COUNTIF($D$2:D616,D616)&amp;D616</f>
        <v>0</v>
      </c>
      <c r="B456" t="str">
        <f>COUNTIF($E$2:E616,E616)&amp;E616</f>
        <v>0</v>
      </c>
    </row>
    <row r="457" spans="1:2" x14ac:dyDescent="0.25">
      <c r="A457" t="str">
        <f>COUNTIF($D$2:D617,D617)&amp;D617</f>
        <v>0</v>
      </c>
      <c r="B457" t="str">
        <f>COUNTIF($E$2:E617,E617)&amp;E617</f>
        <v>0</v>
      </c>
    </row>
    <row r="458" spans="1:2" x14ac:dyDescent="0.25">
      <c r="A458" t="str">
        <f>COUNTIF($D$2:D618,D618)&amp;D618</f>
        <v>0</v>
      </c>
      <c r="B458" t="str">
        <f>COUNTIF($E$2:E618,E618)&amp;E618</f>
        <v>0</v>
      </c>
    </row>
    <row r="459" spans="1:2" x14ac:dyDescent="0.25">
      <c r="A459" t="str">
        <f>COUNTIF($D$2:D619,D619)&amp;D619</f>
        <v>0</v>
      </c>
      <c r="B459" t="str">
        <f>COUNTIF($E$2:E619,E619)&amp;E619</f>
        <v>0</v>
      </c>
    </row>
    <row r="460" spans="1:2" x14ac:dyDescent="0.25">
      <c r="A460" t="str">
        <f>COUNTIF($D$2:D620,D620)&amp;D620</f>
        <v>0</v>
      </c>
      <c r="B460" t="str">
        <f>COUNTIF($E$2:E620,E620)&amp;E620</f>
        <v>0</v>
      </c>
    </row>
    <row r="461" spans="1:2" x14ac:dyDescent="0.25">
      <c r="A461" t="str">
        <f>COUNTIF($D$2:D621,D621)&amp;D621</f>
        <v>0</v>
      </c>
      <c r="B461" t="str">
        <f>COUNTIF($E$2:E621,E621)&amp;E621</f>
        <v>0</v>
      </c>
    </row>
    <row r="462" spans="1:2" x14ac:dyDescent="0.25">
      <c r="A462" t="str">
        <f>COUNTIF($D$2:D622,D622)&amp;D622</f>
        <v>0</v>
      </c>
      <c r="B462" t="str">
        <f>COUNTIF($E$2:E622,E622)&amp;E622</f>
        <v>0</v>
      </c>
    </row>
    <row r="463" spans="1:2" x14ac:dyDescent="0.25">
      <c r="A463" t="str">
        <f>COUNTIF($D$2:D623,D623)&amp;D623</f>
        <v>0</v>
      </c>
      <c r="B463" t="str">
        <f>COUNTIF($E$2:E623,E623)&amp;E623</f>
        <v>0</v>
      </c>
    </row>
    <row r="464" spans="1:2" x14ac:dyDescent="0.25">
      <c r="A464" t="str">
        <f>COUNTIF($D$2:D624,D624)&amp;D624</f>
        <v>0</v>
      </c>
      <c r="B464" t="str">
        <f>COUNTIF($E$2:E624,E624)&amp;E624</f>
        <v>0</v>
      </c>
    </row>
    <row r="465" spans="1:2" x14ac:dyDescent="0.25">
      <c r="A465" t="str">
        <f>COUNTIF($D$2:D625,D625)&amp;D625</f>
        <v>0</v>
      </c>
      <c r="B465" t="str">
        <f>COUNTIF($E$2:E625,E625)&amp;E625</f>
        <v>0</v>
      </c>
    </row>
    <row r="466" spans="1:2" x14ac:dyDescent="0.25">
      <c r="A466" t="str">
        <f>COUNTIF($D$2:D626,D626)&amp;D626</f>
        <v>0</v>
      </c>
      <c r="B466" t="str">
        <f>COUNTIF($E$2:E626,E626)&amp;E626</f>
        <v>0</v>
      </c>
    </row>
    <row r="467" spans="1:2" x14ac:dyDescent="0.25">
      <c r="A467" t="str">
        <f>COUNTIF($D$2:D627,D627)&amp;D627</f>
        <v>0</v>
      </c>
      <c r="B467" t="str">
        <f>COUNTIF($E$2:E627,E627)&amp;E627</f>
        <v>0</v>
      </c>
    </row>
    <row r="468" spans="1:2" x14ac:dyDescent="0.25">
      <c r="A468" t="str">
        <f>COUNTIF($D$2:D628,D628)&amp;D628</f>
        <v>0</v>
      </c>
      <c r="B468" t="str">
        <f>COUNTIF($E$2:E628,E628)&amp;E628</f>
        <v>0</v>
      </c>
    </row>
    <row r="469" spans="1:2" x14ac:dyDescent="0.25">
      <c r="A469" t="str">
        <f>COUNTIF($D$2:D629,D629)&amp;D629</f>
        <v>0</v>
      </c>
      <c r="B469" t="str">
        <f>COUNTIF($E$2:E629,E629)&amp;E629</f>
        <v>0</v>
      </c>
    </row>
    <row r="470" spans="1:2" x14ac:dyDescent="0.25">
      <c r="A470" t="str">
        <f>COUNTIF($D$2:D630,D630)&amp;D630</f>
        <v>0</v>
      </c>
      <c r="B470" t="str">
        <f>COUNTIF($E$2:E630,E630)&amp;E630</f>
        <v>0</v>
      </c>
    </row>
    <row r="471" spans="1:2" x14ac:dyDescent="0.25">
      <c r="A471" t="str">
        <f>COUNTIF($D$2:D631,D631)&amp;D631</f>
        <v>0</v>
      </c>
      <c r="B471" t="str">
        <f>COUNTIF($E$2:E631,E631)&amp;E631</f>
        <v>0</v>
      </c>
    </row>
    <row r="472" spans="1:2" x14ac:dyDescent="0.25">
      <c r="A472" t="str">
        <f>COUNTIF($D$2:D632,D632)&amp;D632</f>
        <v>0</v>
      </c>
      <c r="B472" t="str">
        <f>COUNTIF($E$2:E632,E632)&amp;E632</f>
        <v>0</v>
      </c>
    </row>
    <row r="473" spans="1:2" x14ac:dyDescent="0.25">
      <c r="A473" t="str">
        <f>COUNTIF($D$2:D633,D633)&amp;D633</f>
        <v>0</v>
      </c>
      <c r="B473" t="str">
        <f>COUNTIF($E$2:E633,E633)&amp;E633</f>
        <v>0</v>
      </c>
    </row>
    <row r="474" spans="1:2" x14ac:dyDescent="0.25">
      <c r="A474" t="str">
        <f>COUNTIF($D$2:D634,D634)&amp;D634</f>
        <v>0</v>
      </c>
      <c r="B474" t="str">
        <f>COUNTIF($E$2:E634,E634)&amp;E634</f>
        <v>0</v>
      </c>
    </row>
    <row r="475" spans="1:2" x14ac:dyDescent="0.25">
      <c r="A475" t="str">
        <f>COUNTIF($D$2:D635,D635)&amp;D635</f>
        <v>0</v>
      </c>
      <c r="B475" t="str">
        <f>COUNTIF($E$2:E635,E635)&amp;E635</f>
        <v>0</v>
      </c>
    </row>
    <row r="476" spans="1:2" x14ac:dyDescent="0.25">
      <c r="A476" t="str">
        <f>COUNTIF($D$2:D636,D636)&amp;D636</f>
        <v>0</v>
      </c>
      <c r="B476" t="str">
        <f>COUNTIF($E$2:E636,E636)&amp;E636</f>
        <v>0</v>
      </c>
    </row>
    <row r="477" spans="1:2" x14ac:dyDescent="0.25">
      <c r="A477" t="str">
        <f>COUNTIF($D$2:D637,D637)&amp;D637</f>
        <v>0</v>
      </c>
      <c r="B477" t="str">
        <f>COUNTIF($E$2:E637,E637)&amp;E637</f>
        <v>0</v>
      </c>
    </row>
    <row r="478" spans="1:2" x14ac:dyDescent="0.25">
      <c r="A478" t="str">
        <f>COUNTIF($D$2:D638,D638)&amp;D638</f>
        <v>0</v>
      </c>
      <c r="B478" t="str">
        <f>COUNTIF($E$2:E638,E638)&amp;E638</f>
        <v>0</v>
      </c>
    </row>
    <row r="479" spans="1:2" x14ac:dyDescent="0.25">
      <c r="A479" t="str">
        <f>COUNTIF($D$2:D639,D639)&amp;D639</f>
        <v>0</v>
      </c>
      <c r="B479" t="str">
        <f>COUNTIF($E$2:E639,E639)&amp;E639</f>
        <v>0</v>
      </c>
    </row>
    <row r="480" spans="1:2" x14ac:dyDescent="0.25">
      <c r="A480" t="str">
        <f>COUNTIF($D$2:D640,D640)&amp;D640</f>
        <v>0</v>
      </c>
      <c r="B480" t="str">
        <f>COUNTIF($E$2:E640,E640)&amp;E640</f>
        <v>0</v>
      </c>
    </row>
    <row r="481" spans="1:2" x14ac:dyDescent="0.25">
      <c r="A481" t="str">
        <f>COUNTIF($D$2:D641,D641)&amp;D641</f>
        <v>0</v>
      </c>
      <c r="B481" t="str">
        <f>COUNTIF($E$2:E641,E641)&amp;E641</f>
        <v>0</v>
      </c>
    </row>
    <row r="482" spans="1:2" x14ac:dyDescent="0.25">
      <c r="A482" t="str">
        <f>COUNTIF($D$2:D642,D642)&amp;D642</f>
        <v>0</v>
      </c>
      <c r="B482" t="str">
        <f>COUNTIF($E$2:E642,E642)&amp;E642</f>
        <v>0</v>
      </c>
    </row>
    <row r="483" spans="1:2" x14ac:dyDescent="0.25">
      <c r="A483" t="str">
        <f>COUNTIF($D$2:D643,D643)&amp;D643</f>
        <v>0</v>
      </c>
      <c r="B483" t="str">
        <f>COUNTIF($E$2:E643,E643)&amp;E643</f>
        <v>0</v>
      </c>
    </row>
    <row r="484" spans="1:2" x14ac:dyDescent="0.25">
      <c r="A484" t="str">
        <f>COUNTIF($D$2:D644,D644)&amp;D644</f>
        <v>0</v>
      </c>
      <c r="B484" t="str">
        <f>COUNTIF($E$2:E644,E644)&amp;E644</f>
        <v>0</v>
      </c>
    </row>
    <row r="485" spans="1:2" x14ac:dyDescent="0.25">
      <c r="A485" t="str">
        <f>COUNTIF($D$2:D645,D645)&amp;D645</f>
        <v>0</v>
      </c>
      <c r="B485" t="str">
        <f>COUNTIF($E$2:E645,E645)&amp;E645</f>
        <v>0</v>
      </c>
    </row>
    <row r="486" spans="1:2" x14ac:dyDescent="0.25">
      <c r="A486" t="str">
        <f>COUNTIF($D$2:D646,D646)&amp;D646</f>
        <v>0</v>
      </c>
      <c r="B486" t="str">
        <f>COUNTIF($E$2:E646,E646)&amp;E646</f>
        <v>0</v>
      </c>
    </row>
    <row r="487" spans="1:2" x14ac:dyDescent="0.25">
      <c r="A487" t="str">
        <f>COUNTIF($D$2:D647,D647)&amp;D647</f>
        <v>0</v>
      </c>
      <c r="B487" t="str">
        <f>COUNTIF($E$2:E647,E647)&amp;E647</f>
        <v>0</v>
      </c>
    </row>
    <row r="488" spans="1:2" x14ac:dyDescent="0.25">
      <c r="A488" t="str">
        <f>COUNTIF($D$2:D648,D648)&amp;D648</f>
        <v>0</v>
      </c>
      <c r="B488" t="str">
        <f>COUNTIF($E$2:E648,E648)&amp;E648</f>
        <v>0</v>
      </c>
    </row>
    <row r="489" spans="1:2" x14ac:dyDescent="0.25">
      <c r="A489" t="str">
        <f>COUNTIF($D$2:D649,D649)&amp;D649</f>
        <v>0</v>
      </c>
      <c r="B489" t="str">
        <f>COUNTIF($E$2:E649,E649)&amp;E649</f>
        <v>0</v>
      </c>
    </row>
    <row r="490" spans="1:2" x14ac:dyDescent="0.25">
      <c r="A490" t="str">
        <f>COUNTIF($D$2:D650,D650)&amp;D650</f>
        <v>0</v>
      </c>
      <c r="B490" t="str">
        <f>COUNTIF($E$2:E650,E650)&amp;E650</f>
        <v>0</v>
      </c>
    </row>
    <row r="491" spans="1:2" x14ac:dyDescent="0.25">
      <c r="A491" t="str">
        <f>COUNTIF($D$2:D651,D651)&amp;D651</f>
        <v>0</v>
      </c>
      <c r="B491" t="str">
        <f>COUNTIF($E$2:E651,E651)&amp;E651</f>
        <v>0</v>
      </c>
    </row>
    <row r="492" spans="1:2" x14ac:dyDescent="0.25">
      <c r="A492" t="str">
        <f>COUNTIF($D$2:D652,D652)&amp;D652</f>
        <v>0</v>
      </c>
      <c r="B492" t="str">
        <f>COUNTIF($E$2:E652,E652)&amp;E652</f>
        <v>0</v>
      </c>
    </row>
    <row r="493" spans="1:2" x14ac:dyDescent="0.25">
      <c r="A493" t="str">
        <f>COUNTIF($D$2:D653,D653)&amp;D653</f>
        <v>0</v>
      </c>
      <c r="B493" t="str">
        <f>COUNTIF($E$2:E653,E653)&amp;E653</f>
        <v>0</v>
      </c>
    </row>
    <row r="494" spans="1:2" x14ac:dyDescent="0.25">
      <c r="A494" t="str">
        <f>COUNTIF($D$2:D654,D654)&amp;D654</f>
        <v>0</v>
      </c>
      <c r="B494" t="str">
        <f>COUNTIF($E$2:E654,E654)&amp;E654</f>
        <v>0</v>
      </c>
    </row>
    <row r="495" spans="1:2" x14ac:dyDescent="0.25">
      <c r="A495" t="str">
        <f>COUNTIF($D$2:D655,D655)&amp;D655</f>
        <v>0</v>
      </c>
      <c r="B495" t="str">
        <f>COUNTIF($E$2:E655,E655)&amp;E655</f>
        <v>0</v>
      </c>
    </row>
    <row r="496" spans="1:2" x14ac:dyDescent="0.25">
      <c r="A496" t="str">
        <f>COUNTIF($D$2:D656,D656)&amp;D656</f>
        <v>0</v>
      </c>
      <c r="B496" t="str">
        <f>COUNTIF($E$2:E656,E656)&amp;E656</f>
        <v>0</v>
      </c>
    </row>
    <row r="497" spans="1:2" x14ac:dyDescent="0.25">
      <c r="A497" t="str">
        <f>COUNTIF($D$2:D657,D657)&amp;D657</f>
        <v>0</v>
      </c>
      <c r="B497" t="str">
        <f>COUNTIF($E$2:E657,E657)&amp;E657</f>
        <v>0</v>
      </c>
    </row>
    <row r="498" spans="1:2" x14ac:dyDescent="0.25">
      <c r="A498" t="str">
        <f>COUNTIF($D$2:D658,D658)&amp;D658</f>
        <v>0</v>
      </c>
      <c r="B498" t="str">
        <f>COUNTIF($E$2:E658,E658)&amp;E658</f>
        <v>0</v>
      </c>
    </row>
    <row r="499" spans="1:2" x14ac:dyDescent="0.25">
      <c r="A499" t="str">
        <f>COUNTIF($D$2:D659,D659)&amp;D659</f>
        <v>0</v>
      </c>
      <c r="B499" t="str">
        <f>COUNTIF($E$2:E659,E659)&amp;E659</f>
        <v>0</v>
      </c>
    </row>
    <row r="500" spans="1:2" x14ac:dyDescent="0.25">
      <c r="A500" t="str">
        <f>COUNTIF($D$2:D660,D660)&amp;D660</f>
        <v>0</v>
      </c>
      <c r="B500" t="str">
        <f>COUNTIF($E$2:E660,E660)&amp;E660</f>
        <v>0</v>
      </c>
    </row>
    <row r="501" spans="1:2" x14ac:dyDescent="0.25">
      <c r="A501" t="str">
        <f>COUNTIF($D$2:D661,D661)&amp;D661</f>
        <v>0</v>
      </c>
      <c r="B501" t="str">
        <f>COUNTIF($E$2:E661,E661)&amp;E661</f>
        <v>0</v>
      </c>
    </row>
    <row r="502" spans="1:2" x14ac:dyDescent="0.25">
      <c r="A502" t="str">
        <f>COUNTIF($D$2:D662,D662)&amp;D662</f>
        <v>0</v>
      </c>
      <c r="B502" t="str">
        <f>COUNTIF($E$2:E662,E662)&amp;E662</f>
        <v>0</v>
      </c>
    </row>
    <row r="503" spans="1:2" x14ac:dyDescent="0.25">
      <c r="A503" t="str">
        <f>COUNTIF($D$2:D663,D663)&amp;D663</f>
        <v>0</v>
      </c>
      <c r="B503" t="str">
        <f>COUNTIF($E$2:E663,E663)&amp;E663</f>
        <v>0</v>
      </c>
    </row>
    <row r="504" spans="1:2" x14ac:dyDescent="0.25">
      <c r="A504" t="str">
        <f>COUNTIF($D$2:D664,D664)&amp;D664</f>
        <v>0</v>
      </c>
      <c r="B504" t="str">
        <f>COUNTIF($E$2:E664,E664)&amp;E664</f>
        <v>0</v>
      </c>
    </row>
    <row r="505" spans="1:2" x14ac:dyDescent="0.25">
      <c r="A505" t="str">
        <f>COUNTIF($D$2:D665,D665)&amp;D665</f>
        <v>0</v>
      </c>
      <c r="B505" t="str">
        <f>COUNTIF($E$2:E665,E665)&amp;E665</f>
        <v>0</v>
      </c>
    </row>
    <row r="506" spans="1:2" x14ac:dyDescent="0.25">
      <c r="A506" t="str">
        <f>COUNTIF($D$2:D666,D666)&amp;D666</f>
        <v>0</v>
      </c>
      <c r="B506" t="str">
        <f>COUNTIF($E$2:E666,E666)&amp;E666</f>
        <v>0</v>
      </c>
    </row>
    <row r="507" spans="1:2" x14ac:dyDescent="0.25">
      <c r="A507" t="str">
        <f>COUNTIF($D$2:D667,D667)&amp;D667</f>
        <v>0</v>
      </c>
      <c r="B507" t="str">
        <f>COUNTIF($E$2:E667,E667)&amp;E667</f>
        <v>0</v>
      </c>
    </row>
    <row r="508" spans="1:2" x14ac:dyDescent="0.25">
      <c r="A508" t="str">
        <f>COUNTIF($D$2:D668,D668)&amp;D668</f>
        <v>0</v>
      </c>
      <c r="B508" t="str">
        <f>COUNTIF($E$2:E668,E668)&amp;E668</f>
        <v>0</v>
      </c>
    </row>
    <row r="509" spans="1:2" x14ac:dyDescent="0.25">
      <c r="A509" t="str">
        <f>COUNTIF($D$2:D669,D669)&amp;D669</f>
        <v>0</v>
      </c>
      <c r="B509" t="str">
        <f>COUNTIF($E$2:E669,E669)&amp;E669</f>
        <v>0</v>
      </c>
    </row>
    <row r="510" spans="1:2" x14ac:dyDescent="0.25">
      <c r="A510" t="str">
        <f>COUNTIF($D$2:D670,D670)&amp;D670</f>
        <v>0</v>
      </c>
      <c r="B510" t="str">
        <f>COUNTIF($E$2:E670,E670)&amp;E670</f>
        <v>0</v>
      </c>
    </row>
    <row r="511" spans="1:2" x14ac:dyDescent="0.25">
      <c r="A511" t="str">
        <f>COUNTIF($D$2:D671,D671)&amp;D671</f>
        <v>0</v>
      </c>
      <c r="B511" t="str">
        <f>COUNTIF($E$2:E671,E671)&amp;E671</f>
        <v>0</v>
      </c>
    </row>
    <row r="512" spans="1:2" x14ac:dyDescent="0.25">
      <c r="A512" t="str">
        <f>COUNTIF($D$2:D672,D672)&amp;D672</f>
        <v>0</v>
      </c>
      <c r="B512" t="str">
        <f>COUNTIF($E$2:E672,E672)&amp;E672</f>
        <v>0</v>
      </c>
    </row>
    <row r="513" spans="1:2" x14ac:dyDescent="0.25">
      <c r="A513" t="str">
        <f>COUNTIF($D$2:D673,D673)&amp;D673</f>
        <v>0</v>
      </c>
      <c r="B513" t="str">
        <f>COUNTIF($E$2:E673,E673)&amp;E673</f>
        <v>0</v>
      </c>
    </row>
    <row r="514" spans="1:2" x14ac:dyDescent="0.25">
      <c r="A514" t="str">
        <f>COUNTIF($D$2:D674,D674)&amp;D674</f>
        <v>0</v>
      </c>
      <c r="B514" t="str">
        <f>COUNTIF($E$2:E674,E674)&amp;E674</f>
        <v>0</v>
      </c>
    </row>
    <row r="515" spans="1:2" x14ac:dyDescent="0.25">
      <c r="A515" t="str">
        <f>COUNTIF($D$2:D675,D675)&amp;D675</f>
        <v>0</v>
      </c>
      <c r="B515" t="str">
        <f>COUNTIF($E$2:E675,E675)&amp;E675</f>
        <v>0</v>
      </c>
    </row>
    <row r="516" spans="1:2" x14ac:dyDescent="0.25">
      <c r="A516" t="str">
        <f>COUNTIF($D$2:D676,D676)&amp;D676</f>
        <v>0</v>
      </c>
      <c r="B516" t="str">
        <f>COUNTIF($E$2:E676,E676)&amp;E676</f>
        <v>0</v>
      </c>
    </row>
    <row r="517" spans="1:2" x14ac:dyDescent="0.25">
      <c r="A517" t="str">
        <f>COUNTIF($D$2:D677,D677)&amp;D677</f>
        <v>0</v>
      </c>
      <c r="B517" t="str">
        <f>COUNTIF($E$2:E677,E677)&amp;E677</f>
        <v>0</v>
      </c>
    </row>
    <row r="518" spans="1:2" x14ac:dyDescent="0.25">
      <c r="A518" t="str">
        <f>COUNTIF($D$2:D678,D678)&amp;D678</f>
        <v>0</v>
      </c>
      <c r="B518" t="str">
        <f>COUNTIF($E$2:E678,E678)&amp;E678</f>
        <v>0</v>
      </c>
    </row>
    <row r="519" spans="1:2" x14ac:dyDescent="0.25">
      <c r="A519" t="str">
        <f>COUNTIF($D$2:D679,D679)&amp;D679</f>
        <v>0</v>
      </c>
      <c r="B519" t="str">
        <f>COUNTIF($E$2:E679,E679)&amp;E679</f>
        <v>0</v>
      </c>
    </row>
    <row r="520" spans="1:2" x14ac:dyDescent="0.25">
      <c r="A520" t="str">
        <f>COUNTIF($D$2:D680,D680)&amp;D680</f>
        <v>0</v>
      </c>
      <c r="B520" t="str">
        <f>COUNTIF($E$2:E680,E680)&amp;E680</f>
        <v>0</v>
      </c>
    </row>
    <row r="521" spans="1:2" x14ac:dyDescent="0.25">
      <c r="A521" t="str">
        <f>COUNTIF($D$2:D681,D681)&amp;D681</f>
        <v>0</v>
      </c>
      <c r="B521" t="str">
        <f>COUNTIF($E$2:E681,E681)&amp;E681</f>
        <v>0</v>
      </c>
    </row>
    <row r="522" spans="1:2" x14ac:dyDescent="0.25">
      <c r="A522" t="str">
        <f>COUNTIF($D$2:D682,D682)&amp;D682</f>
        <v>0</v>
      </c>
      <c r="B522" t="str">
        <f>COUNTIF($E$2:E682,E682)&amp;E682</f>
        <v>0</v>
      </c>
    </row>
    <row r="523" spans="1:2" x14ac:dyDescent="0.25">
      <c r="A523" t="str">
        <f>COUNTIF($D$2:D683,D683)&amp;D683</f>
        <v>0</v>
      </c>
      <c r="B523" t="str">
        <f>COUNTIF($E$2:E683,E683)&amp;E683</f>
        <v>0</v>
      </c>
    </row>
    <row r="524" spans="1:2" x14ac:dyDescent="0.25">
      <c r="A524" t="str">
        <f>COUNTIF($D$2:D684,D684)&amp;D684</f>
        <v>0</v>
      </c>
      <c r="B524" t="str">
        <f>COUNTIF($E$2:E684,E684)&amp;E684</f>
        <v>0</v>
      </c>
    </row>
    <row r="525" spans="1:2" x14ac:dyDescent="0.25">
      <c r="A525" t="str">
        <f>COUNTIF($D$2:D685,D685)&amp;D685</f>
        <v>0</v>
      </c>
      <c r="B525" t="str">
        <f>COUNTIF($E$2:E685,E685)&amp;E685</f>
        <v>0</v>
      </c>
    </row>
    <row r="526" spans="1:2" x14ac:dyDescent="0.25">
      <c r="A526" t="str">
        <f>COUNTIF($D$2:D686,D686)&amp;D686</f>
        <v>0</v>
      </c>
      <c r="B526" t="str">
        <f>COUNTIF($E$2:E686,E686)&amp;E686</f>
        <v>0</v>
      </c>
    </row>
    <row r="527" spans="1:2" x14ac:dyDescent="0.25">
      <c r="A527" t="str">
        <f>COUNTIF($D$2:D687,D687)&amp;D687</f>
        <v>0</v>
      </c>
      <c r="B527" t="str">
        <f>COUNTIF($E$2:E687,E687)&amp;E687</f>
        <v>0</v>
      </c>
    </row>
    <row r="528" spans="1:2" x14ac:dyDescent="0.25">
      <c r="A528" t="str">
        <f>COUNTIF($D$2:D688,D688)&amp;D688</f>
        <v>0</v>
      </c>
      <c r="B528" t="str">
        <f>COUNTIF($E$2:E688,E688)&amp;E688</f>
        <v>0</v>
      </c>
    </row>
    <row r="529" spans="1:2" x14ac:dyDescent="0.25">
      <c r="A529" t="str">
        <f>COUNTIF($D$2:D689,D689)&amp;D689</f>
        <v>0</v>
      </c>
      <c r="B529" t="str">
        <f>COUNTIF($E$2:E689,E689)&amp;E689</f>
        <v>0</v>
      </c>
    </row>
    <row r="530" spans="1:2" x14ac:dyDescent="0.25">
      <c r="A530" t="str">
        <f>COUNTIF($D$2:D690,D690)&amp;D690</f>
        <v>0</v>
      </c>
      <c r="B530" t="str">
        <f>COUNTIF($E$2:E690,E690)&amp;E690</f>
        <v>0</v>
      </c>
    </row>
    <row r="531" spans="1:2" x14ac:dyDescent="0.25">
      <c r="A531" t="str">
        <f>COUNTIF($D$2:D691,D691)&amp;D691</f>
        <v>0</v>
      </c>
      <c r="B531" t="str">
        <f>COUNTIF($E$2:E691,E691)&amp;E691</f>
        <v>0</v>
      </c>
    </row>
    <row r="532" spans="1:2" x14ac:dyDescent="0.25">
      <c r="A532" t="str">
        <f>COUNTIF($D$2:D692,D692)&amp;D692</f>
        <v>0</v>
      </c>
      <c r="B532" t="str">
        <f>COUNTIF($E$2:E692,E692)&amp;E692</f>
        <v>0</v>
      </c>
    </row>
    <row r="533" spans="1:2" x14ac:dyDescent="0.25">
      <c r="A533" t="str">
        <f>COUNTIF($D$2:D693,D693)&amp;D693</f>
        <v>0</v>
      </c>
      <c r="B533" t="str">
        <f>COUNTIF($E$2:E693,E693)&amp;E693</f>
        <v>0</v>
      </c>
    </row>
    <row r="534" spans="1:2" x14ac:dyDescent="0.25">
      <c r="A534" t="str">
        <f>COUNTIF($D$2:D694,D694)&amp;D694</f>
        <v>0</v>
      </c>
      <c r="B534" t="str">
        <f>COUNTIF($E$2:E694,E694)&amp;E694</f>
        <v>0</v>
      </c>
    </row>
    <row r="535" spans="1:2" x14ac:dyDescent="0.25">
      <c r="A535" t="str">
        <f>COUNTIF($D$2:D695,D695)&amp;D695</f>
        <v>0</v>
      </c>
      <c r="B535" t="str">
        <f>COUNTIF($E$2:E695,E695)&amp;E695</f>
        <v>0</v>
      </c>
    </row>
    <row r="536" spans="1:2" x14ac:dyDescent="0.25">
      <c r="A536" t="str">
        <f>COUNTIF($D$2:D696,D696)&amp;D696</f>
        <v>0</v>
      </c>
      <c r="B536" t="str">
        <f>COUNTIF($E$2:E696,E696)&amp;E696</f>
        <v>0</v>
      </c>
    </row>
    <row r="537" spans="1:2" x14ac:dyDescent="0.25">
      <c r="A537" t="str">
        <f>COUNTIF($D$2:D697,D697)&amp;D697</f>
        <v>0</v>
      </c>
      <c r="B537" t="str">
        <f>COUNTIF($E$2:E697,E697)&amp;E697</f>
        <v>0</v>
      </c>
    </row>
    <row r="538" spans="1:2" x14ac:dyDescent="0.25">
      <c r="A538" t="str">
        <f>COUNTIF($D$2:D698,D698)&amp;D698</f>
        <v>0</v>
      </c>
      <c r="B538" t="str">
        <f>COUNTIF($E$2:E698,E698)&amp;E698</f>
        <v>0</v>
      </c>
    </row>
    <row r="539" spans="1:2" x14ac:dyDescent="0.25">
      <c r="A539" t="str">
        <f>COUNTIF($D$2:D699,D699)&amp;D699</f>
        <v>0</v>
      </c>
      <c r="B539" t="str">
        <f>COUNTIF($E$2:E699,E699)&amp;E699</f>
        <v>0</v>
      </c>
    </row>
    <row r="540" spans="1:2" x14ac:dyDescent="0.25">
      <c r="A540" t="str">
        <f>COUNTIF($D$2:D700,D700)&amp;D700</f>
        <v>0</v>
      </c>
      <c r="B540" t="str">
        <f>COUNTIF($E$2:E700,E700)&amp;E700</f>
        <v>0</v>
      </c>
    </row>
    <row r="541" spans="1:2" x14ac:dyDescent="0.25">
      <c r="A541" t="str">
        <f>COUNTIF($D$2:D701,D701)&amp;D701</f>
        <v>0</v>
      </c>
      <c r="B541" t="str">
        <f>COUNTIF($E$2:E701,E701)&amp;E701</f>
        <v>0</v>
      </c>
    </row>
    <row r="542" spans="1:2" x14ac:dyDescent="0.25">
      <c r="A542" t="str">
        <f>COUNTIF($D$2:D702,D702)&amp;D702</f>
        <v>0</v>
      </c>
      <c r="B542" t="str">
        <f>COUNTIF($E$2:E702,E702)&amp;E702</f>
        <v>0</v>
      </c>
    </row>
    <row r="543" spans="1:2" x14ac:dyDescent="0.25">
      <c r="A543" t="str">
        <f>COUNTIF($D$2:D703,D703)&amp;D703</f>
        <v>0</v>
      </c>
      <c r="B543" t="str">
        <f>COUNTIF($E$2:E703,E703)&amp;E703</f>
        <v>0</v>
      </c>
    </row>
    <row r="544" spans="1:2" x14ac:dyDescent="0.25">
      <c r="A544" t="str">
        <f>COUNTIF($D$2:D704,D704)&amp;D704</f>
        <v>0</v>
      </c>
      <c r="B544" t="str">
        <f>COUNTIF($E$2:E704,E704)&amp;E704</f>
        <v>0</v>
      </c>
    </row>
    <row r="545" spans="1:2" x14ac:dyDescent="0.25">
      <c r="A545" t="str">
        <f>COUNTIF($D$2:D705,D705)&amp;D705</f>
        <v>0</v>
      </c>
      <c r="B545" t="str">
        <f>COUNTIF($E$2:E705,E705)&amp;E705</f>
        <v>0</v>
      </c>
    </row>
    <row r="546" spans="1:2" x14ac:dyDescent="0.25">
      <c r="A546" t="str">
        <f>COUNTIF($D$2:D706,D706)&amp;D706</f>
        <v>0</v>
      </c>
      <c r="B546" t="str">
        <f>COUNTIF($E$2:E706,E706)&amp;E706</f>
        <v>0</v>
      </c>
    </row>
    <row r="547" spans="1:2" x14ac:dyDescent="0.25">
      <c r="A547" t="str">
        <f>COUNTIF($D$2:D707,D707)&amp;D707</f>
        <v>0</v>
      </c>
      <c r="B547" t="str">
        <f>COUNTIF($E$2:E707,E707)&amp;E707</f>
        <v>0</v>
      </c>
    </row>
    <row r="548" spans="1:2" x14ac:dyDescent="0.25">
      <c r="A548" t="str">
        <f>COUNTIF($D$2:D708,D708)&amp;D708</f>
        <v>0</v>
      </c>
      <c r="B548" t="str">
        <f>COUNTIF($E$2:E708,E708)&amp;E708</f>
        <v>0</v>
      </c>
    </row>
    <row r="549" spans="1:2" x14ac:dyDescent="0.25">
      <c r="A549" t="str">
        <f>COUNTIF($D$2:D709,D709)&amp;D709</f>
        <v>0</v>
      </c>
      <c r="B549" t="str">
        <f>COUNTIF($E$2:E709,E709)&amp;E709</f>
        <v>0</v>
      </c>
    </row>
    <row r="550" spans="1:2" x14ac:dyDescent="0.25">
      <c r="A550" t="str">
        <f>COUNTIF($D$2:D710,D710)&amp;D710</f>
        <v>0</v>
      </c>
      <c r="B550" t="str">
        <f>COUNTIF($E$2:E710,E710)&amp;E710</f>
        <v>0</v>
      </c>
    </row>
    <row r="551" spans="1:2" x14ac:dyDescent="0.25">
      <c r="A551" t="str">
        <f>COUNTIF($D$2:D711,D711)&amp;D711</f>
        <v>0</v>
      </c>
      <c r="B551" t="str">
        <f>COUNTIF($E$2:E711,E711)&amp;E711</f>
        <v>0</v>
      </c>
    </row>
    <row r="552" spans="1:2" x14ac:dyDescent="0.25">
      <c r="A552" t="str">
        <f>COUNTIF($D$2:D712,D712)&amp;D712</f>
        <v>0</v>
      </c>
      <c r="B552" t="str">
        <f>COUNTIF($E$2:E712,E712)&amp;E712</f>
        <v>0</v>
      </c>
    </row>
    <row r="553" spans="1:2" x14ac:dyDescent="0.25">
      <c r="A553" t="str">
        <f>COUNTIF($D$2:D713,D713)&amp;D713</f>
        <v>0</v>
      </c>
      <c r="B553" t="str">
        <f>COUNTIF($E$2:E713,E713)&amp;E713</f>
        <v>0</v>
      </c>
    </row>
    <row r="554" spans="1:2" x14ac:dyDescent="0.25">
      <c r="A554" t="str">
        <f>COUNTIF($D$2:D714,D714)&amp;D714</f>
        <v>0</v>
      </c>
      <c r="B554" t="str">
        <f>COUNTIF($E$2:E714,E714)&amp;E714</f>
        <v>0</v>
      </c>
    </row>
    <row r="555" spans="1:2" x14ac:dyDescent="0.25">
      <c r="A555" t="str">
        <f>COUNTIF($D$2:D715,D715)&amp;D715</f>
        <v>0</v>
      </c>
      <c r="B555" t="str">
        <f>COUNTIF($E$2:E715,E715)&amp;E715</f>
        <v>0</v>
      </c>
    </row>
    <row r="556" spans="1:2" x14ac:dyDescent="0.25">
      <c r="A556" t="str">
        <f>COUNTIF($D$2:D716,D716)&amp;D716</f>
        <v>0</v>
      </c>
      <c r="B556" t="str">
        <f>COUNTIF($E$2:E716,E716)&amp;E716</f>
        <v>0</v>
      </c>
    </row>
    <row r="557" spans="1:2" x14ac:dyDescent="0.25">
      <c r="A557" t="str">
        <f>COUNTIF($D$2:D717,D717)&amp;D717</f>
        <v>0</v>
      </c>
      <c r="B557" t="str">
        <f>COUNTIF($E$2:E717,E717)&amp;E717</f>
        <v>0</v>
      </c>
    </row>
    <row r="558" spans="1:2" x14ac:dyDescent="0.25">
      <c r="A558" t="str">
        <f>COUNTIF($D$2:D718,D718)&amp;D718</f>
        <v>0</v>
      </c>
      <c r="B558" t="str">
        <f>COUNTIF($E$2:E718,E718)&amp;E718</f>
        <v>0</v>
      </c>
    </row>
    <row r="559" spans="1:2" x14ac:dyDescent="0.25">
      <c r="A559" t="str">
        <f>COUNTIF($D$2:D719,D719)&amp;D719</f>
        <v>0</v>
      </c>
      <c r="B559" t="str">
        <f>COUNTIF($E$2:E719,E719)&amp;E719</f>
        <v>0</v>
      </c>
    </row>
    <row r="560" spans="1:2" x14ac:dyDescent="0.25">
      <c r="A560" t="str">
        <f>COUNTIF($D$2:D720,D720)&amp;D720</f>
        <v>0</v>
      </c>
      <c r="B560" t="str">
        <f>COUNTIF($E$2:E720,E720)&amp;E720</f>
        <v>0</v>
      </c>
    </row>
    <row r="561" spans="1:2" x14ac:dyDescent="0.25">
      <c r="A561" t="str">
        <f>COUNTIF($D$2:D721,D721)&amp;D721</f>
        <v>0</v>
      </c>
      <c r="B561" t="str">
        <f>COUNTIF($E$2:E721,E721)&amp;E721</f>
        <v>0</v>
      </c>
    </row>
    <row r="562" spans="1:2" x14ac:dyDescent="0.25">
      <c r="A562" t="str">
        <f>COUNTIF($D$2:D722,D722)&amp;D722</f>
        <v>0</v>
      </c>
      <c r="B562" t="str">
        <f>COUNTIF($E$2:E722,E722)&amp;E722</f>
        <v>0</v>
      </c>
    </row>
    <row r="563" spans="1:2" x14ac:dyDescent="0.25">
      <c r="A563" t="str">
        <f>COUNTIF($D$2:D723,D723)&amp;D723</f>
        <v>0</v>
      </c>
      <c r="B563" t="str">
        <f>COUNTIF($E$2:E723,E723)&amp;E723</f>
        <v>0</v>
      </c>
    </row>
    <row r="564" spans="1:2" x14ac:dyDescent="0.25">
      <c r="A564" t="str">
        <f>COUNTIF($D$2:D724,D724)&amp;D724</f>
        <v>0</v>
      </c>
      <c r="B564" t="str">
        <f>COUNTIF($E$2:E724,E724)&amp;E724</f>
        <v>0</v>
      </c>
    </row>
    <row r="565" spans="1:2" x14ac:dyDescent="0.25">
      <c r="A565" t="str">
        <f>COUNTIF($D$2:D725,D725)&amp;D725</f>
        <v>0</v>
      </c>
      <c r="B565" t="str">
        <f>COUNTIF($E$2:E725,E725)&amp;E725</f>
        <v>0</v>
      </c>
    </row>
    <row r="566" spans="1:2" x14ac:dyDescent="0.25">
      <c r="A566" t="str">
        <f>COUNTIF($D$2:D726,D726)&amp;D726</f>
        <v>0</v>
      </c>
      <c r="B566" t="str">
        <f>COUNTIF($E$2:E726,E726)&amp;E726</f>
        <v>0</v>
      </c>
    </row>
    <row r="567" spans="1:2" x14ac:dyDescent="0.25">
      <c r="A567" t="str">
        <f>COUNTIF($D$2:D727,D727)&amp;D727</f>
        <v>0</v>
      </c>
      <c r="B567" t="str">
        <f>COUNTIF($E$2:E727,E727)&amp;E727</f>
        <v>0</v>
      </c>
    </row>
    <row r="568" spans="1:2" x14ac:dyDescent="0.25">
      <c r="A568" t="str">
        <f>COUNTIF($D$2:D728,D728)&amp;D728</f>
        <v>0</v>
      </c>
      <c r="B568" t="str">
        <f>COUNTIF($E$2:E728,E728)&amp;E728</f>
        <v>0</v>
      </c>
    </row>
    <row r="569" spans="1:2" x14ac:dyDescent="0.25">
      <c r="A569" t="str">
        <f>COUNTIF($D$2:D729,D729)&amp;D729</f>
        <v>0</v>
      </c>
      <c r="B569" t="str">
        <f>COUNTIF($E$2:E729,E729)&amp;E729</f>
        <v>0</v>
      </c>
    </row>
    <row r="570" spans="1:2" x14ac:dyDescent="0.25">
      <c r="A570" t="str">
        <f>COUNTIF($D$2:D730,D730)&amp;D730</f>
        <v>0</v>
      </c>
      <c r="B570" t="str">
        <f>COUNTIF($E$2:E730,E730)&amp;E730</f>
        <v>0</v>
      </c>
    </row>
    <row r="571" spans="1:2" x14ac:dyDescent="0.25">
      <c r="A571" t="str">
        <f>COUNTIF($D$2:D731,D731)&amp;D731</f>
        <v>0</v>
      </c>
      <c r="B571" t="str">
        <f>COUNTIF($E$2:E731,E731)&amp;E731</f>
        <v>0</v>
      </c>
    </row>
    <row r="572" spans="1:2" x14ac:dyDescent="0.25">
      <c r="A572" t="str">
        <f>COUNTIF($D$2:D732,D732)&amp;D732</f>
        <v>0</v>
      </c>
      <c r="B572" t="str">
        <f>COUNTIF($E$2:E732,E732)&amp;E732</f>
        <v>0</v>
      </c>
    </row>
    <row r="573" spans="1:2" x14ac:dyDescent="0.25">
      <c r="A573" t="str">
        <f>COUNTIF($D$2:D733,D733)&amp;D733</f>
        <v>0</v>
      </c>
      <c r="B573" t="str">
        <f>COUNTIF($E$2:E733,E733)&amp;E733</f>
        <v>0</v>
      </c>
    </row>
    <row r="574" spans="1:2" x14ac:dyDescent="0.25">
      <c r="A574" t="str">
        <f>COUNTIF($D$2:D734,D734)&amp;D734</f>
        <v>0</v>
      </c>
      <c r="B574" t="str">
        <f>COUNTIF($E$2:E734,E734)&amp;E734</f>
        <v>0</v>
      </c>
    </row>
    <row r="575" spans="1:2" x14ac:dyDescent="0.25">
      <c r="A575" t="str">
        <f>COUNTIF($D$2:D735,D735)&amp;D735</f>
        <v>0</v>
      </c>
      <c r="B575" t="str">
        <f>COUNTIF($E$2:E735,E735)&amp;E735</f>
        <v>0</v>
      </c>
    </row>
    <row r="576" spans="1:2" x14ac:dyDescent="0.25">
      <c r="A576" t="str">
        <f>COUNTIF($D$2:D736,D736)&amp;D736</f>
        <v>0</v>
      </c>
      <c r="B576" t="str">
        <f>COUNTIF($E$2:E736,E736)&amp;E736</f>
        <v>0</v>
      </c>
    </row>
    <row r="577" spans="1:2" x14ac:dyDescent="0.25">
      <c r="A577" t="str">
        <f>COUNTIF($D$2:D737,D737)&amp;D737</f>
        <v>0</v>
      </c>
      <c r="B577" t="str">
        <f>COUNTIF($E$2:E737,E737)&amp;E737</f>
        <v>0</v>
      </c>
    </row>
    <row r="578" spans="1:2" x14ac:dyDescent="0.25">
      <c r="A578" t="str">
        <f>COUNTIF($D$2:D738,D738)&amp;D738</f>
        <v>0</v>
      </c>
      <c r="B578" t="str">
        <f>COUNTIF($E$2:E738,E738)&amp;E738</f>
        <v>0</v>
      </c>
    </row>
    <row r="579" spans="1:2" x14ac:dyDescent="0.25">
      <c r="A579" t="str">
        <f>COUNTIF($D$2:D739,D739)&amp;D739</f>
        <v>0</v>
      </c>
      <c r="B579" t="str">
        <f>COUNTIF($E$2:E739,E739)&amp;E739</f>
        <v>0</v>
      </c>
    </row>
    <row r="580" spans="1:2" x14ac:dyDescent="0.25">
      <c r="A580" t="str">
        <f>COUNTIF($D$2:D740,D740)&amp;D740</f>
        <v>0</v>
      </c>
      <c r="B580" t="str">
        <f>COUNTIF($E$2:E740,E740)&amp;E740</f>
        <v>0</v>
      </c>
    </row>
    <row r="581" spans="1:2" x14ac:dyDescent="0.25">
      <c r="A581" t="str">
        <f>COUNTIF($D$2:D741,D741)&amp;D741</f>
        <v>0</v>
      </c>
      <c r="B581" t="str">
        <f>COUNTIF($E$2:E741,E741)&amp;E741</f>
        <v>0</v>
      </c>
    </row>
    <row r="582" spans="1:2" x14ac:dyDescent="0.25">
      <c r="A582" t="str">
        <f>COUNTIF($D$2:D742,D742)&amp;D742</f>
        <v>0</v>
      </c>
      <c r="B582" t="str">
        <f>COUNTIF($E$2:E742,E742)&amp;E742</f>
        <v>0</v>
      </c>
    </row>
    <row r="583" spans="1:2" x14ac:dyDescent="0.25">
      <c r="A583" t="str">
        <f>COUNTIF($D$2:D743,D743)&amp;D743</f>
        <v>0</v>
      </c>
      <c r="B583" t="str">
        <f>COUNTIF($E$2:E743,E743)&amp;E743</f>
        <v>0</v>
      </c>
    </row>
    <row r="584" spans="1:2" x14ac:dyDescent="0.25">
      <c r="A584" t="str">
        <f>COUNTIF($D$2:D744,D744)&amp;D744</f>
        <v>0</v>
      </c>
      <c r="B584" t="str">
        <f>COUNTIF($E$2:E744,E744)&amp;E744</f>
        <v>0</v>
      </c>
    </row>
    <row r="585" spans="1:2" x14ac:dyDescent="0.25">
      <c r="A585" t="str">
        <f>COUNTIF($D$2:D745,D745)&amp;D745</f>
        <v>0</v>
      </c>
      <c r="B585" t="str">
        <f>COUNTIF($E$2:E745,E745)&amp;E745</f>
        <v>0</v>
      </c>
    </row>
    <row r="586" spans="1:2" x14ac:dyDescent="0.25">
      <c r="A586" t="str">
        <f>COUNTIF($D$2:D746,D746)&amp;D746</f>
        <v>0</v>
      </c>
      <c r="B586" t="str">
        <f>COUNTIF($E$2:E746,E746)&amp;E746</f>
        <v>0</v>
      </c>
    </row>
    <row r="587" spans="1:2" x14ac:dyDescent="0.25">
      <c r="A587" t="str">
        <f>COUNTIF($D$2:D747,D747)&amp;D747</f>
        <v>0</v>
      </c>
      <c r="B587" t="str">
        <f>COUNTIF($E$2:E747,E747)&amp;E747</f>
        <v>0</v>
      </c>
    </row>
    <row r="588" spans="1:2" x14ac:dyDescent="0.25">
      <c r="A588" t="str">
        <f>COUNTIF($D$2:D748,D748)&amp;D748</f>
        <v>0</v>
      </c>
      <c r="B588" t="str">
        <f>COUNTIF($E$2:E748,E748)&amp;E748</f>
        <v>0</v>
      </c>
    </row>
    <row r="589" spans="1:2" x14ac:dyDescent="0.25">
      <c r="A589" t="str">
        <f>COUNTIF($D$2:D749,D749)&amp;D749</f>
        <v>0</v>
      </c>
      <c r="B589" t="str">
        <f>COUNTIF($E$2:E749,E749)&amp;E749</f>
        <v>0</v>
      </c>
    </row>
    <row r="590" spans="1:2" x14ac:dyDescent="0.25">
      <c r="A590" t="str">
        <f>COUNTIF($D$2:D750,D750)&amp;D750</f>
        <v>0</v>
      </c>
      <c r="B590" t="str">
        <f>COUNTIF($E$2:E750,E750)&amp;E750</f>
        <v>0</v>
      </c>
    </row>
    <row r="591" spans="1:2" x14ac:dyDescent="0.25">
      <c r="A591" t="str">
        <f>COUNTIF($D$2:D751,D751)&amp;D751</f>
        <v>0</v>
      </c>
      <c r="B591" t="str">
        <f>COUNTIF($E$2:E751,E751)&amp;E751</f>
        <v>0</v>
      </c>
    </row>
    <row r="592" spans="1:2" x14ac:dyDescent="0.25">
      <c r="A592" t="str">
        <f>COUNTIF($D$2:D752,D752)&amp;D752</f>
        <v>0</v>
      </c>
      <c r="B592" t="str">
        <f>COUNTIF($E$2:E752,E752)&amp;E752</f>
        <v>0</v>
      </c>
    </row>
    <row r="593" spans="1:2" x14ac:dyDescent="0.25">
      <c r="A593" t="str">
        <f>COUNTIF($D$2:D753,D753)&amp;D753</f>
        <v>0</v>
      </c>
      <c r="B593" t="str">
        <f>COUNTIF($E$2:E753,E753)&amp;E753</f>
        <v>0</v>
      </c>
    </row>
    <row r="594" spans="1:2" x14ac:dyDescent="0.25">
      <c r="A594" t="str">
        <f>COUNTIF($D$2:D754,D754)&amp;D754</f>
        <v>0</v>
      </c>
      <c r="B594" t="str">
        <f>COUNTIF($E$2:E754,E754)&amp;E754</f>
        <v>0</v>
      </c>
    </row>
    <row r="595" spans="1:2" x14ac:dyDescent="0.25">
      <c r="A595" t="str">
        <f>COUNTIF($D$2:D755,D755)&amp;D755</f>
        <v>0</v>
      </c>
      <c r="B595" t="str">
        <f>COUNTIF($E$2:E755,E755)&amp;E755</f>
        <v>0</v>
      </c>
    </row>
    <row r="596" spans="1:2" x14ac:dyDescent="0.25">
      <c r="A596" t="str">
        <f>COUNTIF($D$2:D756,D756)&amp;D756</f>
        <v>0</v>
      </c>
      <c r="B596" t="str">
        <f>COUNTIF($E$2:E756,E756)&amp;E756</f>
        <v>0</v>
      </c>
    </row>
    <row r="597" spans="1:2" x14ac:dyDescent="0.25">
      <c r="A597" t="str">
        <f>COUNTIF($D$2:D757,D757)&amp;D757</f>
        <v>0</v>
      </c>
      <c r="B597" t="str">
        <f>COUNTIF($E$2:E757,E757)&amp;E757</f>
        <v>0</v>
      </c>
    </row>
    <row r="598" spans="1:2" x14ac:dyDescent="0.25">
      <c r="A598" t="str">
        <f>COUNTIF($D$2:D758,D758)&amp;D758</f>
        <v>0</v>
      </c>
      <c r="B598" t="str">
        <f>COUNTIF($E$2:E758,E758)&amp;E758</f>
        <v>0</v>
      </c>
    </row>
    <row r="599" spans="1:2" x14ac:dyDescent="0.25">
      <c r="A599" t="str">
        <f>COUNTIF($D$2:D759,D759)&amp;D759</f>
        <v>0</v>
      </c>
      <c r="B599" t="str">
        <f>COUNTIF($E$2:E759,E759)&amp;E759</f>
        <v>0</v>
      </c>
    </row>
    <row r="600" spans="1:2" x14ac:dyDescent="0.25">
      <c r="A600" t="str">
        <f>COUNTIF($D$2:D760,D760)&amp;D760</f>
        <v>0</v>
      </c>
      <c r="B600" t="str">
        <f>COUNTIF($E$2:E760,E760)&amp;E760</f>
        <v>0</v>
      </c>
    </row>
    <row r="601" spans="1:2" x14ac:dyDescent="0.25">
      <c r="A601" t="str">
        <f>COUNTIF($D$2:D761,D761)&amp;D761</f>
        <v>0</v>
      </c>
      <c r="B601" t="str">
        <f>COUNTIF($E$2:E761,E761)&amp;E761</f>
        <v>0</v>
      </c>
    </row>
    <row r="602" spans="1:2" x14ac:dyDescent="0.25">
      <c r="A602" t="str">
        <f>COUNTIF($D$2:D762,D762)&amp;D762</f>
        <v>0</v>
      </c>
      <c r="B602" t="str">
        <f>COUNTIF($E$2:E762,E762)&amp;E762</f>
        <v>0</v>
      </c>
    </row>
    <row r="603" spans="1:2" x14ac:dyDescent="0.25">
      <c r="A603" t="str">
        <f>COUNTIF($D$2:D763,D763)&amp;D763</f>
        <v>0</v>
      </c>
      <c r="B603" t="str">
        <f>COUNTIF($E$2:E763,E763)&amp;E763</f>
        <v>0</v>
      </c>
    </row>
    <row r="604" spans="1:2" x14ac:dyDescent="0.25">
      <c r="A604" t="str">
        <f>COUNTIF($D$2:D764,D764)&amp;D764</f>
        <v>0</v>
      </c>
      <c r="B604" t="str">
        <f>COUNTIF($E$2:E764,E764)&amp;E764</f>
        <v>0</v>
      </c>
    </row>
    <row r="605" spans="1:2" x14ac:dyDescent="0.25">
      <c r="A605" t="str">
        <f>COUNTIF($D$2:D765,D765)&amp;D765</f>
        <v>0</v>
      </c>
      <c r="B605" t="str">
        <f>COUNTIF($E$2:E765,E765)&amp;E765</f>
        <v>0</v>
      </c>
    </row>
    <row r="606" spans="1:2" x14ac:dyDescent="0.25">
      <c r="A606" t="str">
        <f>COUNTIF($D$2:D766,D766)&amp;D766</f>
        <v>0</v>
      </c>
      <c r="B606" t="str">
        <f>COUNTIF($E$2:E766,E766)&amp;E766</f>
        <v>0</v>
      </c>
    </row>
    <row r="607" spans="1:2" x14ac:dyDescent="0.25">
      <c r="A607" t="str">
        <f>COUNTIF($D$2:D767,D767)&amp;D767</f>
        <v>0</v>
      </c>
      <c r="B607" t="str">
        <f>COUNTIF($E$2:E767,E767)&amp;E767</f>
        <v>0</v>
      </c>
    </row>
    <row r="608" spans="1:2" x14ac:dyDescent="0.25">
      <c r="A608" t="str">
        <f>COUNTIF($D$2:D768,D768)&amp;D768</f>
        <v>0</v>
      </c>
      <c r="B608" t="str">
        <f>COUNTIF($E$2:E768,E768)&amp;E768</f>
        <v>0</v>
      </c>
    </row>
    <row r="609" spans="1:2" x14ac:dyDescent="0.25">
      <c r="A609" t="str">
        <f>COUNTIF($D$2:D769,D769)&amp;D769</f>
        <v>0</v>
      </c>
      <c r="B609" t="str">
        <f>COUNTIF($E$2:E769,E769)&amp;E769</f>
        <v>0</v>
      </c>
    </row>
    <row r="610" spans="1:2" x14ac:dyDescent="0.25">
      <c r="A610" t="str">
        <f>COUNTIF($D$2:D770,D770)&amp;D770</f>
        <v>0</v>
      </c>
      <c r="B610" t="str">
        <f>COUNTIF($E$2:E770,E770)&amp;E770</f>
        <v>0</v>
      </c>
    </row>
    <row r="611" spans="1:2" x14ac:dyDescent="0.25">
      <c r="A611" t="str">
        <f>COUNTIF($D$2:D771,D771)&amp;D771</f>
        <v>0</v>
      </c>
      <c r="B611" t="str">
        <f>COUNTIF($E$2:E771,E771)&amp;E771</f>
        <v>0</v>
      </c>
    </row>
    <row r="612" spans="1:2" x14ac:dyDescent="0.25">
      <c r="A612" t="str">
        <f>COUNTIF($D$2:D772,D772)&amp;D772</f>
        <v>0</v>
      </c>
      <c r="B612" t="str">
        <f>COUNTIF($E$2:E772,E772)&amp;E772</f>
        <v>0</v>
      </c>
    </row>
    <row r="613" spans="1:2" x14ac:dyDescent="0.25">
      <c r="A613" t="str">
        <f>COUNTIF($D$2:D773,D773)&amp;D773</f>
        <v>0</v>
      </c>
      <c r="B613" t="str">
        <f>COUNTIF($E$2:E773,E773)&amp;E773</f>
        <v>0</v>
      </c>
    </row>
    <row r="614" spans="1:2" x14ac:dyDescent="0.25">
      <c r="A614" t="str">
        <f>COUNTIF($D$2:D774,D774)&amp;D774</f>
        <v>0</v>
      </c>
      <c r="B614" t="str">
        <f>COUNTIF($E$2:E774,E774)&amp;E774</f>
        <v>0</v>
      </c>
    </row>
    <row r="615" spans="1:2" x14ac:dyDescent="0.25">
      <c r="A615" t="str">
        <f>COUNTIF($D$2:D775,D775)&amp;D775</f>
        <v>0</v>
      </c>
      <c r="B615" t="str">
        <f>COUNTIF($E$2:E775,E775)&amp;E775</f>
        <v>0</v>
      </c>
    </row>
    <row r="616" spans="1:2" x14ac:dyDescent="0.25">
      <c r="A616" t="str">
        <f>COUNTIF($D$2:D776,D776)&amp;D776</f>
        <v>0</v>
      </c>
      <c r="B616" t="str">
        <f>COUNTIF($E$2:E776,E776)&amp;E776</f>
        <v>0</v>
      </c>
    </row>
    <row r="617" spans="1:2" x14ac:dyDescent="0.25">
      <c r="A617" t="str">
        <f>COUNTIF($D$2:D777,D777)&amp;D777</f>
        <v>0</v>
      </c>
      <c r="B617" t="str">
        <f>COUNTIF($E$2:E777,E777)&amp;E777</f>
        <v>0</v>
      </c>
    </row>
    <row r="618" spans="1:2" x14ac:dyDescent="0.25">
      <c r="A618" t="str">
        <f>COUNTIF($D$2:D778,D778)&amp;D778</f>
        <v>0</v>
      </c>
      <c r="B618" t="str">
        <f>COUNTIF($E$2:E778,E778)&amp;E778</f>
        <v>0</v>
      </c>
    </row>
    <row r="619" spans="1:2" x14ac:dyDescent="0.25">
      <c r="A619" t="str">
        <f>COUNTIF($D$2:D779,D779)&amp;D779</f>
        <v>0</v>
      </c>
      <c r="B619" t="str">
        <f>COUNTIF($E$2:E779,E779)&amp;E779</f>
        <v>0</v>
      </c>
    </row>
    <row r="620" spans="1:2" x14ac:dyDescent="0.25">
      <c r="A620" t="str">
        <f>COUNTIF($D$2:D780,D780)&amp;D780</f>
        <v>0</v>
      </c>
      <c r="B620" t="str">
        <f>COUNTIF($E$2:E780,E780)&amp;E780</f>
        <v>0</v>
      </c>
    </row>
    <row r="621" spans="1:2" x14ac:dyDescent="0.25">
      <c r="A621" t="str">
        <f>COUNTIF($D$2:D781,D781)&amp;D781</f>
        <v>0</v>
      </c>
      <c r="B621" t="str">
        <f>COUNTIF($E$2:E781,E781)&amp;E781</f>
        <v>0</v>
      </c>
    </row>
    <row r="622" spans="1:2" x14ac:dyDescent="0.25">
      <c r="A622" t="str">
        <f>COUNTIF($D$2:D782,D782)&amp;D782</f>
        <v>0</v>
      </c>
      <c r="B622" t="str">
        <f>COUNTIF($E$2:E782,E782)&amp;E782</f>
        <v>0</v>
      </c>
    </row>
    <row r="623" spans="1:2" x14ac:dyDescent="0.25">
      <c r="A623" t="str">
        <f>COUNTIF($D$2:D783,D783)&amp;D783</f>
        <v>0</v>
      </c>
      <c r="B623" t="str">
        <f>COUNTIF($E$2:E783,E783)&amp;E783</f>
        <v>0</v>
      </c>
    </row>
    <row r="624" spans="1:2" x14ac:dyDescent="0.25">
      <c r="A624" t="str">
        <f>COUNTIF($D$2:D784,D784)&amp;D784</f>
        <v>0</v>
      </c>
      <c r="B624" t="str">
        <f>COUNTIF($E$2:E784,E784)&amp;E784</f>
        <v>0</v>
      </c>
    </row>
    <row r="625" spans="1:2" x14ac:dyDescent="0.25">
      <c r="A625" t="str">
        <f>COUNTIF($D$2:D785,D785)&amp;D785</f>
        <v>0</v>
      </c>
      <c r="B625" t="str">
        <f>COUNTIF($E$2:E785,E785)&amp;E785</f>
        <v>0</v>
      </c>
    </row>
    <row r="626" spans="1:2" x14ac:dyDescent="0.25">
      <c r="A626" t="str">
        <f>COUNTIF($D$2:D786,D786)&amp;D786</f>
        <v>0</v>
      </c>
      <c r="B626" t="str">
        <f>COUNTIF($E$2:E786,E786)&amp;E786</f>
        <v>0</v>
      </c>
    </row>
    <row r="627" spans="1:2" x14ac:dyDescent="0.25">
      <c r="A627" t="str">
        <f>COUNTIF($D$2:D787,D787)&amp;D787</f>
        <v>0</v>
      </c>
      <c r="B627" t="str">
        <f>COUNTIF($E$2:E787,E787)&amp;E787</f>
        <v>0</v>
      </c>
    </row>
    <row r="628" spans="1:2" x14ac:dyDescent="0.25">
      <c r="A628" t="str">
        <f>COUNTIF($D$2:D788,D788)&amp;D788</f>
        <v>0</v>
      </c>
      <c r="B628" t="str">
        <f>COUNTIF($E$2:E788,E788)&amp;E788</f>
        <v>0</v>
      </c>
    </row>
    <row r="629" spans="1:2" x14ac:dyDescent="0.25">
      <c r="A629" t="str">
        <f>COUNTIF($D$2:D789,D789)&amp;D789</f>
        <v>0</v>
      </c>
      <c r="B629" t="str">
        <f>COUNTIF($E$2:E789,E789)&amp;E789</f>
        <v>0</v>
      </c>
    </row>
    <row r="630" spans="1:2" x14ac:dyDescent="0.25">
      <c r="A630" t="str">
        <f>COUNTIF($D$2:D790,D790)&amp;D790</f>
        <v>0</v>
      </c>
      <c r="B630" t="str">
        <f>COUNTIF($E$2:E790,E790)&amp;E790</f>
        <v>0</v>
      </c>
    </row>
    <row r="631" spans="1:2" x14ac:dyDescent="0.25">
      <c r="A631" t="str">
        <f>COUNTIF($D$2:D791,D791)&amp;D791</f>
        <v>0</v>
      </c>
      <c r="B631" t="str">
        <f>COUNTIF($E$2:E791,E791)&amp;E791</f>
        <v>0</v>
      </c>
    </row>
    <row r="632" spans="1:2" x14ac:dyDescent="0.25">
      <c r="A632" t="str">
        <f>COUNTIF($D$2:D792,D792)&amp;D792</f>
        <v>0</v>
      </c>
      <c r="B632" t="str">
        <f>COUNTIF($E$2:E792,E792)&amp;E792</f>
        <v>0</v>
      </c>
    </row>
    <row r="633" spans="1:2" x14ac:dyDescent="0.25">
      <c r="A633" t="str">
        <f>COUNTIF($D$2:D793,D793)&amp;D793</f>
        <v>0</v>
      </c>
      <c r="B633" t="str">
        <f>COUNTIF($E$2:E793,E793)&amp;E793</f>
        <v>0</v>
      </c>
    </row>
    <row r="634" spans="1:2" x14ac:dyDescent="0.25">
      <c r="A634" t="str">
        <f>COUNTIF($D$2:D794,D794)&amp;D794</f>
        <v>0</v>
      </c>
      <c r="B634" t="str">
        <f>COUNTIF($E$2:E794,E794)&amp;E794</f>
        <v>0</v>
      </c>
    </row>
    <row r="635" spans="1:2" x14ac:dyDescent="0.25">
      <c r="A635" t="str">
        <f>COUNTIF($D$2:D795,D795)&amp;D795</f>
        <v>0</v>
      </c>
      <c r="B635" t="str">
        <f>COUNTIF($E$2:E795,E795)&amp;E795</f>
        <v>0</v>
      </c>
    </row>
    <row r="636" spans="1:2" x14ac:dyDescent="0.25">
      <c r="A636" t="str">
        <f>COUNTIF($D$2:D796,D796)&amp;D796</f>
        <v>0</v>
      </c>
      <c r="B636" t="str">
        <f>COUNTIF($E$2:E796,E796)&amp;E796</f>
        <v>0</v>
      </c>
    </row>
    <row r="637" spans="1:2" x14ac:dyDescent="0.25">
      <c r="A637" t="str">
        <f>COUNTIF($D$2:D797,D797)&amp;D797</f>
        <v>0</v>
      </c>
      <c r="B637" t="str">
        <f>COUNTIF($E$2:E797,E797)&amp;E797</f>
        <v>0</v>
      </c>
    </row>
    <row r="638" spans="1:2" x14ac:dyDescent="0.25">
      <c r="A638" t="str">
        <f>COUNTIF($D$2:D798,D798)&amp;D798</f>
        <v>0</v>
      </c>
      <c r="B638" t="str">
        <f>COUNTIF($E$2:E798,E798)&amp;E798</f>
        <v>0</v>
      </c>
    </row>
    <row r="639" spans="1:2" x14ac:dyDescent="0.25">
      <c r="A639" t="str">
        <f>COUNTIF($D$2:D799,D799)&amp;D799</f>
        <v>0</v>
      </c>
      <c r="B639" t="str">
        <f>COUNTIF($E$2:E799,E799)&amp;E799</f>
        <v>0</v>
      </c>
    </row>
    <row r="640" spans="1:2" x14ac:dyDescent="0.25">
      <c r="A640" t="str">
        <f>COUNTIF($D$2:D800,D800)&amp;D800</f>
        <v>0</v>
      </c>
      <c r="B640" t="str">
        <f>COUNTIF($E$2:E800,E800)&amp;E800</f>
        <v>0</v>
      </c>
    </row>
    <row r="641" spans="1:2" x14ac:dyDescent="0.25">
      <c r="A641" t="str">
        <f>COUNTIF($D$2:D801,D801)&amp;D801</f>
        <v>0</v>
      </c>
      <c r="B641" t="str">
        <f>COUNTIF($E$2:E801,E801)&amp;E801</f>
        <v>0</v>
      </c>
    </row>
    <row r="642" spans="1:2" x14ac:dyDescent="0.25">
      <c r="A642" t="str">
        <f>COUNTIF($D$2:D802,D802)&amp;D802</f>
        <v>0</v>
      </c>
      <c r="B642" t="str">
        <f>COUNTIF($E$2:E802,E802)&amp;E802</f>
        <v>0</v>
      </c>
    </row>
    <row r="643" spans="1:2" x14ac:dyDescent="0.25">
      <c r="A643" t="str">
        <f>COUNTIF($D$2:D803,D803)&amp;D803</f>
        <v>0</v>
      </c>
      <c r="B643" t="str">
        <f>COUNTIF($E$2:E803,E803)&amp;E803</f>
        <v>0</v>
      </c>
    </row>
    <row r="644" spans="1:2" x14ac:dyDescent="0.25">
      <c r="A644" t="str">
        <f>COUNTIF($D$2:D804,D804)&amp;D804</f>
        <v>0</v>
      </c>
      <c r="B644" t="str">
        <f>COUNTIF($E$2:E804,E804)&amp;E804</f>
        <v>0</v>
      </c>
    </row>
    <row r="645" spans="1:2" x14ac:dyDescent="0.25">
      <c r="A645" t="str">
        <f>COUNTIF($D$2:D805,D805)&amp;D805</f>
        <v>0</v>
      </c>
      <c r="B645" t="str">
        <f>COUNTIF($E$2:E805,E805)&amp;E805</f>
        <v>0</v>
      </c>
    </row>
    <row r="646" spans="1:2" x14ac:dyDescent="0.25">
      <c r="A646" t="str">
        <f>COUNTIF($D$2:D806,D806)&amp;D806</f>
        <v>0</v>
      </c>
      <c r="B646" t="str">
        <f>COUNTIF($E$2:E806,E806)&amp;E806</f>
        <v>0</v>
      </c>
    </row>
    <row r="647" spans="1:2" x14ac:dyDescent="0.25">
      <c r="A647" t="str">
        <f>COUNTIF($D$2:D807,D807)&amp;D807</f>
        <v>0</v>
      </c>
      <c r="B647" t="str">
        <f>COUNTIF($E$2:E807,E807)&amp;E807</f>
        <v>0</v>
      </c>
    </row>
    <row r="648" spans="1:2" x14ac:dyDescent="0.25">
      <c r="A648" t="str">
        <f>COUNTIF($D$2:D808,D808)&amp;D808</f>
        <v>0</v>
      </c>
      <c r="B648" t="str">
        <f>COUNTIF($E$2:E808,E808)&amp;E808</f>
        <v>0</v>
      </c>
    </row>
    <row r="649" spans="1:2" x14ac:dyDescent="0.25">
      <c r="A649" t="str">
        <f>COUNTIF($D$2:D809,D809)&amp;D809</f>
        <v>0</v>
      </c>
      <c r="B649" t="str">
        <f>COUNTIF($E$2:E809,E809)&amp;E809</f>
        <v>0</v>
      </c>
    </row>
    <row r="650" spans="1:2" x14ac:dyDescent="0.25">
      <c r="A650" t="str">
        <f>COUNTIF($D$2:D810,D810)&amp;D810</f>
        <v>0</v>
      </c>
      <c r="B650" t="str">
        <f>COUNTIF($E$2:E810,E810)&amp;E810</f>
        <v>0</v>
      </c>
    </row>
    <row r="651" spans="1:2" x14ac:dyDescent="0.25">
      <c r="A651" t="str">
        <f>COUNTIF($D$2:D811,D811)&amp;D811</f>
        <v>0</v>
      </c>
      <c r="B651" t="str">
        <f>COUNTIF($E$2:E811,E811)&amp;E811</f>
        <v>0</v>
      </c>
    </row>
    <row r="652" spans="1:2" x14ac:dyDescent="0.25">
      <c r="A652" t="str">
        <f>COUNTIF($D$2:D812,D812)&amp;D812</f>
        <v>0</v>
      </c>
      <c r="B652" t="str">
        <f>COUNTIF($E$2:E812,E812)&amp;E812</f>
        <v>0</v>
      </c>
    </row>
    <row r="653" spans="1:2" x14ac:dyDescent="0.25">
      <c r="A653" t="str">
        <f>COUNTIF($D$2:D813,D813)&amp;D813</f>
        <v>0</v>
      </c>
      <c r="B653" t="str">
        <f>COUNTIF($E$2:E813,E813)&amp;E813</f>
        <v>0</v>
      </c>
    </row>
    <row r="654" spans="1:2" x14ac:dyDescent="0.25">
      <c r="A654" t="str">
        <f>COUNTIF($D$2:D814,D814)&amp;D814</f>
        <v>0</v>
      </c>
      <c r="B654" t="str">
        <f>COUNTIF($E$2:E814,E814)&amp;E814</f>
        <v>0</v>
      </c>
    </row>
    <row r="655" spans="1:2" x14ac:dyDescent="0.25">
      <c r="A655" t="str">
        <f>COUNTIF($D$2:D815,D815)&amp;D815</f>
        <v>0</v>
      </c>
      <c r="B655" t="str">
        <f>COUNTIF($E$2:E815,E815)&amp;E815</f>
        <v>0</v>
      </c>
    </row>
    <row r="656" spans="1:2" x14ac:dyDescent="0.25">
      <c r="A656" t="str">
        <f>COUNTIF($D$2:D816,D816)&amp;D816</f>
        <v>0</v>
      </c>
      <c r="B656" t="str">
        <f>COUNTIF($E$2:E816,E816)&amp;E816</f>
        <v>0</v>
      </c>
    </row>
    <row r="657" spans="1:2" x14ac:dyDescent="0.25">
      <c r="A657" t="str">
        <f>COUNTIF($D$2:D817,D817)&amp;D817</f>
        <v>0</v>
      </c>
      <c r="B657" t="str">
        <f>COUNTIF($E$2:E817,E817)&amp;E817</f>
        <v>0</v>
      </c>
    </row>
    <row r="658" spans="1:2" x14ac:dyDescent="0.25">
      <c r="A658" t="str">
        <f>COUNTIF($D$2:D818,D818)&amp;D818</f>
        <v>0</v>
      </c>
      <c r="B658" t="str">
        <f>COUNTIF($E$2:E818,E818)&amp;E818</f>
        <v>0</v>
      </c>
    </row>
    <row r="659" spans="1:2" x14ac:dyDescent="0.25">
      <c r="A659" t="str">
        <f>COUNTIF($D$2:D819,D819)&amp;D819</f>
        <v>0</v>
      </c>
      <c r="B659" t="str">
        <f>COUNTIF($E$2:E819,E819)&amp;E819</f>
        <v>0</v>
      </c>
    </row>
    <row r="660" spans="1:2" x14ac:dyDescent="0.25">
      <c r="A660" t="str">
        <f>COUNTIF($D$2:D820,D820)&amp;D820</f>
        <v>0</v>
      </c>
      <c r="B660" t="str">
        <f>COUNTIF($E$2:E820,E820)&amp;E820</f>
        <v>0</v>
      </c>
    </row>
    <row r="661" spans="1:2" x14ac:dyDescent="0.25">
      <c r="A661" t="str">
        <f>COUNTIF($D$2:D821,D821)&amp;D821</f>
        <v>0</v>
      </c>
      <c r="B661" t="str">
        <f>COUNTIF($E$2:E821,E821)&amp;E821</f>
        <v>0</v>
      </c>
    </row>
    <row r="662" spans="1:2" x14ac:dyDescent="0.25">
      <c r="A662" t="str">
        <f>COUNTIF($D$2:D822,D822)&amp;D822</f>
        <v>0</v>
      </c>
      <c r="B662" t="str">
        <f>COUNTIF($E$2:E822,E822)&amp;E822</f>
        <v>0</v>
      </c>
    </row>
    <row r="663" spans="1:2" x14ac:dyDescent="0.25">
      <c r="A663" t="str">
        <f>COUNTIF($D$2:D823,D823)&amp;D823</f>
        <v>0</v>
      </c>
      <c r="B663" t="str">
        <f>COUNTIF($E$2:E823,E823)&amp;E823</f>
        <v>0</v>
      </c>
    </row>
    <row r="664" spans="1:2" x14ac:dyDescent="0.25">
      <c r="A664" t="str">
        <f>COUNTIF($D$2:D824,D824)&amp;D824</f>
        <v>0</v>
      </c>
      <c r="B664" t="str">
        <f>COUNTIF($E$2:E824,E824)&amp;E824</f>
        <v>0</v>
      </c>
    </row>
    <row r="665" spans="1:2" x14ac:dyDescent="0.25">
      <c r="A665" t="str">
        <f>COUNTIF($D$2:D825,D825)&amp;D825</f>
        <v>0</v>
      </c>
      <c r="B665" t="str">
        <f>COUNTIF($E$2:E825,E825)&amp;E825</f>
        <v>0</v>
      </c>
    </row>
    <row r="666" spans="1:2" x14ac:dyDescent="0.25">
      <c r="A666" t="str">
        <f>COUNTIF($D$2:D826,D826)&amp;D826</f>
        <v>0</v>
      </c>
      <c r="B666" t="str">
        <f>COUNTIF($E$2:E826,E826)&amp;E826</f>
        <v>0</v>
      </c>
    </row>
    <row r="667" spans="1:2" x14ac:dyDescent="0.25">
      <c r="A667" t="str">
        <f>COUNTIF($D$2:D827,D827)&amp;D827</f>
        <v>0</v>
      </c>
      <c r="B667" t="str">
        <f>COUNTIF($E$2:E827,E827)&amp;E827</f>
        <v>0</v>
      </c>
    </row>
    <row r="668" spans="1:2" x14ac:dyDescent="0.25">
      <c r="A668" t="str">
        <f>COUNTIF($D$2:D828,D828)&amp;D828</f>
        <v>0</v>
      </c>
      <c r="B668" t="str">
        <f>COUNTIF($E$2:E828,E828)&amp;E828</f>
        <v>0</v>
      </c>
    </row>
    <row r="669" spans="1:2" x14ac:dyDescent="0.25">
      <c r="A669" t="str">
        <f>COUNTIF($D$2:D829,D829)&amp;D829</f>
        <v>0</v>
      </c>
      <c r="B669" t="str">
        <f>COUNTIF($E$2:E829,E829)&amp;E829</f>
        <v>0</v>
      </c>
    </row>
    <row r="670" spans="1:2" x14ac:dyDescent="0.25">
      <c r="A670" t="str">
        <f>COUNTIF($D$2:D830,D830)&amp;D830</f>
        <v>0</v>
      </c>
      <c r="B670" t="str">
        <f>COUNTIF($E$2:E830,E830)&amp;E830</f>
        <v>0</v>
      </c>
    </row>
    <row r="671" spans="1:2" x14ac:dyDescent="0.25">
      <c r="A671" t="str">
        <f>COUNTIF($D$2:D831,D831)&amp;D831</f>
        <v>0</v>
      </c>
      <c r="B671" t="str">
        <f>COUNTIF($E$2:E831,E831)&amp;E831</f>
        <v>0</v>
      </c>
    </row>
    <row r="672" spans="1:2" x14ac:dyDescent="0.25">
      <c r="A672" t="str">
        <f>COUNTIF($D$2:D832,D832)&amp;D832</f>
        <v>0</v>
      </c>
      <c r="B672" t="str">
        <f>COUNTIF($E$2:E832,E832)&amp;E832</f>
        <v>0</v>
      </c>
    </row>
    <row r="673" spans="1:2" x14ac:dyDescent="0.25">
      <c r="A673" t="str">
        <f>COUNTIF($D$2:D833,D833)&amp;D833</f>
        <v>0</v>
      </c>
      <c r="B673" t="str">
        <f>COUNTIF($E$2:E833,E833)&amp;E833</f>
        <v>0</v>
      </c>
    </row>
    <row r="674" spans="1:2" x14ac:dyDescent="0.25">
      <c r="A674" t="str">
        <f>COUNTIF($D$2:D834,D834)&amp;D834</f>
        <v>0</v>
      </c>
      <c r="B674" t="str">
        <f>COUNTIF($E$2:E834,E834)&amp;E834</f>
        <v>0</v>
      </c>
    </row>
    <row r="675" spans="1:2" x14ac:dyDescent="0.25">
      <c r="A675" t="str">
        <f>COUNTIF($D$2:D835,D835)&amp;D835</f>
        <v>0</v>
      </c>
      <c r="B675" t="str">
        <f>COUNTIF($E$2:E835,E835)&amp;E835</f>
        <v>0</v>
      </c>
    </row>
    <row r="676" spans="1:2" x14ac:dyDescent="0.25">
      <c r="A676" t="str">
        <f>COUNTIF($D$2:D836,D836)&amp;D836</f>
        <v>0</v>
      </c>
      <c r="B676" t="str">
        <f>COUNTIF($E$2:E836,E836)&amp;E836</f>
        <v>0</v>
      </c>
    </row>
    <row r="677" spans="1:2" x14ac:dyDescent="0.25">
      <c r="A677" t="str">
        <f>COUNTIF($D$2:D837,D837)&amp;D837</f>
        <v>0</v>
      </c>
      <c r="B677" t="str">
        <f>COUNTIF($E$2:E837,E837)&amp;E837</f>
        <v>0</v>
      </c>
    </row>
    <row r="678" spans="1:2" x14ac:dyDescent="0.25">
      <c r="A678" t="str">
        <f>COUNTIF($D$2:D838,D838)&amp;D838</f>
        <v>0</v>
      </c>
      <c r="B678" t="str">
        <f>COUNTIF($E$2:E838,E838)&amp;E838</f>
        <v>0</v>
      </c>
    </row>
    <row r="679" spans="1:2" x14ac:dyDescent="0.25">
      <c r="A679" t="str">
        <f>COUNTIF($D$2:D839,D839)&amp;D839</f>
        <v>0</v>
      </c>
      <c r="B679" t="str">
        <f>COUNTIF($E$2:E839,E839)&amp;E839</f>
        <v>0</v>
      </c>
    </row>
    <row r="680" spans="1:2" x14ac:dyDescent="0.25">
      <c r="A680" t="str">
        <f>COUNTIF($D$2:D840,D840)&amp;D840</f>
        <v>0</v>
      </c>
      <c r="B680" t="str">
        <f>COUNTIF($E$2:E840,E840)&amp;E840</f>
        <v>0</v>
      </c>
    </row>
    <row r="681" spans="1:2" x14ac:dyDescent="0.25">
      <c r="A681" t="str">
        <f>COUNTIF($D$2:D841,D841)&amp;D841</f>
        <v>0</v>
      </c>
      <c r="B681" t="str">
        <f>COUNTIF($E$2:E841,E841)&amp;E841</f>
        <v>0</v>
      </c>
    </row>
    <row r="682" spans="1:2" x14ac:dyDescent="0.25">
      <c r="A682" t="str">
        <f>COUNTIF($D$2:D842,D842)&amp;D842</f>
        <v>0</v>
      </c>
      <c r="B682" t="str">
        <f>COUNTIF($E$2:E842,E842)&amp;E842</f>
        <v>0</v>
      </c>
    </row>
    <row r="683" spans="1:2" x14ac:dyDescent="0.25">
      <c r="A683" t="str">
        <f>COUNTIF($D$2:D843,D843)&amp;D843</f>
        <v>0</v>
      </c>
      <c r="B683" t="str">
        <f>COUNTIF($E$2:E843,E843)&amp;E843</f>
        <v>0</v>
      </c>
    </row>
    <row r="684" spans="1:2" x14ac:dyDescent="0.25">
      <c r="A684" t="str">
        <f>COUNTIF($D$2:D844,D844)&amp;D844</f>
        <v>0</v>
      </c>
      <c r="B684" t="str">
        <f>COUNTIF($E$2:E844,E844)&amp;E844</f>
        <v>0</v>
      </c>
    </row>
    <row r="685" spans="1:2" x14ac:dyDescent="0.25">
      <c r="A685" t="str">
        <f>COUNTIF($D$2:D845,D845)&amp;D845</f>
        <v>0</v>
      </c>
      <c r="B685" t="str">
        <f>COUNTIF($E$2:E845,E845)&amp;E845</f>
        <v>0</v>
      </c>
    </row>
    <row r="686" spans="1:2" x14ac:dyDescent="0.25">
      <c r="A686" t="str">
        <f>COUNTIF($D$2:D846,D846)&amp;D846</f>
        <v>0</v>
      </c>
      <c r="B686" t="str">
        <f>COUNTIF($E$2:E846,E846)&amp;E846</f>
        <v>0</v>
      </c>
    </row>
    <row r="687" spans="1:2" x14ac:dyDescent="0.25">
      <c r="A687" t="str">
        <f>COUNTIF($D$2:D847,D847)&amp;D847</f>
        <v>0</v>
      </c>
      <c r="B687" t="str">
        <f>COUNTIF($E$2:E847,E847)&amp;E847</f>
        <v>0</v>
      </c>
    </row>
    <row r="688" spans="1:2" x14ac:dyDescent="0.25">
      <c r="A688" t="str">
        <f>COUNTIF($D$2:D848,D848)&amp;D848</f>
        <v>0</v>
      </c>
      <c r="B688" t="str">
        <f>COUNTIF($E$2:E848,E848)&amp;E848</f>
        <v>0</v>
      </c>
    </row>
    <row r="689" spans="1:2" x14ac:dyDescent="0.25">
      <c r="A689" t="str">
        <f>COUNTIF($D$2:D849,D849)&amp;D849</f>
        <v>0</v>
      </c>
      <c r="B689" t="str">
        <f>COUNTIF($E$2:E849,E849)&amp;E849</f>
        <v>0</v>
      </c>
    </row>
    <row r="690" spans="1:2" x14ac:dyDescent="0.25">
      <c r="A690" t="str">
        <f>COUNTIF($D$2:D850,D850)&amp;D850</f>
        <v>0</v>
      </c>
      <c r="B690" t="str">
        <f>COUNTIF($E$2:E850,E850)&amp;E850</f>
        <v>0</v>
      </c>
    </row>
    <row r="691" spans="1:2" x14ac:dyDescent="0.25">
      <c r="A691" t="str">
        <f>COUNTIF($D$2:D851,D851)&amp;D851</f>
        <v>0</v>
      </c>
      <c r="B691" t="str">
        <f>COUNTIF($E$2:E851,E851)&amp;E851</f>
        <v>0</v>
      </c>
    </row>
    <row r="692" spans="1:2" x14ac:dyDescent="0.25">
      <c r="A692" t="str">
        <f>COUNTIF($D$2:D852,D852)&amp;D852</f>
        <v>0</v>
      </c>
      <c r="B692" t="str">
        <f>COUNTIF($E$2:E852,E852)&amp;E852</f>
        <v>0</v>
      </c>
    </row>
    <row r="693" spans="1:2" x14ac:dyDescent="0.25">
      <c r="A693" t="str">
        <f>COUNTIF($D$2:D853,D853)&amp;D853</f>
        <v>0</v>
      </c>
      <c r="B693" t="str">
        <f>COUNTIF($E$2:E853,E853)&amp;E853</f>
        <v>0</v>
      </c>
    </row>
    <row r="694" spans="1:2" x14ac:dyDescent="0.25">
      <c r="A694" t="str">
        <f>COUNTIF($D$2:D854,D854)&amp;D854</f>
        <v>0</v>
      </c>
      <c r="B694" t="str">
        <f>COUNTIF($E$2:E854,E854)&amp;E854</f>
        <v>0</v>
      </c>
    </row>
    <row r="695" spans="1:2" x14ac:dyDescent="0.25">
      <c r="A695" t="str">
        <f>COUNTIF($D$2:D855,D855)&amp;D855</f>
        <v>0</v>
      </c>
      <c r="B695" t="str">
        <f>COUNTIF($E$2:E855,E855)&amp;E855</f>
        <v>0</v>
      </c>
    </row>
    <row r="696" spans="1:2" x14ac:dyDescent="0.25">
      <c r="A696" t="str">
        <f>COUNTIF($D$2:D856,D856)&amp;D856</f>
        <v>0</v>
      </c>
      <c r="B696" t="str">
        <f>COUNTIF($E$2:E856,E856)&amp;E856</f>
        <v>0</v>
      </c>
    </row>
    <row r="697" spans="1:2" x14ac:dyDescent="0.25">
      <c r="A697" t="str">
        <f>COUNTIF($D$2:D857,D857)&amp;D857</f>
        <v>0</v>
      </c>
      <c r="B697" t="str">
        <f>COUNTIF($E$2:E857,E857)&amp;E857</f>
        <v>0</v>
      </c>
    </row>
    <row r="698" spans="1:2" x14ac:dyDescent="0.25">
      <c r="A698" t="str">
        <f>COUNTIF($D$2:D858,D858)&amp;D858</f>
        <v>0</v>
      </c>
      <c r="B698" t="str">
        <f>COUNTIF($E$2:E858,E858)&amp;E858</f>
        <v>0</v>
      </c>
    </row>
    <row r="699" spans="1:2" x14ac:dyDescent="0.25">
      <c r="A699" t="str">
        <f>COUNTIF($D$2:D859,D859)&amp;D859</f>
        <v>0</v>
      </c>
      <c r="B699" t="str">
        <f>COUNTIF($E$2:E859,E859)&amp;E859</f>
        <v>0</v>
      </c>
    </row>
    <row r="700" spans="1:2" x14ac:dyDescent="0.25">
      <c r="A700" t="str">
        <f>COUNTIF($D$2:D860,D860)&amp;D860</f>
        <v>0</v>
      </c>
      <c r="B700" t="str">
        <f>COUNTIF($E$2:E860,E860)&amp;E860</f>
        <v>0</v>
      </c>
    </row>
    <row r="701" spans="1:2" x14ac:dyDescent="0.25">
      <c r="A701" t="str">
        <f>COUNTIF($D$2:D861,D861)&amp;D861</f>
        <v>0</v>
      </c>
      <c r="B701" t="str">
        <f>COUNTIF($E$2:E861,E861)&amp;E861</f>
        <v>0</v>
      </c>
    </row>
    <row r="702" spans="1:2" x14ac:dyDescent="0.25">
      <c r="A702" t="str">
        <f>COUNTIF($D$2:D862,D862)&amp;D862</f>
        <v>0</v>
      </c>
      <c r="B702" t="str">
        <f>COUNTIF($E$2:E862,E862)&amp;E862</f>
        <v>0</v>
      </c>
    </row>
    <row r="703" spans="1:2" x14ac:dyDescent="0.25">
      <c r="A703" t="str">
        <f>COUNTIF($D$2:D863,D863)&amp;D863</f>
        <v>0</v>
      </c>
      <c r="B703" t="str">
        <f>COUNTIF($E$2:E863,E863)&amp;E863</f>
        <v>0</v>
      </c>
    </row>
    <row r="704" spans="1:2" x14ac:dyDescent="0.25">
      <c r="A704" t="str">
        <f>COUNTIF($D$2:D864,D864)&amp;D864</f>
        <v>0</v>
      </c>
      <c r="B704" t="str">
        <f>COUNTIF($E$2:E864,E864)&amp;E864</f>
        <v>0</v>
      </c>
    </row>
    <row r="705" spans="1:2" x14ac:dyDescent="0.25">
      <c r="A705" t="str">
        <f>COUNTIF($D$2:D865,D865)&amp;D865</f>
        <v>0</v>
      </c>
      <c r="B705" t="str">
        <f>COUNTIF($E$2:E865,E865)&amp;E865</f>
        <v>0</v>
      </c>
    </row>
    <row r="706" spans="1:2" x14ac:dyDescent="0.25">
      <c r="A706" t="str">
        <f>COUNTIF($D$2:D866,D866)&amp;D866</f>
        <v>0</v>
      </c>
      <c r="B706" t="str">
        <f>COUNTIF($E$2:E866,E866)&amp;E866</f>
        <v>0</v>
      </c>
    </row>
    <row r="707" spans="1:2" x14ac:dyDescent="0.25">
      <c r="A707" t="str">
        <f>COUNTIF($D$2:D867,D867)&amp;D867</f>
        <v>0</v>
      </c>
      <c r="B707" t="str">
        <f>COUNTIF($E$2:E867,E867)&amp;E867</f>
        <v>0</v>
      </c>
    </row>
    <row r="708" spans="1:2" x14ac:dyDescent="0.25">
      <c r="A708" t="str">
        <f>COUNTIF($D$2:D868,D868)&amp;D868</f>
        <v>0</v>
      </c>
      <c r="B708" t="str">
        <f>COUNTIF($E$2:E868,E868)&amp;E868</f>
        <v>0</v>
      </c>
    </row>
    <row r="709" spans="1:2" x14ac:dyDescent="0.25">
      <c r="A709" t="str">
        <f>COUNTIF($D$2:D869,D869)&amp;D869</f>
        <v>0</v>
      </c>
      <c r="B709" t="str">
        <f>COUNTIF($E$2:E869,E869)&amp;E869</f>
        <v>0</v>
      </c>
    </row>
    <row r="710" spans="1:2" x14ac:dyDescent="0.25">
      <c r="A710" t="str">
        <f>COUNTIF($D$2:D870,D870)&amp;D870</f>
        <v>0</v>
      </c>
      <c r="B710" t="str">
        <f>COUNTIF($E$2:E870,E870)&amp;E870</f>
        <v>0</v>
      </c>
    </row>
    <row r="711" spans="1:2" x14ac:dyDescent="0.25">
      <c r="A711" t="str">
        <f>COUNTIF($D$2:D871,D871)&amp;D871</f>
        <v>0</v>
      </c>
      <c r="B711" t="str">
        <f>COUNTIF($E$2:E871,E871)&amp;E871</f>
        <v>0</v>
      </c>
    </row>
    <row r="712" spans="1:2" x14ac:dyDescent="0.25">
      <c r="A712" t="str">
        <f>COUNTIF($D$2:D872,D872)&amp;D872</f>
        <v>0</v>
      </c>
      <c r="B712" t="str">
        <f>COUNTIF($E$2:E872,E872)&amp;E872</f>
        <v>0</v>
      </c>
    </row>
    <row r="713" spans="1:2" x14ac:dyDescent="0.25">
      <c r="A713" t="str">
        <f>COUNTIF($D$2:D873,D873)&amp;D873</f>
        <v>0</v>
      </c>
      <c r="B713" t="str">
        <f>COUNTIF($E$2:E873,E873)&amp;E873</f>
        <v>0</v>
      </c>
    </row>
    <row r="714" spans="1:2" x14ac:dyDescent="0.25">
      <c r="A714" t="str">
        <f>COUNTIF($D$2:D874,D874)&amp;D874</f>
        <v>0</v>
      </c>
      <c r="B714" t="str">
        <f>COUNTIF($E$2:E874,E874)&amp;E874</f>
        <v>0</v>
      </c>
    </row>
    <row r="715" spans="1:2" x14ac:dyDescent="0.25">
      <c r="A715" t="str">
        <f>COUNTIF($D$2:D875,D875)&amp;D875</f>
        <v>0</v>
      </c>
      <c r="B715" t="str">
        <f>COUNTIF($E$2:E875,E875)&amp;E875</f>
        <v>0</v>
      </c>
    </row>
    <row r="716" spans="1:2" x14ac:dyDescent="0.25">
      <c r="A716" t="str">
        <f>COUNTIF($D$2:D876,D876)&amp;D876</f>
        <v>0</v>
      </c>
      <c r="B716" t="str">
        <f>COUNTIF($E$2:E876,E876)&amp;E876</f>
        <v>0</v>
      </c>
    </row>
    <row r="717" spans="1:2" x14ac:dyDescent="0.25">
      <c r="A717" t="str">
        <f>COUNTIF($D$2:D877,D877)&amp;D877</f>
        <v>0</v>
      </c>
      <c r="B717" t="str">
        <f>COUNTIF($E$2:E877,E877)&amp;E877</f>
        <v>0</v>
      </c>
    </row>
    <row r="718" spans="1:2" x14ac:dyDescent="0.25">
      <c r="A718" t="str">
        <f>COUNTIF($D$2:D878,D878)&amp;D878</f>
        <v>0</v>
      </c>
      <c r="B718" t="str">
        <f>COUNTIF($E$2:E878,E878)&amp;E878</f>
        <v>0</v>
      </c>
    </row>
    <row r="719" spans="1:2" x14ac:dyDescent="0.25">
      <c r="A719" t="str">
        <f>COUNTIF($D$2:D879,D879)&amp;D879</f>
        <v>0</v>
      </c>
      <c r="B719" t="str">
        <f>COUNTIF($E$2:E879,E879)&amp;E879</f>
        <v>0</v>
      </c>
    </row>
    <row r="720" spans="1:2" x14ac:dyDescent="0.25">
      <c r="A720" t="str">
        <f>COUNTIF($D$2:D880,D880)&amp;D880</f>
        <v>0</v>
      </c>
      <c r="B720" t="str">
        <f>COUNTIF($E$2:E880,E880)&amp;E880</f>
        <v>0</v>
      </c>
    </row>
    <row r="721" spans="1:2" x14ac:dyDescent="0.25">
      <c r="A721" t="str">
        <f>COUNTIF($D$2:D881,D881)&amp;D881</f>
        <v>0</v>
      </c>
      <c r="B721" t="str">
        <f>COUNTIF($E$2:E881,E881)&amp;E881</f>
        <v>0</v>
      </c>
    </row>
    <row r="722" spans="1:2" x14ac:dyDescent="0.25">
      <c r="A722" t="str">
        <f>COUNTIF($D$2:D882,D882)&amp;D882</f>
        <v>0</v>
      </c>
      <c r="B722" t="str">
        <f>COUNTIF($E$2:E882,E882)&amp;E882</f>
        <v>0</v>
      </c>
    </row>
    <row r="723" spans="1:2" x14ac:dyDescent="0.25">
      <c r="A723" t="str">
        <f>COUNTIF($D$2:D883,D883)&amp;D883</f>
        <v>0</v>
      </c>
      <c r="B723" t="str">
        <f>COUNTIF($E$2:E883,E883)&amp;E883</f>
        <v>0</v>
      </c>
    </row>
    <row r="724" spans="1:2" x14ac:dyDescent="0.25">
      <c r="A724" t="str">
        <f>COUNTIF($D$2:D884,D884)&amp;D884</f>
        <v>0</v>
      </c>
      <c r="B724" t="str">
        <f>COUNTIF($E$2:E884,E884)&amp;E884</f>
        <v>0</v>
      </c>
    </row>
    <row r="725" spans="1:2" x14ac:dyDescent="0.25">
      <c r="A725" t="str">
        <f>COUNTIF($D$2:D885,D885)&amp;D885</f>
        <v>0</v>
      </c>
      <c r="B725" t="str">
        <f>COUNTIF($E$2:E885,E885)&amp;E885</f>
        <v>0</v>
      </c>
    </row>
    <row r="726" spans="1:2" x14ac:dyDescent="0.25">
      <c r="A726" t="str">
        <f>COUNTIF($D$2:D886,D886)&amp;D886</f>
        <v>0</v>
      </c>
      <c r="B726" t="str">
        <f>COUNTIF($E$2:E886,E886)&amp;E886</f>
        <v>0</v>
      </c>
    </row>
    <row r="727" spans="1:2" x14ac:dyDescent="0.25">
      <c r="A727" t="str">
        <f>COUNTIF($D$2:D887,D887)&amp;D887</f>
        <v>0</v>
      </c>
      <c r="B727" t="str">
        <f>COUNTIF($E$2:E887,E887)&amp;E887</f>
        <v>0</v>
      </c>
    </row>
    <row r="728" spans="1:2" x14ac:dyDescent="0.25">
      <c r="A728" t="str">
        <f>COUNTIF($D$2:D888,D888)&amp;D888</f>
        <v>0</v>
      </c>
      <c r="B728" t="str">
        <f>COUNTIF($E$2:E888,E888)&amp;E888</f>
        <v>0</v>
      </c>
    </row>
    <row r="729" spans="1:2" x14ac:dyDescent="0.25">
      <c r="A729" t="str">
        <f>COUNTIF($D$2:D889,D889)&amp;D889</f>
        <v>0</v>
      </c>
      <c r="B729" t="str">
        <f>COUNTIF($E$2:E889,E889)&amp;E889</f>
        <v>0</v>
      </c>
    </row>
    <row r="730" spans="1:2" x14ac:dyDescent="0.25">
      <c r="A730" t="str">
        <f>COUNTIF($D$2:D890,D890)&amp;D890</f>
        <v>0</v>
      </c>
      <c r="B730" t="str">
        <f>COUNTIF($E$2:E890,E890)&amp;E890</f>
        <v>0</v>
      </c>
    </row>
    <row r="731" spans="1:2" x14ac:dyDescent="0.25">
      <c r="A731" t="str">
        <f>COUNTIF($D$2:D891,D891)&amp;D891</f>
        <v>0</v>
      </c>
      <c r="B731" t="str">
        <f>COUNTIF($E$2:E891,E891)&amp;E891</f>
        <v>0</v>
      </c>
    </row>
    <row r="732" spans="1:2" x14ac:dyDescent="0.25">
      <c r="A732" t="str">
        <f>COUNTIF($D$2:D892,D892)&amp;D892</f>
        <v>0</v>
      </c>
      <c r="B732" t="str">
        <f>COUNTIF($E$2:E892,E892)&amp;E892</f>
        <v>0</v>
      </c>
    </row>
    <row r="733" spans="1:2" x14ac:dyDescent="0.25">
      <c r="A733" t="str">
        <f>COUNTIF($D$2:D893,D893)&amp;D893</f>
        <v>0</v>
      </c>
      <c r="B733" t="str">
        <f>COUNTIF($E$2:E893,E893)&amp;E893</f>
        <v>0</v>
      </c>
    </row>
    <row r="734" spans="1:2" x14ac:dyDescent="0.25">
      <c r="A734" t="str">
        <f>COUNTIF($D$2:D894,D894)&amp;D894</f>
        <v>0</v>
      </c>
      <c r="B734" t="str">
        <f>COUNTIF($E$2:E894,E894)&amp;E894</f>
        <v>0</v>
      </c>
    </row>
    <row r="735" spans="1:2" x14ac:dyDescent="0.25">
      <c r="A735" t="str">
        <f>COUNTIF($D$2:D895,D895)&amp;D895</f>
        <v>0</v>
      </c>
      <c r="B735" t="str">
        <f>COUNTIF($E$2:E895,E895)&amp;E895</f>
        <v>0</v>
      </c>
    </row>
    <row r="736" spans="1:2" x14ac:dyDescent="0.25">
      <c r="A736" t="str">
        <f>COUNTIF($D$2:D896,D896)&amp;D896</f>
        <v>0</v>
      </c>
      <c r="B736" t="str">
        <f>COUNTIF($E$2:E896,E896)&amp;E896</f>
        <v>0</v>
      </c>
    </row>
    <row r="737" spans="1:2" x14ac:dyDescent="0.25">
      <c r="A737" t="str">
        <f>COUNTIF($D$2:D897,D897)&amp;D897</f>
        <v>0</v>
      </c>
      <c r="B737" t="str">
        <f>COUNTIF($E$2:E897,E897)&amp;E897</f>
        <v>0</v>
      </c>
    </row>
    <row r="738" spans="1:2" x14ac:dyDescent="0.25">
      <c r="A738" t="str">
        <f>COUNTIF($D$2:D898,D898)&amp;D898</f>
        <v>0</v>
      </c>
      <c r="B738" t="str">
        <f>COUNTIF($E$2:E898,E898)&amp;E898</f>
        <v>0</v>
      </c>
    </row>
    <row r="739" spans="1:2" x14ac:dyDescent="0.25">
      <c r="A739" t="str">
        <f>COUNTIF($D$2:D899,D899)&amp;D899</f>
        <v>0</v>
      </c>
      <c r="B739" t="str">
        <f>COUNTIF($E$2:E899,E899)&amp;E899</f>
        <v>0</v>
      </c>
    </row>
    <row r="740" spans="1:2" x14ac:dyDescent="0.25">
      <c r="A740" t="str">
        <f>COUNTIF($D$2:D900,D900)&amp;D900</f>
        <v>0</v>
      </c>
      <c r="B740" t="str">
        <f>COUNTIF($E$2:E900,E900)&amp;E900</f>
        <v>0</v>
      </c>
    </row>
    <row r="741" spans="1:2" x14ac:dyDescent="0.25">
      <c r="A741" t="str">
        <f>COUNTIF($D$2:D901,D901)&amp;D901</f>
        <v>0</v>
      </c>
      <c r="B741" t="str">
        <f>COUNTIF($E$2:E901,E901)&amp;E901</f>
        <v>0</v>
      </c>
    </row>
    <row r="742" spans="1:2" x14ac:dyDescent="0.25">
      <c r="A742" t="str">
        <f>COUNTIF($D$2:D902,D902)&amp;D902</f>
        <v>0</v>
      </c>
      <c r="B742" t="str">
        <f>COUNTIF($E$2:E902,E902)&amp;E902</f>
        <v>0</v>
      </c>
    </row>
    <row r="743" spans="1:2" x14ac:dyDescent="0.25">
      <c r="A743" t="str">
        <f>COUNTIF($D$2:D903,D903)&amp;D903</f>
        <v>0</v>
      </c>
      <c r="B743" t="str">
        <f>COUNTIF($E$2:E903,E903)&amp;E903</f>
        <v>0</v>
      </c>
    </row>
    <row r="744" spans="1:2" x14ac:dyDescent="0.25">
      <c r="A744" t="str">
        <f>COUNTIF($D$2:D904,D904)&amp;D904</f>
        <v>0</v>
      </c>
      <c r="B744" t="str">
        <f>COUNTIF($E$2:E904,E904)&amp;E904</f>
        <v>0</v>
      </c>
    </row>
    <row r="745" spans="1:2" x14ac:dyDescent="0.25">
      <c r="A745" t="str">
        <f>COUNTIF($D$2:D905,D905)&amp;D905</f>
        <v>0</v>
      </c>
      <c r="B745" t="str">
        <f>COUNTIF($E$2:E905,E905)&amp;E905</f>
        <v>0</v>
      </c>
    </row>
    <row r="746" spans="1:2" x14ac:dyDescent="0.25">
      <c r="A746" t="str">
        <f>COUNTIF($D$2:D906,D906)&amp;D906</f>
        <v>0</v>
      </c>
      <c r="B746" t="str">
        <f>COUNTIF($E$2:E906,E906)&amp;E906</f>
        <v>0</v>
      </c>
    </row>
    <row r="747" spans="1:2" x14ac:dyDescent="0.25">
      <c r="A747" t="str">
        <f>COUNTIF($D$2:D907,D907)&amp;D907</f>
        <v>0</v>
      </c>
      <c r="B747" t="str">
        <f>COUNTIF($E$2:E907,E907)&amp;E907</f>
        <v>0</v>
      </c>
    </row>
    <row r="748" spans="1:2" x14ac:dyDescent="0.25">
      <c r="A748" t="str">
        <f>COUNTIF($D$2:D908,D908)&amp;D908</f>
        <v>0</v>
      </c>
      <c r="B748" t="str">
        <f>COUNTIF($E$2:E908,E908)&amp;E908</f>
        <v>0</v>
      </c>
    </row>
    <row r="749" spans="1:2" x14ac:dyDescent="0.25">
      <c r="A749" t="str">
        <f>COUNTIF($D$2:D909,D909)&amp;D909</f>
        <v>0</v>
      </c>
      <c r="B749" t="str">
        <f>COUNTIF($E$2:E909,E909)&amp;E909</f>
        <v>0</v>
      </c>
    </row>
    <row r="750" spans="1:2" x14ac:dyDescent="0.25">
      <c r="A750" t="str">
        <f>COUNTIF($D$2:D910,D910)&amp;D910</f>
        <v>0</v>
      </c>
      <c r="B750" t="str">
        <f>COUNTIF($E$2:E910,E910)&amp;E910</f>
        <v>0</v>
      </c>
    </row>
    <row r="751" spans="1:2" x14ac:dyDescent="0.25">
      <c r="A751" t="str">
        <f>COUNTIF($D$2:D911,D911)&amp;D911</f>
        <v>0</v>
      </c>
      <c r="B751" t="str">
        <f>COUNTIF($E$2:E911,E911)&amp;E911</f>
        <v>0</v>
      </c>
    </row>
    <row r="752" spans="1:2" x14ac:dyDescent="0.25">
      <c r="A752" t="str">
        <f>COUNTIF($D$2:D912,D912)&amp;D912</f>
        <v>0</v>
      </c>
      <c r="B752" t="str">
        <f>COUNTIF($E$2:E912,E912)&amp;E912</f>
        <v>0</v>
      </c>
    </row>
    <row r="753" spans="1:2" x14ac:dyDescent="0.25">
      <c r="A753" t="str">
        <f>COUNTIF($D$2:D913,D913)&amp;D913</f>
        <v>0</v>
      </c>
      <c r="B753" t="str">
        <f>COUNTIF($E$2:E913,E913)&amp;E913</f>
        <v>0</v>
      </c>
    </row>
    <row r="754" spans="1:2" x14ac:dyDescent="0.25">
      <c r="A754" t="str">
        <f>COUNTIF($D$2:D914,D914)&amp;D914</f>
        <v>0</v>
      </c>
      <c r="B754" t="str">
        <f>COUNTIF($E$2:E914,E914)&amp;E914</f>
        <v>0</v>
      </c>
    </row>
    <row r="755" spans="1:2" x14ac:dyDescent="0.25">
      <c r="A755" t="str">
        <f>COUNTIF($D$2:D915,D915)&amp;D915</f>
        <v>0</v>
      </c>
      <c r="B755" t="str">
        <f>COUNTIF($E$2:E915,E915)&amp;E915</f>
        <v>0</v>
      </c>
    </row>
    <row r="756" spans="1:2" x14ac:dyDescent="0.25">
      <c r="A756" t="str">
        <f>COUNTIF($D$2:D916,D916)&amp;D916</f>
        <v>0</v>
      </c>
      <c r="B756" t="str">
        <f>COUNTIF($E$2:E916,E916)&amp;E916</f>
        <v>0</v>
      </c>
    </row>
    <row r="757" spans="1:2" x14ac:dyDescent="0.25">
      <c r="A757" t="str">
        <f>COUNTIF($D$2:D917,D917)&amp;D917</f>
        <v>0</v>
      </c>
      <c r="B757" t="str">
        <f>COUNTIF($E$2:E917,E917)&amp;E917</f>
        <v>0</v>
      </c>
    </row>
    <row r="758" spans="1:2" x14ac:dyDescent="0.25">
      <c r="A758" t="str">
        <f>COUNTIF($D$2:D918,D918)&amp;D918</f>
        <v>0</v>
      </c>
      <c r="B758" t="str">
        <f>COUNTIF($E$2:E918,E918)&amp;E918</f>
        <v>0</v>
      </c>
    </row>
    <row r="759" spans="1:2" x14ac:dyDescent="0.25">
      <c r="A759" t="str">
        <f>COUNTIF($D$2:D919,D919)&amp;D919</f>
        <v>0</v>
      </c>
      <c r="B759" t="str">
        <f>COUNTIF($E$2:E919,E919)&amp;E919</f>
        <v>0</v>
      </c>
    </row>
    <row r="760" spans="1:2" x14ac:dyDescent="0.25">
      <c r="A760" t="str">
        <f>COUNTIF($D$2:D920,D920)&amp;D920</f>
        <v>0</v>
      </c>
      <c r="B760" t="str">
        <f>COUNTIF($E$2:E920,E920)&amp;E920</f>
        <v>0</v>
      </c>
    </row>
    <row r="761" spans="1:2" x14ac:dyDescent="0.25">
      <c r="A761" t="str">
        <f>COUNTIF($D$2:D921,D921)&amp;D921</f>
        <v>0</v>
      </c>
      <c r="B761" t="str">
        <f>COUNTIF($E$2:E921,E921)&amp;E921</f>
        <v>0</v>
      </c>
    </row>
    <row r="762" spans="1:2" x14ac:dyDescent="0.25">
      <c r="A762" t="str">
        <f>COUNTIF($D$2:D922,D922)&amp;D922</f>
        <v>0</v>
      </c>
      <c r="B762" t="str">
        <f>COUNTIF($E$2:E922,E922)&amp;E922</f>
        <v>0</v>
      </c>
    </row>
    <row r="763" spans="1:2" x14ac:dyDescent="0.25">
      <c r="A763" t="str">
        <f>COUNTIF($D$2:D923,D923)&amp;D923</f>
        <v>0</v>
      </c>
      <c r="B763" t="str">
        <f>COUNTIF($E$2:E923,E923)&amp;E923</f>
        <v>0</v>
      </c>
    </row>
    <row r="764" spans="1:2" x14ac:dyDescent="0.25">
      <c r="A764" t="str">
        <f>COUNTIF($D$2:D924,D924)&amp;D924</f>
        <v>0</v>
      </c>
      <c r="B764" t="str">
        <f>COUNTIF($E$2:E924,E924)&amp;E924</f>
        <v>0</v>
      </c>
    </row>
    <row r="765" spans="1:2" x14ac:dyDescent="0.25">
      <c r="A765" t="str">
        <f>COUNTIF($D$2:D925,D925)&amp;D925</f>
        <v>0</v>
      </c>
      <c r="B765" t="str">
        <f>COUNTIF($E$2:E925,E925)&amp;E925</f>
        <v>0</v>
      </c>
    </row>
    <row r="766" spans="1:2" x14ac:dyDescent="0.25">
      <c r="A766" t="str">
        <f>COUNTIF($D$2:D926,D926)&amp;D926</f>
        <v>0</v>
      </c>
      <c r="B766" t="str">
        <f>COUNTIF($E$2:E926,E926)&amp;E926</f>
        <v>0</v>
      </c>
    </row>
    <row r="767" spans="1:2" x14ac:dyDescent="0.25">
      <c r="A767" t="str">
        <f>COUNTIF($D$2:D927,D927)&amp;D927</f>
        <v>0</v>
      </c>
      <c r="B767" t="str">
        <f>COUNTIF($E$2:E927,E927)&amp;E927</f>
        <v>0</v>
      </c>
    </row>
    <row r="768" spans="1:2" x14ac:dyDescent="0.25">
      <c r="A768" t="str">
        <f>COUNTIF($D$2:D928,D928)&amp;D928</f>
        <v>0</v>
      </c>
      <c r="B768" t="str">
        <f>COUNTIF($E$2:E928,E928)&amp;E928</f>
        <v>0</v>
      </c>
    </row>
    <row r="769" spans="1:2" x14ac:dyDescent="0.25">
      <c r="A769" t="str">
        <f>COUNTIF($D$2:D929,D929)&amp;D929</f>
        <v>0</v>
      </c>
      <c r="B769" t="str">
        <f>COUNTIF($E$2:E929,E929)&amp;E929</f>
        <v>0</v>
      </c>
    </row>
    <row r="770" spans="1:2" x14ac:dyDescent="0.25">
      <c r="A770" t="str">
        <f>COUNTIF($D$2:D930,D930)&amp;D930</f>
        <v>0</v>
      </c>
      <c r="B770" t="str">
        <f>COUNTIF($E$2:E930,E930)&amp;E930</f>
        <v>0</v>
      </c>
    </row>
    <row r="771" spans="1:2" x14ac:dyDescent="0.25">
      <c r="A771" t="str">
        <f>COUNTIF($D$2:D931,D931)&amp;D931</f>
        <v>0</v>
      </c>
      <c r="B771" t="str">
        <f>COUNTIF($E$2:E931,E931)&amp;E931</f>
        <v>0</v>
      </c>
    </row>
    <row r="772" spans="1:2" x14ac:dyDescent="0.25">
      <c r="A772" t="str">
        <f>COUNTIF($D$2:D932,D932)&amp;D932</f>
        <v>0</v>
      </c>
      <c r="B772" t="str">
        <f>COUNTIF($E$2:E932,E932)&amp;E932</f>
        <v>0</v>
      </c>
    </row>
    <row r="773" spans="1:2" x14ac:dyDescent="0.25">
      <c r="A773" t="str">
        <f>COUNTIF($D$2:D933,D933)&amp;D933</f>
        <v>0</v>
      </c>
      <c r="B773" t="str">
        <f>COUNTIF($E$2:E933,E933)&amp;E933</f>
        <v>0</v>
      </c>
    </row>
    <row r="774" spans="1:2" x14ac:dyDescent="0.25">
      <c r="A774" t="str">
        <f>COUNTIF($D$2:D934,D934)&amp;D934</f>
        <v>0</v>
      </c>
      <c r="B774" t="str">
        <f>COUNTIF($E$2:E934,E934)&amp;E934</f>
        <v>0</v>
      </c>
    </row>
    <row r="775" spans="1:2" x14ac:dyDescent="0.25">
      <c r="A775" t="str">
        <f>COUNTIF($D$2:D935,D935)&amp;D935</f>
        <v>0</v>
      </c>
      <c r="B775" t="str">
        <f>COUNTIF($E$2:E935,E935)&amp;E935</f>
        <v>0</v>
      </c>
    </row>
    <row r="776" spans="1:2" x14ac:dyDescent="0.25">
      <c r="A776" t="str">
        <f>COUNTIF($D$2:D936,D936)&amp;D936</f>
        <v>0</v>
      </c>
      <c r="B776" t="str">
        <f>COUNTIF($E$2:E936,E936)&amp;E936</f>
        <v>0</v>
      </c>
    </row>
    <row r="777" spans="1:2" x14ac:dyDescent="0.25">
      <c r="A777" t="str">
        <f>COUNTIF($D$2:D937,D937)&amp;D937</f>
        <v>0</v>
      </c>
      <c r="B777" t="str">
        <f>COUNTIF($E$2:E937,E937)&amp;E937</f>
        <v>0</v>
      </c>
    </row>
    <row r="778" spans="1:2" x14ac:dyDescent="0.25">
      <c r="A778" t="str">
        <f>COUNTIF($D$2:D938,D938)&amp;D938</f>
        <v>0</v>
      </c>
      <c r="B778" t="str">
        <f>COUNTIF($E$2:E938,E938)&amp;E938</f>
        <v>0</v>
      </c>
    </row>
    <row r="779" spans="1:2" x14ac:dyDescent="0.25">
      <c r="A779" t="str">
        <f>COUNTIF($D$2:D939,D939)&amp;D939</f>
        <v>0</v>
      </c>
      <c r="B779" t="str">
        <f>COUNTIF($E$2:E939,E939)&amp;E939</f>
        <v>0</v>
      </c>
    </row>
    <row r="780" spans="1:2" x14ac:dyDescent="0.25">
      <c r="A780" t="str">
        <f>COUNTIF($D$2:D940,D940)&amp;D940</f>
        <v>0</v>
      </c>
      <c r="B780" t="str">
        <f>COUNTIF($E$2:E940,E940)&amp;E940</f>
        <v>0</v>
      </c>
    </row>
    <row r="781" spans="1:2" x14ac:dyDescent="0.25">
      <c r="A781" t="str">
        <f>COUNTIF($D$2:D941,D941)&amp;D941</f>
        <v>0</v>
      </c>
      <c r="B781" t="str">
        <f>COUNTIF($E$2:E941,E941)&amp;E941</f>
        <v>0</v>
      </c>
    </row>
    <row r="782" spans="1:2" x14ac:dyDescent="0.25">
      <c r="A782" t="str">
        <f>COUNTIF($D$2:D942,D942)&amp;D942</f>
        <v>0</v>
      </c>
      <c r="B782" t="str">
        <f>COUNTIF($E$2:E942,E942)&amp;E942</f>
        <v>0</v>
      </c>
    </row>
    <row r="783" spans="1:2" x14ac:dyDescent="0.25">
      <c r="A783" t="str">
        <f>COUNTIF($D$2:D943,D943)&amp;D943</f>
        <v>0</v>
      </c>
      <c r="B783" t="str">
        <f>COUNTIF($E$2:E943,E943)&amp;E943</f>
        <v>0</v>
      </c>
    </row>
    <row r="784" spans="1:2" x14ac:dyDescent="0.25">
      <c r="A784" t="str">
        <f>COUNTIF($D$2:D944,D944)&amp;D944</f>
        <v>0</v>
      </c>
      <c r="B784" t="str">
        <f>COUNTIF($E$2:E944,E944)&amp;E944</f>
        <v>0</v>
      </c>
    </row>
    <row r="785" spans="1:2" x14ac:dyDescent="0.25">
      <c r="A785" t="str">
        <f>COUNTIF($D$2:D945,D945)&amp;D945</f>
        <v>0</v>
      </c>
      <c r="B785" t="str">
        <f>COUNTIF($E$2:E945,E945)&amp;E945</f>
        <v>0</v>
      </c>
    </row>
    <row r="786" spans="1:2" x14ac:dyDescent="0.25">
      <c r="A786" t="str">
        <f>COUNTIF($D$2:D946,D946)&amp;D946</f>
        <v>0</v>
      </c>
      <c r="B786" t="str">
        <f>COUNTIF($E$2:E946,E946)&amp;E946</f>
        <v>0</v>
      </c>
    </row>
    <row r="787" spans="1:2" x14ac:dyDescent="0.25">
      <c r="A787" t="str">
        <f>COUNTIF($D$2:D947,D947)&amp;D947</f>
        <v>0</v>
      </c>
      <c r="B787" t="str">
        <f>COUNTIF($E$2:E947,E947)&amp;E947</f>
        <v>0</v>
      </c>
    </row>
    <row r="788" spans="1:2" x14ac:dyDescent="0.25">
      <c r="A788" t="str">
        <f>COUNTIF($D$2:D948,D948)&amp;D948</f>
        <v>0</v>
      </c>
      <c r="B788" t="str">
        <f>COUNTIF($E$2:E948,E948)&amp;E948</f>
        <v>0</v>
      </c>
    </row>
    <row r="789" spans="1:2" x14ac:dyDescent="0.25">
      <c r="A789" t="str">
        <f>COUNTIF($D$2:D949,D949)&amp;D949</f>
        <v>0</v>
      </c>
      <c r="B789" t="str">
        <f>COUNTIF($E$2:E949,E949)&amp;E949</f>
        <v>0</v>
      </c>
    </row>
    <row r="790" spans="1:2" x14ac:dyDescent="0.25">
      <c r="A790" t="str">
        <f>COUNTIF($D$2:D950,D950)&amp;D950</f>
        <v>0</v>
      </c>
      <c r="B790" t="str">
        <f>COUNTIF($E$2:E950,E950)&amp;E950</f>
        <v>0</v>
      </c>
    </row>
    <row r="791" spans="1:2" x14ac:dyDescent="0.25">
      <c r="A791" t="str">
        <f>COUNTIF($D$2:D951,D951)&amp;D951</f>
        <v>0</v>
      </c>
      <c r="B791" t="str">
        <f>COUNTIF($E$2:E951,E951)&amp;E951</f>
        <v>0</v>
      </c>
    </row>
    <row r="792" spans="1:2" x14ac:dyDescent="0.25">
      <c r="A792" t="str">
        <f>COUNTIF($D$2:D952,D952)&amp;D952</f>
        <v>0</v>
      </c>
      <c r="B792" t="str">
        <f>COUNTIF($E$2:E952,E952)&amp;E952</f>
        <v>0</v>
      </c>
    </row>
    <row r="793" spans="1:2" x14ac:dyDescent="0.25">
      <c r="A793" t="str">
        <f>COUNTIF($D$2:D953,D953)&amp;D953</f>
        <v>0</v>
      </c>
      <c r="B793" t="str">
        <f>COUNTIF($E$2:E953,E953)&amp;E953</f>
        <v>0</v>
      </c>
    </row>
    <row r="794" spans="1:2" x14ac:dyDescent="0.25">
      <c r="A794" t="str">
        <f>COUNTIF($D$2:D954,D954)&amp;D954</f>
        <v>0</v>
      </c>
      <c r="B794" t="str">
        <f>COUNTIF($E$2:E954,E954)&amp;E954</f>
        <v>0</v>
      </c>
    </row>
    <row r="795" spans="1:2" x14ac:dyDescent="0.25">
      <c r="A795" t="str">
        <f>COUNTIF($D$2:D955,D955)&amp;D955</f>
        <v>0</v>
      </c>
      <c r="B795" t="str">
        <f>COUNTIF($E$2:E955,E955)&amp;E955</f>
        <v>0</v>
      </c>
    </row>
    <row r="796" spans="1:2" x14ac:dyDescent="0.25">
      <c r="A796" t="str">
        <f>COUNTIF($D$2:D956,D956)&amp;D956</f>
        <v>0</v>
      </c>
      <c r="B796" t="str">
        <f>COUNTIF($E$2:E956,E956)&amp;E956</f>
        <v>0</v>
      </c>
    </row>
    <row r="797" spans="1:2" x14ac:dyDescent="0.25">
      <c r="A797" t="str">
        <f>COUNTIF($D$2:D957,D957)&amp;D957</f>
        <v>0</v>
      </c>
      <c r="B797" t="str">
        <f>COUNTIF($E$2:E957,E957)&amp;E957</f>
        <v>0</v>
      </c>
    </row>
    <row r="798" spans="1:2" x14ac:dyDescent="0.25">
      <c r="A798" t="str">
        <f>COUNTIF($D$2:D958,D958)&amp;D958</f>
        <v>0</v>
      </c>
      <c r="B798" t="str">
        <f>COUNTIF($E$2:E958,E958)&amp;E958</f>
        <v>0</v>
      </c>
    </row>
    <row r="799" spans="1:2" x14ac:dyDescent="0.25">
      <c r="A799" t="str">
        <f>COUNTIF($D$2:D959,D959)&amp;D959</f>
        <v>0</v>
      </c>
      <c r="B799" t="str">
        <f>COUNTIF($E$2:E959,E959)&amp;E959</f>
        <v>0</v>
      </c>
    </row>
    <row r="800" spans="1:2" x14ac:dyDescent="0.25">
      <c r="A800" t="str">
        <f>COUNTIF($D$2:D960,D960)&amp;D960</f>
        <v>0</v>
      </c>
      <c r="B800" t="str">
        <f>COUNTIF($E$2:E960,E960)&amp;E960</f>
        <v>0</v>
      </c>
    </row>
    <row r="801" spans="1:2" x14ac:dyDescent="0.25">
      <c r="A801" t="str">
        <f>COUNTIF($D$2:D961,D961)&amp;D961</f>
        <v>0</v>
      </c>
      <c r="B801" t="str">
        <f>COUNTIF($E$2:E961,E961)&amp;E961</f>
        <v>0</v>
      </c>
    </row>
    <row r="802" spans="1:2" x14ac:dyDescent="0.25">
      <c r="A802" t="str">
        <f>COUNTIF($D$2:D962,D962)&amp;D962</f>
        <v>0</v>
      </c>
      <c r="B802" t="str">
        <f>COUNTIF($E$2:E962,E962)&amp;E962</f>
        <v>0</v>
      </c>
    </row>
    <row r="803" spans="1:2" x14ac:dyDescent="0.25">
      <c r="A803" t="str">
        <f>COUNTIF($D$2:D963,D963)&amp;D963</f>
        <v>0</v>
      </c>
      <c r="B803" t="str">
        <f>COUNTIF($E$2:E963,E963)&amp;E963</f>
        <v>0</v>
      </c>
    </row>
    <row r="804" spans="1:2" x14ac:dyDescent="0.25">
      <c r="A804" t="str">
        <f>COUNTIF($D$2:D964,D964)&amp;D964</f>
        <v>0</v>
      </c>
      <c r="B804" t="str">
        <f>COUNTIF($E$2:E964,E964)&amp;E964</f>
        <v>0</v>
      </c>
    </row>
    <row r="805" spans="1:2" x14ac:dyDescent="0.25">
      <c r="A805" t="str">
        <f>COUNTIF($D$2:D965,D965)&amp;D965</f>
        <v>0</v>
      </c>
      <c r="B805" t="str">
        <f>COUNTIF($E$2:E965,E965)&amp;E965</f>
        <v>0</v>
      </c>
    </row>
    <row r="806" spans="1:2" x14ac:dyDescent="0.25">
      <c r="A806" t="str">
        <f>COUNTIF($D$2:D966,D966)&amp;D966</f>
        <v>0</v>
      </c>
      <c r="B806" t="str">
        <f>COUNTIF($E$2:E966,E966)&amp;E966</f>
        <v>0</v>
      </c>
    </row>
    <row r="807" spans="1:2" x14ac:dyDescent="0.25">
      <c r="A807" t="str">
        <f>COUNTIF($D$2:D967,D967)&amp;D967</f>
        <v>0</v>
      </c>
      <c r="B807" t="str">
        <f>COUNTIF($E$2:E967,E967)&amp;E967</f>
        <v>0</v>
      </c>
    </row>
    <row r="808" spans="1:2" x14ac:dyDescent="0.25">
      <c r="A808" t="str">
        <f>COUNTIF($D$2:D968,D968)&amp;D968</f>
        <v>0</v>
      </c>
      <c r="B808" t="str">
        <f>COUNTIF($E$2:E968,E968)&amp;E968</f>
        <v>0</v>
      </c>
    </row>
    <row r="809" spans="1:2" x14ac:dyDescent="0.25">
      <c r="A809" t="str">
        <f>COUNTIF($D$2:D969,D969)&amp;D969</f>
        <v>0</v>
      </c>
      <c r="B809" t="str">
        <f>COUNTIF($E$2:E969,E969)&amp;E969</f>
        <v>0</v>
      </c>
    </row>
    <row r="810" spans="1:2" x14ac:dyDescent="0.25">
      <c r="A810" t="str">
        <f>COUNTIF($D$2:D970,D970)&amp;D970</f>
        <v>0</v>
      </c>
      <c r="B810" t="str">
        <f>COUNTIF($E$2:E970,E970)&amp;E970</f>
        <v>0</v>
      </c>
    </row>
    <row r="811" spans="1:2" x14ac:dyDescent="0.25">
      <c r="A811" t="str">
        <f>COUNTIF($D$2:D971,D971)&amp;D971</f>
        <v>0</v>
      </c>
      <c r="B811" t="str">
        <f>COUNTIF($E$2:E971,E971)&amp;E971</f>
        <v>0</v>
      </c>
    </row>
    <row r="812" spans="1:2" x14ac:dyDescent="0.25">
      <c r="A812" t="str">
        <f>COUNTIF($D$2:D972,D972)&amp;D972</f>
        <v>0</v>
      </c>
      <c r="B812" t="str">
        <f>COUNTIF($E$2:E972,E972)&amp;E972</f>
        <v>0</v>
      </c>
    </row>
    <row r="813" spans="1:2" x14ac:dyDescent="0.25">
      <c r="A813" t="str">
        <f>COUNTIF($D$2:D973,D973)&amp;D973</f>
        <v>0</v>
      </c>
      <c r="B813" t="str">
        <f>COUNTIF($E$2:E973,E973)&amp;E973</f>
        <v>0</v>
      </c>
    </row>
    <row r="814" spans="1:2" x14ac:dyDescent="0.25">
      <c r="A814" t="str">
        <f>COUNTIF($D$2:D974,D974)&amp;D974</f>
        <v>0</v>
      </c>
      <c r="B814" t="str">
        <f>COUNTIF($E$2:E974,E974)&amp;E974</f>
        <v>0</v>
      </c>
    </row>
    <row r="815" spans="1:2" x14ac:dyDescent="0.25">
      <c r="A815" t="str">
        <f>COUNTIF($D$2:D975,D975)&amp;D975</f>
        <v>0</v>
      </c>
      <c r="B815" t="str">
        <f>COUNTIF($E$2:E975,E975)&amp;E975</f>
        <v>0</v>
      </c>
    </row>
    <row r="816" spans="1:2" x14ac:dyDescent="0.25">
      <c r="A816" t="str">
        <f>COUNTIF($D$2:D976,D976)&amp;D976</f>
        <v>0</v>
      </c>
      <c r="B816" t="str">
        <f>COUNTIF($E$2:E976,E976)&amp;E976</f>
        <v>0</v>
      </c>
    </row>
    <row r="817" spans="1:2" x14ac:dyDescent="0.25">
      <c r="A817" t="str">
        <f>COUNTIF($D$2:D977,D977)&amp;D977</f>
        <v>0</v>
      </c>
      <c r="B817" t="str">
        <f>COUNTIF($E$2:E977,E977)&amp;E977</f>
        <v>0</v>
      </c>
    </row>
    <row r="818" spans="1:2" x14ac:dyDescent="0.25">
      <c r="A818" t="str">
        <f>COUNTIF($D$2:D978,D978)&amp;D978</f>
        <v>0</v>
      </c>
      <c r="B818" t="str">
        <f>COUNTIF($E$2:E978,E978)&amp;E978</f>
        <v>0</v>
      </c>
    </row>
    <row r="819" spans="1:2" x14ac:dyDescent="0.25">
      <c r="A819" t="str">
        <f>COUNTIF($D$2:D979,D979)&amp;D979</f>
        <v>0</v>
      </c>
      <c r="B819" t="str">
        <f>COUNTIF($E$2:E979,E979)&amp;E979</f>
        <v>0</v>
      </c>
    </row>
    <row r="820" spans="1:2" x14ac:dyDescent="0.25">
      <c r="A820" t="str">
        <f>COUNTIF($D$2:D980,D980)&amp;D980</f>
        <v>0</v>
      </c>
      <c r="B820" t="str">
        <f>COUNTIF($E$2:E980,E980)&amp;E980</f>
        <v>0</v>
      </c>
    </row>
    <row r="821" spans="1:2" x14ac:dyDescent="0.25">
      <c r="A821" t="str">
        <f>COUNTIF($D$2:D981,D981)&amp;D981</f>
        <v>0</v>
      </c>
      <c r="B821" t="str">
        <f>COUNTIF($E$2:E981,E981)&amp;E981</f>
        <v>0</v>
      </c>
    </row>
    <row r="822" spans="1:2" x14ac:dyDescent="0.25">
      <c r="A822" t="str">
        <f>COUNTIF($D$2:D982,D982)&amp;D982</f>
        <v>0</v>
      </c>
      <c r="B822" t="str">
        <f>COUNTIF($E$2:E982,E982)&amp;E982</f>
        <v>0</v>
      </c>
    </row>
    <row r="823" spans="1:2" x14ac:dyDescent="0.25">
      <c r="A823" t="str">
        <f>COUNTIF($D$2:D983,D983)&amp;D983</f>
        <v>0</v>
      </c>
      <c r="B823" t="str">
        <f>COUNTIF($E$2:E983,E983)&amp;E983</f>
        <v>0</v>
      </c>
    </row>
    <row r="824" spans="1:2" x14ac:dyDescent="0.25">
      <c r="A824" t="str">
        <f>COUNTIF($D$2:D984,D984)&amp;D984</f>
        <v>0</v>
      </c>
      <c r="B824" t="str">
        <f>COUNTIF($E$2:E984,E984)&amp;E984</f>
        <v>0</v>
      </c>
    </row>
    <row r="825" spans="1:2" x14ac:dyDescent="0.25">
      <c r="A825" t="str">
        <f>COUNTIF($D$2:D985,D985)&amp;D985</f>
        <v>0</v>
      </c>
      <c r="B825" t="str">
        <f>COUNTIF($E$2:E985,E985)&amp;E985</f>
        <v>0</v>
      </c>
    </row>
    <row r="826" spans="1:2" x14ac:dyDescent="0.25">
      <c r="A826" t="str">
        <f>COUNTIF($D$2:D986,D986)&amp;D986</f>
        <v>0</v>
      </c>
      <c r="B826" t="str">
        <f>COUNTIF($E$2:E986,E986)&amp;E986</f>
        <v>0</v>
      </c>
    </row>
    <row r="827" spans="1:2" x14ac:dyDescent="0.25">
      <c r="A827" t="str">
        <f>COUNTIF($D$2:D987,D987)&amp;D987</f>
        <v>0</v>
      </c>
      <c r="B827" t="str">
        <f>COUNTIF($E$2:E987,E987)&amp;E987</f>
        <v>0</v>
      </c>
    </row>
    <row r="828" spans="1:2" x14ac:dyDescent="0.25">
      <c r="A828" t="str">
        <f>COUNTIF($D$2:D988,D988)&amp;D988</f>
        <v>0</v>
      </c>
      <c r="B828" t="str">
        <f>COUNTIF($E$2:E988,E988)&amp;E988</f>
        <v>0</v>
      </c>
    </row>
    <row r="829" spans="1:2" x14ac:dyDescent="0.25">
      <c r="A829" t="str">
        <f>COUNTIF($D$2:D989,D989)&amp;D989</f>
        <v>0</v>
      </c>
      <c r="B829" t="str">
        <f>COUNTIF($E$2:E989,E989)&amp;E989</f>
        <v>0</v>
      </c>
    </row>
    <row r="830" spans="1:2" x14ac:dyDescent="0.25">
      <c r="A830" t="str">
        <f>COUNTIF($D$2:D990,D990)&amp;D990</f>
        <v>0</v>
      </c>
      <c r="B830" t="str">
        <f>COUNTIF($E$2:E990,E990)&amp;E990</f>
        <v>0</v>
      </c>
    </row>
    <row r="831" spans="1:2" x14ac:dyDescent="0.25">
      <c r="A831" t="str">
        <f>COUNTIF($D$2:D991,D991)&amp;D991</f>
        <v>0</v>
      </c>
      <c r="B831" t="str">
        <f>COUNTIF($E$2:E991,E991)&amp;E991</f>
        <v>0</v>
      </c>
    </row>
    <row r="832" spans="1:2" x14ac:dyDescent="0.25">
      <c r="A832" t="str">
        <f>COUNTIF($D$2:D992,D992)&amp;D992</f>
        <v>0</v>
      </c>
      <c r="B832" t="str">
        <f>COUNTIF($E$2:E992,E992)&amp;E992</f>
        <v>0</v>
      </c>
    </row>
    <row r="833" spans="1:2" x14ac:dyDescent="0.25">
      <c r="A833" t="str">
        <f>COUNTIF($D$2:D993,D993)&amp;D993</f>
        <v>0</v>
      </c>
      <c r="B833" t="str">
        <f>COUNTIF($E$2:E993,E993)&amp;E993</f>
        <v>0</v>
      </c>
    </row>
    <row r="834" spans="1:2" x14ac:dyDescent="0.25">
      <c r="A834" t="str">
        <f>COUNTIF($D$2:D994,D994)&amp;D994</f>
        <v>0</v>
      </c>
      <c r="B834" t="str">
        <f>COUNTIF($E$2:E994,E994)&amp;E994</f>
        <v>0</v>
      </c>
    </row>
    <row r="835" spans="1:2" x14ac:dyDescent="0.25">
      <c r="A835" t="str">
        <f>COUNTIF($D$2:D995,D995)&amp;D995</f>
        <v>0</v>
      </c>
      <c r="B835" t="str">
        <f>COUNTIF($E$2:E995,E995)&amp;E995</f>
        <v>0</v>
      </c>
    </row>
    <row r="836" spans="1:2" x14ac:dyDescent="0.25">
      <c r="A836" t="str">
        <f>COUNTIF($D$2:D996,D996)&amp;D996</f>
        <v>0</v>
      </c>
      <c r="B836" t="str">
        <f>COUNTIF($E$2:E996,E996)&amp;E996</f>
        <v>0</v>
      </c>
    </row>
    <row r="837" spans="1:2" x14ac:dyDescent="0.25">
      <c r="A837" t="str">
        <f>COUNTIF($D$2:D997,D997)&amp;D997</f>
        <v>0</v>
      </c>
      <c r="B837" t="str">
        <f>COUNTIF($E$2:E997,E997)&amp;E997</f>
        <v>0</v>
      </c>
    </row>
    <row r="838" spans="1:2" x14ac:dyDescent="0.25">
      <c r="A838" t="str">
        <f>COUNTIF($D$2:D998,D998)&amp;D998</f>
        <v>0</v>
      </c>
      <c r="B838" t="str">
        <f>COUNTIF($E$2:E998,E998)&amp;E998</f>
        <v>0</v>
      </c>
    </row>
    <row r="839" spans="1:2" x14ac:dyDescent="0.25">
      <c r="A839" t="str">
        <f>COUNTIF($D$2:D999,D999)&amp;D999</f>
        <v>0</v>
      </c>
      <c r="B839" t="str">
        <f>COUNTIF($E$2:E999,E999)&amp;E999</f>
        <v>0</v>
      </c>
    </row>
    <row r="840" spans="1:2" x14ac:dyDescent="0.25">
      <c r="A840" t="str">
        <f>COUNTIF($D$2:D1000,D1000)&amp;D1000</f>
        <v>0</v>
      </c>
      <c r="B840" t="str">
        <f>COUNTIF($E$2:E1000,E1000)&amp;E1000</f>
        <v>0</v>
      </c>
    </row>
    <row r="841" spans="1:2" x14ac:dyDescent="0.25">
      <c r="A841" t="str">
        <f>COUNTIF($D$2:D1001,D1001)&amp;D1001</f>
        <v>0</v>
      </c>
      <c r="B841" t="str">
        <f>COUNTIF($E$2:E1001,E1001)&amp;E1001</f>
        <v>0</v>
      </c>
    </row>
    <row r="842" spans="1:2" x14ac:dyDescent="0.25">
      <c r="A842" t="str">
        <f>COUNTIF($D$2:D1002,D1002)&amp;D1002</f>
        <v>0</v>
      </c>
      <c r="B842" t="str">
        <f>COUNTIF($E$2:E1002,E1002)&amp;E1002</f>
        <v>0</v>
      </c>
    </row>
    <row r="843" spans="1:2" x14ac:dyDescent="0.25">
      <c r="A843" t="str">
        <f>COUNTIF($D$2:D1003,D1003)&amp;D1003</f>
        <v>0</v>
      </c>
      <c r="B843" t="str">
        <f>COUNTIF($E$2:E1003,E1003)&amp;E1003</f>
        <v>0</v>
      </c>
    </row>
    <row r="844" spans="1:2" x14ac:dyDescent="0.25">
      <c r="A844" t="str">
        <f>COUNTIF($D$2:D1004,D1004)&amp;D1004</f>
        <v>0</v>
      </c>
      <c r="B844" t="str">
        <f>COUNTIF($E$2:E1004,E1004)&amp;E1004</f>
        <v>0</v>
      </c>
    </row>
    <row r="845" spans="1:2" x14ac:dyDescent="0.25">
      <c r="A845" t="str">
        <f>COUNTIF($D$2:D1005,D1005)&amp;D1005</f>
        <v>0</v>
      </c>
      <c r="B845" t="str">
        <f>COUNTIF($E$2:E1005,E1005)&amp;E1005</f>
        <v>0</v>
      </c>
    </row>
    <row r="846" spans="1:2" x14ac:dyDescent="0.25">
      <c r="A846" t="str">
        <f>COUNTIF($D$2:D1006,D1006)&amp;D1006</f>
        <v>0</v>
      </c>
      <c r="B846" t="str">
        <f>COUNTIF($E$2:E1006,E1006)&amp;E1006</f>
        <v>0</v>
      </c>
    </row>
    <row r="847" spans="1:2" x14ac:dyDescent="0.25">
      <c r="A847" t="str">
        <f>COUNTIF($D$2:D1007,D1007)&amp;D1007</f>
        <v>0</v>
      </c>
      <c r="B847" t="str">
        <f>COUNTIF($E$2:E1007,E1007)&amp;E1007</f>
        <v>0</v>
      </c>
    </row>
    <row r="848" spans="1:2" x14ac:dyDescent="0.25">
      <c r="A848" t="str">
        <f>COUNTIF($D$2:D1008,D1008)&amp;D1008</f>
        <v>0</v>
      </c>
      <c r="B848" t="str">
        <f>COUNTIF($E$2:E1008,E1008)&amp;E1008</f>
        <v>0</v>
      </c>
    </row>
    <row r="849" spans="1:2" x14ac:dyDescent="0.25">
      <c r="A849" t="str">
        <f>COUNTIF($D$2:D1009,D1009)&amp;D1009</f>
        <v>0</v>
      </c>
      <c r="B849" t="str">
        <f>COUNTIF($E$2:E1009,E1009)&amp;E1009</f>
        <v>0</v>
      </c>
    </row>
    <row r="850" spans="1:2" x14ac:dyDescent="0.25">
      <c r="A850" t="str">
        <f>COUNTIF($D$2:D1010,D1010)&amp;D1010</f>
        <v>0</v>
      </c>
      <c r="B850" t="str">
        <f>COUNTIF($E$2:E1010,E1010)&amp;E1010</f>
        <v>0</v>
      </c>
    </row>
    <row r="851" spans="1:2" x14ac:dyDescent="0.25">
      <c r="A851" t="str">
        <f>COUNTIF($D$2:D1011,D1011)&amp;D1011</f>
        <v>0</v>
      </c>
      <c r="B851" t="str">
        <f>COUNTIF($E$2:E1011,E1011)&amp;E1011</f>
        <v>0</v>
      </c>
    </row>
    <row r="852" spans="1:2" x14ac:dyDescent="0.25">
      <c r="A852" t="str">
        <f>COUNTIF($D$2:D1012,D1012)&amp;D1012</f>
        <v>0</v>
      </c>
      <c r="B852" t="str">
        <f>COUNTIF($E$2:E1012,E1012)&amp;E1012</f>
        <v>0</v>
      </c>
    </row>
    <row r="853" spans="1:2" x14ac:dyDescent="0.25">
      <c r="A853" t="str">
        <f>COUNTIF($D$2:D1013,D1013)&amp;D1013</f>
        <v>0</v>
      </c>
      <c r="B853" t="str">
        <f>COUNTIF($E$2:E1013,E1013)&amp;E1013</f>
        <v>0</v>
      </c>
    </row>
    <row r="854" spans="1:2" x14ac:dyDescent="0.25">
      <c r="A854" t="str">
        <f>COUNTIF($D$2:D1014,D1014)&amp;D1014</f>
        <v>0</v>
      </c>
      <c r="B854" t="str">
        <f>COUNTIF($E$2:E1014,E1014)&amp;E1014</f>
        <v>0</v>
      </c>
    </row>
    <row r="855" spans="1:2" x14ac:dyDescent="0.25">
      <c r="A855" t="str">
        <f>COUNTIF($D$2:D1015,D1015)&amp;D1015</f>
        <v>0</v>
      </c>
      <c r="B855" t="str">
        <f>COUNTIF($E$2:E1015,E1015)&amp;E1015</f>
        <v>0</v>
      </c>
    </row>
    <row r="856" spans="1:2" x14ac:dyDescent="0.25">
      <c r="A856" t="str">
        <f>COUNTIF($D$2:D1016,D1016)&amp;D1016</f>
        <v>0</v>
      </c>
      <c r="B856" t="str">
        <f>COUNTIF($E$2:E1016,E1016)&amp;E1016</f>
        <v>0</v>
      </c>
    </row>
    <row r="857" spans="1:2" x14ac:dyDescent="0.25">
      <c r="A857" t="str">
        <f>COUNTIF($D$2:D1017,D1017)&amp;D1017</f>
        <v>0</v>
      </c>
      <c r="B857" t="str">
        <f>COUNTIF($E$2:E1017,E1017)&amp;E1017</f>
        <v>0</v>
      </c>
    </row>
    <row r="858" spans="1:2" x14ac:dyDescent="0.25">
      <c r="A858" t="str">
        <f>COUNTIF($D$2:D1018,D1018)&amp;D1018</f>
        <v>0</v>
      </c>
      <c r="B858" t="str">
        <f>COUNTIF($E$2:E1018,E1018)&amp;E1018</f>
        <v>0</v>
      </c>
    </row>
    <row r="859" spans="1:2" x14ac:dyDescent="0.25">
      <c r="A859" t="str">
        <f>COUNTIF($D$2:D1019,D1019)&amp;D1019</f>
        <v>0</v>
      </c>
      <c r="B859" t="str">
        <f>COUNTIF($E$2:E1019,E1019)&amp;E1019</f>
        <v>0</v>
      </c>
    </row>
    <row r="860" spans="1:2" x14ac:dyDescent="0.25">
      <c r="A860" t="str">
        <f>COUNTIF($D$2:D1020,D1020)&amp;D1020</f>
        <v>0</v>
      </c>
      <c r="B860" t="str">
        <f>COUNTIF($E$2:E1020,E1020)&amp;E1020</f>
        <v>0</v>
      </c>
    </row>
    <row r="861" spans="1:2" x14ac:dyDescent="0.25">
      <c r="A861" t="str">
        <f>COUNTIF($D$2:D1021,D1021)&amp;D1021</f>
        <v>0</v>
      </c>
      <c r="B861" t="str">
        <f>COUNTIF($E$2:E1021,E1021)&amp;E1021</f>
        <v>0</v>
      </c>
    </row>
    <row r="862" spans="1:2" x14ac:dyDescent="0.25">
      <c r="A862" t="str">
        <f>COUNTIF($D$2:D1022,D1022)&amp;D1022</f>
        <v>0</v>
      </c>
      <c r="B862" t="str">
        <f>COUNTIF($E$2:E1022,E1022)&amp;E1022</f>
        <v>0</v>
      </c>
    </row>
    <row r="863" spans="1:2" x14ac:dyDescent="0.25">
      <c r="A863" t="str">
        <f>COUNTIF($D$2:D1023,D1023)&amp;D1023</f>
        <v>0</v>
      </c>
      <c r="B863" t="str">
        <f>COUNTIF($E$2:E1023,E1023)&amp;E1023</f>
        <v>0</v>
      </c>
    </row>
    <row r="864" spans="1:2" x14ac:dyDescent="0.25">
      <c r="A864" t="str">
        <f>COUNTIF($D$2:D1024,D1024)&amp;D1024</f>
        <v>0</v>
      </c>
      <c r="B864" t="str">
        <f>COUNTIF($E$2:E1024,E1024)&amp;E1024</f>
        <v>0</v>
      </c>
    </row>
    <row r="865" spans="1:2" x14ac:dyDescent="0.25">
      <c r="A865" t="str">
        <f>COUNTIF($D$2:D1025,D1025)&amp;D1025</f>
        <v>0</v>
      </c>
      <c r="B865" t="str">
        <f>COUNTIF($E$2:E1025,E1025)&amp;E1025</f>
        <v>0</v>
      </c>
    </row>
    <row r="866" spans="1:2" x14ac:dyDescent="0.25">
      <c r="A866" t="str">
        <f>COUNTIF($D$2:D1026,D1026)&amp;D1026</f>
        <v>0</v>
      </c>
      <c r="B866" t="str">
        <f>COUNTIF($E$2:E1026,E1026)&amp;E1026</f>
        <v>0</v>
      </c>
    </row>
    <row r="867" spans="1:2" x14ac:dyDescent="0.25">
      <c r="A867" t="str">
        <f>COUNTIF($D$2:D1027,D1027)&amp;D1027</f>
        <v>0</v>
      </c>
      <c r="B867" t="str">
        <f>COUNTIF($E$2:E1027,E1027)&amp;E1027</f>
        <v>0</v>
      </c>
    </row>
    <row r="868" spans="1:2" x14ac:dyDescent="0.25">
      <c r="A868" t="str">
        <f>COUNTIF($D$2:D1028,D1028)&amp;D1028</f>
        <v>0</v>
      </c>
      <c r="B868" t="str">
        <f>COUNTIF($E$2:E1028,E1028)&amp;E1028</f>
        <v>0</v>
      </c>
    </row>
    <row r="869" spans="1:2" x14ac:dyDescent="0.25">
      <c r="A869" t="str">
        <f>COUNTIF($D$2:D1029,D1029)&amp;D1029</f>
        <v>0</v>
      </c>
      <c r="B869" t="str">
        <f>COUNTIF($E$2:E1029,E1029)&amp;E1029</f>
        <v>0</v>
      </c>
    </row>
    <row r="870" spans="1:2" x14ac:dyDescent="0.25">
      <c r="A870" t="str">
        <f>COUNTIF($D$2:D1030,D1030)&amp;D1030</f>
        <v>0</v>
      </c>
      <c r="B870" t="str">
        <f>COUNTIF($E$2:E1030,E1030)&amp;E1030</f>
        <v>0</v>
      </c>
    </row>
    <row r="871" spans="1:2" x14ac:dyDescent="0.25">
      <c r="A871" t="str">
        <f>COUNTIF($D$2:D1031,D1031)&amp;D1031</f>
        <v>0</v>
      </c>
      <c r="B871" t="str">
        <f>COUNTIF($E$2:E1031,E1031)&amp;E1031</f>
        <v>0</v>
      </c>
    </row>
    <row r="872" spans="1:2" x14ac:dyDescent="0.25">
      <c r="A872" t="str">
        <f>COUNTIF($D$2:D1032,D1032)&amp;D1032</f>
        <v>0</v>
      </c>
      <c r="B872" t="str">
        <f>COUNTIF($E$2:E1032,E1032)&amp;E1032</f>
        <v>0</v>
      </c>
    </row>
    <row r="873" spans="1:2" x14ac:dyDescent="0.25">
      <c r="A873" t="str">
        <f>COUNTIF($D$2:D1033,D1033)&amp;D1033</f>
        <v>0</v>
      </c>
      <c r="B873" t="str">
        <f>COUNTIF($E$2:E1033,E1033)&amp;E1033</f>
        <v>0</v>
      </c>
    </row>
    <row r="874" spans="1:2" x14ac:dyDescent="0.25">
      <c r="A874" t="str">
        <f>COUNTIF($D$2:D1034,D1034)&amp;D1034</f>
        <v>0</v>
      </c>
      <c r="B874" t="str">
        <f>COUNTIF($E$2:E1034,E1034)&amp;E1034</f>
        <v>0</v>
      </c>
    </row>
    <row r="875" spans="1:2" x14ac:dyDescent="0.25">
      <c r="A875" t="str">
        <f>COUNTIF($D$2:D1035,D1035)&amp;D1035</f>
        <v>0</v>
      </c>
      <c r="B875" t="str">
        <f>COUNTIF($E$2:E1035,E1035)&amp;E1035</f>
        <v>0</v>
      </c>
    </row>
    <row r="876" spans="1:2" x14ac:dyDescent="0.25">
      <c r="A876" t="str">
        <f>COUNTIF($D$2:D1036,D1036)&amp;D1036</f>
        <v>0</v>
      </c>
      <c r="B876" t="str">
        <f>COUNTIF($E$2:E1036,E1036)&amp;E1036</f>
        <v>0</v>
      </c>
    </row>
    <row r="877" spans="1:2" x14ac:dyDescent="0.25">
      <c r="A877" t="str">
        <f>COUNTIF($D$2:D1037,D1037)&amp;D1037</f>
        <v>0</v>
      </c>
      <c r="B877" t="str">
        <f>COUNTIF($E$2:E1037,E1037)&amp;E1037</f>
        <v>0</v>
      </c>
    </row>
    <row r="878" spans="1:2" x14ac:dyDescent="0.25">
      <c r="A878" t="str">
        <f>COUNTIF($D$2:D1038,D1038)&amp;D1038</f>
        <v>0</v>
      </c>
      <c r="B878" t="str">
        <f>COUNTIF($E$2:E1038,E1038)&amp;E1038</f>
        <v>0</v>
      </c>
    </row>
    <row r="879" spans="1:2" x14ac:dyDescent="0.25">
      <c r="A879" t="str">
        <f>COUNTIF($D$2:D1039,D1039)&amp;D1039</f>
        <v>0</v>
      </c>
      <c r="B879" t="str">
        <f>COUNTIF($E$2:E1039,E1039)&amp;E1039</f>
        <v>0</v>
      </c>
    </row>
    <row r="880" spans="1:2" x14ac:dyDescent="0.25">
      <c r="A880" t="str">
        <f>COUNTIF($D$2:D1040,D1040)&amp;D1040</f>
        <v>0</v>
      </c>
      <c r="B880" t="str">
        <f>COUNTIF($E$2:E1040,E1040)&amp;E1040</f>
        <v>0</v>
      </c>
    </row>
    <row r="881" spans="1:2" x14ac:dyDescent="0.25">
      <c r="A881" t="str">
        <f>COUNTIF($D$2:D1041,D1041)&amp;D1041</f>
        <v>0</v>
      </c>
      <c r="B881" t="str">
        <f>COUNTIF($E$2:E1041,E1041)&amp;E1041</f>
        <v>0</v>
      </c>
    </row>
    <row r="882" spans="1:2" x14ac:dyDescent="0.25">
      <c r="A882" t="str">
        <f>COUNTIF($D$2:D1042,D1042)&amp;D1042</f>
        <v>0</v>
      </c>
      <c r="B882" t="str">
        <f>COUNTIF($E$2:E1042,E1042)&amp;E1042</f>
        <v>0</v>
      </c>
    </row>
    <row r="883" spans="1:2" x14ac:dyDescent="0.25">
      <c r="A883" t="str">
        <f>COUNTIF($D$2:D1043,D1043)&amp;D1043</f>
        <v>0</v>
      </c>
      <c r="B883" t="str">
        <f>COUNTIF($E$2:E1043,E1043)&amp;E1043</f>
        <v>0</v>
      </c>
    </row>
    <row r="884" spans="1:2" x14ac:dyDescent="0.25">
      <c r="A884" t="str">
        <f>COUNTIF($D$2:D1044,D1044)&amp;D1044</f>
        <v>0</v>
      </c>
      <c r="B884" t="str">
        <f>COUNTIF($E$2:E1044,E1044)&amp;E1044</f>
        <v>0</v>
      </c>
    </row>
    <row r="885" spans="1:2" x14ac:dyDescent="0.25">
      <c r="A885" t="str">
        <f>COUNTIF($D$2:D1045,D1045)&amp;D1045</f>
        <v>0</v>
      </c>
      <c r="B885" t="str">
        <f>COUNTIF($E$2:E1045,E1045)&amp;E1045</f>
        <v>0</v>
      </c>
    </row>
    <row r="886" spans="1:2" x14ac:dyDescent="0.25">
      <c r="A886" t="str">
        <f>COUNTIF($D$2:D1046,D1046)&amp;D1046</f>
        <v>0</v>
      </c>
      <c r="B886" t="str">
        <f>COUNTIF($E$2:E1046,E1046)&amp;E1046</f>
        <v>0</v>
      </c>
    </row>
    <row r="887" spans="1:2" x14ac:dyDescent="0.25">
      <c r="A887" t="str">
        <f>COUNTIF($D$2:D1047,D1047)&amp;D1047</f>
        <v>0</v>
      </c>
      <c r="B887" t="str">
        <f>COUNTIF($E$2:E1047,E1047)&amp;E1047</f>
        <v>0</v>
      </c>
    </row>
    <row r="888" spans="1:2" x14ac:dyDescent="0.25">
      <c r="A888" t="str">
        <f>COUNTIF($D$2:D1048,D1048)&amp;D1048</f>
        <v>0</v>
      </c>
      <c r="B888" t="str">
        <f>COUNTIF($E$2:E1048,E1048)&amp;E1048</f>
        <v>0</v>
      </c>
    </row>
    <row r="889" spans="1:2" x14ac:dyDescent="0.25">
      <c r="A889" t="str">
        <f>COUNTIF($D$2:D1049,D1049)&amp;D1049</f>
        <v>0</v>
      </c>
      <c r="B889" t="str">
        <f>COUNTIF($E$2:E1049,E1049)&amp;E1049</f>
        <v>0</v>
      </c>
    </row>
    <row r="890" spans="1:2" x14ac:dyDescent="0.25">
      <c r="A890" t="str">
        <f>COUNTIF($D$2:D1050,D1050)&amp;D1050</f>
        <v>0</v>
      </c>
      <c r="B890" t="str">
        <f>COUNTIF($E$2:E1050,E1050)&amp;E1050</f>
        <v>0</v>
      </c>
    </row>
    <row r="891" spans="1:2" x14ac:dyDescent="0.25">
      <c r="A891" t="str">
        <f>COUNTIF($D$2:D1051,D1051)&amp;D1051</f>
        <v>0</v>
      </c>
      <c r="B891" t="str">
        <f>COUNTIF($E$2:E1051,E1051)&amp;E1051</f>
        <v>0</v>
      </c>
    </row>
    <row r="892" spans="1:2" x14ac:dyDescent="0.25">
      <c r="A892" t="str">
        <f>COUNTIF($D$2:D1052,D1052)&amp;D1052</f>
        <v>0</v>
      </c>
      <c r="B892" t="str">
        <f>COUNTIF($E$2:E1052,E1052)&amp;E1052</f>
        <v>0</v>
      </c>
    </row>
    <row r="893" spans="1:2" x14ac:dyDescent="0.25">
      <c r="A893" t="str">
        <f>COUNTIF($D$2:D1053,D1053)&amp;D1053</f>
        <v>0</v>
      </c>
      <c r="B893" t="str">
        <f>COUNTIF($E$2:E1053,E1053)&amp;E1053</f>
        <v>0</v>
      </c>
    </row>
    <row r="894" spans="1:2" x14ac:dyDescent="0.25">
      <c r="A894" t="str">
        <f>COUNTIF($D$2:D1054,D1054)&amp;D1054</f>
        <v>0</v>
      </c>
      <c r="B894" t="str">
        <f>COUNTIF($E$2:E1054,E1054)&amp;E1054</f>
        <v>0</v>
      </c>
    </row>
    <row r="895" spans="1:2" x14ac:dyDescent="0.25">
      <c r="A895" t="str">
        <f>COUNTIF($D$2:D1055,D1055)&amp;D1055</f>
        <v>0</v>
      </c>
      <c r="B895" t="str">
        <f>COUNTIF($E$2:E1055,E1055)&amp;E1055</f>
        <v>0</v>
      </c>
    </row>
    <row r="896" spans="1:2" x14ac:dyDescent="0.25">
      <c r="A896" t="str">
        <f>COUNTIF($D$2:D1056,D1056)&amp;D1056</f>
        <v>0</v>
      </c>
      <c r="B896" t="str">
        <f>COUNTIF($E$2:E1056,E1056)&amp;E1056</f>
        <v>0</v>
      </c>
    </row>
    <row r="897" spans="1:2" x14ac:dyDescent="0.25">
      <c r="A897" t="str">
        <f>COUNTIF($D$2:D1057,D1057)&amp;D1057</f>
        <v>0</v>
      </c>
      <c r="B897" t="str">
        <f>COUNTIF($E$2:E1057,E1057)&amp;E1057</f>
        <v>0</v>
      </c>
    </row>
    <row r="898" spans="1:2" x14ac:dyDescent="0.25">
      <c r="A898" t="str">
        <f>COUNTIF($D$2:D1058,D1058)&amp;D1058</f>
        <v>0</v>
      </c>
      <c r="B898" t="str">
        <f>COUNTIF($E$2:E1058,E1058)&amp;E1058</f>
        <v>0</v>
      </c>
    </row>
    <row r="899" spans="1:2" x14ac:dyDescent="0.25">
      <c r="A899" t="str">
        <f>COUNTIF($D$2:D1059,D1059)&amp;D1059</f>
        <v>0</v>
      </c>
      <c r="B899" t="str">
        <f>COUNTIF($E$2:E1059,E1059)&amp;E1059</f>
        <v>0</v>
      </c>
    </row>
    <row r="900" spans="1:2" x14ac:dyDescent="0.25">
      <c r="A900" t="str">
        <f>COUNTIF($D$2:D1060,D1060)&amp;D1060</f>
        <v>0</v>
      </c>
      <c r="B900" t="str">
        <f>COUNTIF($E$2:E1060,E1060)&amp;E1060</f>
        <v>0</v>
      </c>
    </row>
    <row r="901" spans="1:2" x14ac:dyDescent="0.25">
      <c r="A901" t="str">
        <f>COUNTIF($D$2:D1061,D1061)&amp;D1061</f>
        <v>0</v>
      </c>
      <c r="B901" t="str">
        <f>COUNTIF($E$2:E1061,E1061)&amp;E1061</f>
        <v>0</v>
      </c>
    </row>
    <row r="902" spans="1:2" x14ac:dyDescent="0.25">
      <c r="A902" t="str">
        <f>COUNTIF($D$2:D1062,D1062)&amp;D1062</f>
        <v>0</v>
      </c>
      <c r="B902" t="str">
        <f>COUNTIF($E$2:E1062,E1062)&amp;E1062</f>
        <v>0</v>
      </c>
    </row>
    <row r="903" spans="1:2" x14ac:dyDescent="0.25">
      <c r="A903" t="str">
        <f>COUNTIF($D$2:D1063,D1063)&amp;D1063</f>
        <v>0</v>
      </c>
      <c r="B903" t="str">
        <f>COUNTIF($E$2:E1063,E1063)&amp;E1063</f>
        <v>0</v>
      </c>
    </row>
    <row r="904" spans="1:2" x14ac:dyDescent="0.25">
      <c r="A904" t="str">
        <f>COUNTIF($D$2:D1064,D1064)&amp;D1064</f>
        <v>0</v>
      </c>
      <c r="B904" t="str">
        <f>COUNTIF($E$2:E1064,E1064)&amp;E1064</f>
        <v>0</v>
      </c>
    </row>
    <row r="905" spans="1:2" x14ac:dyDescent="0.25">
      <c r="A905" t="str">
        <f>COUNTIF($D$2:D1065,D1065)&amp;D1065</f>
        <v>0</v>
      </c>
      <c r="B905" t="str">
        <f>COUNTIF($E$2:E1065,E1065)&amp;E1065</f>
        <v>0</v>
      </c>
    </row>
    <row r="906" spans="1:2" x14ac:dyDescent="0.25">
      <c r="A906" t="str">
        <f>COUNTIF($D$2:D1066,D1066)&amp;D1066</f>
        <v>0</v>
      </c>
      <c r="B906" t="str">
        <f>COUNTIF($E$2:E1066,E1066)&amp;E1066</f>
        <v>0</v>
      </c>
    </row>
    <row r="907" spans="1:2" x14ac:dyDescent="0.25">
      <c r="A907" t="str">
        <f>COUNTIF($D$2:D1067,D1067)&amp;D1067</f>
        <v>0</v>
      </c>
      <c r="B907" t="str">
        <f>COUNTIF($E$2:E1067,E1067)&amp;E1067</f>
        <v>0</v>
      </c>
    </row>
    <row r="908" spans="1:2" x14ac:dyDescent="0.25">
      <c r="A908" t="str">
        <f>COUNTIF($D$2:D1068,D1068)&amp;D1068</f>
        <v>0</v>
      </c>
      <c r="B908" t="str">
        <f>COUNTIF($E$2:E1068,E1068)&amp;E1068</f>
        <v>0</v>
      </c>
    </row>
    <row r="909" spans="1:2" x14ac:dyDescent="0.25">
      <c r="A909" t="str">
        <f>COUNTIF($D$2:D1069,D1069)&amp;D1069</f>
        <v>0</v>
      </c>
      <c r="B909" t="str">
        <f>COUNTIF($E$2:E1069,E1069)&amp;E1069</f>
        <v>0</v>
      </c>
    </row>
    <row r="910" spans="1:2" x14ac:dyDescent="0.25">
      <c r="A910" t="str">
        <f>COUNTIF($D$2:D1070,D1070)&amp;D1070</f>
        <v>0</v>
      </c>
      <c r="B910" t="str">
        <f>COUNTIF($E$2:E1070,E1070)&amp;E1070</f>
        <v>0</v>
      </c>
    </row>
    <row r="911" spans="1:2" x14ac:dyDescent="0.25">
      <c r="A911" t="str">
        <f>COUNTIF($D$2:D1071,D1071)&amp;D1071</f>
        <v>0</v>
      </c>
      <c r="B911" t="str">
        <f>COUNTIF($E$2:E1071,E1071)&amp;E1071</f>
        <v>0</v>
      </c>
    </row>
    <row r="912" spans="1:2" x14ac:dyDescent="0.25">
      <c r="A912" t="str">
        <f>COUNTIF($D$2:D1072,D1072)&amp;D1072</f>
        <v>0</v>
      </c>
      <c r="B912" t="str">
        <f>COUNTIF($E$2:E1072,E1072)&amp;E1072</f>
        <v>0</v>
      </c>
    </row>
    <row r="913" spans="1:2" x14ac:dyDescent="0.25">
      <c r="A913" t="str">
        <f>COUNTIF($D$2:D1073,D1073)&amp;D1073</f>
        <v>0</v>
      </c>
      <c r="B913" t="str">
        <f>COUNTIF($E$2:E1073,E1073)&amp;E1073</f>
        <v>0</v>
      </c>
    </row>
    <row r="914" spans="1:2" x14ac:dyDescent="0.25">
      <c r="A914" t="str">
        <f>COUNTIF($D$2:D1074,D1074)&amp;D1074</f>
        <v>0</v>
      </c>
      <c r="B914" t="str">
        <f>COUNTIF($E$2:E1074,E1074)&amp;E1074</f>
        <v>0</v>
      </c>
    </row>
    <row r="915" spans="1:2" x14ac:dyDescent="0.25">
      <c r="A915" t="str">
        <f>COUNTIF($D$2:D1075,D1075)&amp;D1075</f>
        <v>0</v>
      </c>
      <c r="B915" t="str">
        <f>COUNTIF($E$2:E1075,E1075)&amp;E1075</f>
        <v>0</v>
      </c>
    </row>
    <row r="916" spans="1:2" x14ac:dyDescent="0.25">
      <c r="A916" t="str">
        <f>COUNTIF($D$2:D1076,D1076)&amp;D1076</f>
        <v>0</v>
      </c>
      <c r="B916" t="str">
        <f>COUNTIF($E$2:E1076,E1076)&amp;E1076</f>
        <v>0</v>
      </c>
    </row>
    <row r="917" spans="1:2" x14ac:dyDescent="0.25">
      <c r="A917" t="str">
        <f>COUNTIF($D$2:D1077,D1077)&amp;D1077</f>
        <v>0</v>
      </c>
      <c r="B917" t="str">
        <f>COUNTIF($E$2:E1077,E1077)&amp;E1077</f>
        <v>0</v>
      </c>
    </row>
    <row r="918" spans="1:2" x14ac:dyDescent="0.25">
      <c r="A918" t="str">
        <f>COUNTIF($D$2:D1078,D1078)&amp;D1078</f>
        <v>0</v>
      </c>
      <c r="B918" t="str">
        <f>COUNTIF($E$2:E1078,E1078)&amp;E1078</f>
        <v>0</v>
      </c>
    </row>
    <row r="919" spans="1:2" x14ac:dyDescent="0.25">
      <c r="A919" t="str">
        <f>COUNTIF($D$2:D1079,D1079)&amp;D1079</f>
        <v>0</v>
      </c>
      <c r="B919" t="str">
        <f>COUNTIF($E$2:E1079,E1079)&amp;E1079</f>
        <v>0</v>
      </c>
    </row>
    <row r="920" spans="1:2" x14ac:dyDescent="0.25">
      <c r="A920" t="str">
        <f>COUNTIF($D$2:D1080,D1080)&amp;D1080</f>
        <v>0</v>
      </c>
      <c r="B920" t="str">
        <f>COUNTIF($E$2:E1080,E1080)&amp;E1080</f>
        <v>0</v>
      </c>
    </row>
    <row r="921" spans="1:2" x14ac:dyDescent="0.25">
      <c r="A921" t="str">
        <f>COUNTIF($D$2:D1081,D1081)&amp;D1081</f>
        <v>0</v>
      </c>
      <c r="B921" t="str">
        <f>COUNTIF($E$2:E1081,E1081)&amp;E1081</f>
        <v>0</v>
      </c>
    </row>
    <row r="922" spans="1:2" x14ac:dyDescent="0.25">
      <c r="A922" t="str">
        <f>COUNTIF($D$2:D1082,D1082)&amp;D1082</f>
        <v>0</v>
      </c>
      <c r="B922" t="str">
        <f>COUNTIF($E$2:E1082,E1082)&amp;E1082</f>
        <v>0</v>
      </c>
    </row>
    <row r="923" spans="1:2" x14ac:dyDescent="0.25">
      <c r="A923" t="str">
        <f>COUNTIF($D$2:D1083,D1083)&amp;D1083</f>
        <v>0</v>
      </c>
      <c r="B923" t="str">
        <f>COUNTIF($E$2:E1083,E1083)&amp;E1083</f>
        <v>0</v>
      </c>
    </row>
    <row r="924" spans="1:2" x14ac:dyDescent="0.25">
      <c r="A924" t="str">
        <f>COUNTIF($D$2:D1084,D1084)&amp;D1084</f>
        <v>0</v>
      </c>
      <c r="B924" t="str">
        <f>COUNTIF($E$2:E1084,E1084)&amp;E1084</f>
        <v>0</v>
      </c>
    </row>
    <row r="925" spans="1:2" x14ac:dyDescent="0.25">
      <c r="A925" t="str">
        <f>COUNTIF($D$2:D1085,D1085)&amp;D1085</f>
        <v>0</v>
      </c>
      <c r="B925" t="str">
        <f>COUNTIF($E$2:E1085,E1085)&amp;E1085</f>
        <v>0</v>
      </c>
    </row>
    <row r="926" spans="1:2" x14ac:dyDescent="0.25">
      <c r="A926" t="str">
        <f>COUNTIF($D$2:D1086,D1086)&amp;D1086</f>
        <v>0</v>
      </c>
      <c r="B926" t="str">
        <f>COUNTIF($E$2:E1086,E1086)&amp;E1086</f>
        <v>0</v>
      </c>
    </row>
    <row r="927" spans="1:2" x14ac:dyDescent="0.25">
      <c r="A927" t="str">
        <f>COUNTIF($D$2:D1087,D1087)&amp;D1087</f>
        <v>0</v>
      </c>
      <c r="B927" t="str">
        <f>COUNTIF($E$2:E1087,E1087)&amp;E1087</f>
        <v>0</v>
      </c>
    </row>
    <row r="928" spans="1:2" x14ac:dyDescent="0.25">
      <c r="A928" t="str">
        <f>COUNTIF($D$2:D1088,D1088)&amp;D1088</f>
        <v>0</v>
      </c>
      <c r="B928" t="str">
        <f>COUNTIF($E$2:E1088,E1088)&amp;E1088</f>
        <v>0</v>
      </c>
    </row>
    <row r="929" spans="1:2" x14ac:dyDescent="0.25">
      <c r="A929" t="str">
        <f>COUNTIF($D$2:D1089,D1089)&amp;D1089</f>
        <v>0</v>
      </c>
      <c r="B929" t="str">
        <f>COUNTIF($E$2:E1089,E1089)&amp;E1089</f>
        <v>0</v>
      </c>
    </row>
    <row r="930" spans="1:2" x14ac:dyDescent="0.25">
      <c r="A930" t="str">
        <f>COUNTIF($D$2:D1090,D1090)&amp;D1090</f>
        <v>0</v>
      </c>
      <c r="B930" t="str">
        <f>COUNTIF($E$2:E1090,E1090)&amp;E1090</f>
        <v>0</v>
      </c>
    </row>
    <row r="931" spans="1:2" x14ac:dyDescent="0.25">
      <c r="A931" t="str">
        <f>COUNTIF($D$2:D1091,D1091)&amp;D1091</f>
        <v>0</v>
      </c>
      <c r="B931" t="str">
        <f>COUNTIF($E$2:E1091,E1091)&amp;E1091</f>
        <v>0</v>
      </c>
    </row>
    <row r="932" spans="1:2" x14ac:dyDescent="0.25">
      <c r="A932" t="str">
        <f>COUNTIF($D$2:D1092,D1092)&amp;D1092</f>
        <v>0</v>
      </c>
      <c r="B932" t="str">
        <f>COUNTIF($E$2:E1092,E1092)&amp;E1092</f>
        <v>0</v>
      </c>
    </row>
    <row r="933" spans="1:2" x14ac:dyDescent="0.25">
      <c r="A933" t="str">
        <f>COUNTIF($D$2:D1093,D1093)&amp;D1093</f>
        <v>0</v>
      </c>
      <c r="B933" t="str">
        <f>COUNTIF($E$2:E1093,E1093)&amp;E1093</f>
        <v>0</v>
      </c>
    </row>
    <row r="934" spans="1:2" x14ac:dyDescent="0.25">
      <c r="A934" t="str">
        <f>COUNTIF($D$2:D1094,D1094)&amp;D1094</f>
        <v>0</v>
      </c>
      <c r="B934" t="str">
        <f>COUNTIF($E$2:E1094,E1094)&amp;E1094</f>
        <v>0</v>
      </c>
    </row>
    <row r="935" spans="1:2" x14ac:dyDescent="0.25">
      <c r="A935" t="str">
        <f>COUNTIF($D$2:D1095,D1095)&amp;D1095</f>
        <v>0</v>
      </c>
      <c r="B935" t="str">
        <f>COUNTIF($E$2:E1095,E1095)&amp;E1095</f>
        <v>0</v>
      </c>
    </row>
    <row r="936" spans="1:2" x14ac:dyDescent="0.25">
      <c r="A936" t="str">
        <f>COUNTIF($D$2:D1096,D1096)&amp;D1096</f>
        <v>0</v>
      </c>
      <c r="B936" t="str">
        <f>COUNTIF($E$2:E1096,E1096)&amp;E1096</f>
        <v>0</v>
      </c>
    </row>
    <row r="937" spans="1:2" x14ac:dyDescent="0.25">
      <c r="A937" t="str">
        <f>COUNTIF($D$2:D1097,D1097)&amp;D1097</f>
        <v>0</v>
      </c>
      <c r="B937" t="str">
        <f>COUNTIF($E$2:E1097,E1097)&amp;E1097</f>
        <v>0</v>
      </c>
    </row>
    <row r="938" spans="1:2" x14ac:dyDescent="0.25">
      <c r="A938" t="str">
        <f>COUNTIF($D$2:D1098,D1098)&amp;D1098</f>
        <v>0</v>
      </c>
      <c r="B938" t="str">
        <f>COUNTIF($E$2:E1098,E1098)&amp;E1098</f>
        <v>0</v>
      </c>
    </row>
    <row r="939" spans="1:2" x14ac:dyDescent="0.25">
      <c r="A939" t="str">
        <f>COUNTIF($D$2:D1099,D1099)&amp;D1099</f>
        <v>0</v>
      </c>
      <c r="B939" t="str">
        <f>COUNTIF($E$2:E1099,E1099)&amp;E1099</f>
        <v>0</v>
      </c>
    </row>
    <row r="940" spans="1:2" x14ac:dyDescent="0.25">
      <c r="A940" t="str">
        <f>COUNTIF($D$2:D1100,D1100)&amp;D1100</f>
        <v>0</v>
      </c>
      <c r="B940" t="str">
        <f>COUNTIF($E$2:E1100,E1100)&amp;E1100</f>
        <v>0</v>
      </c>
    </row>
    <row r="941" spans="1:2" x14ac:dyDescent="0.25">
      <c r="A941" t="str">
        <f>COUNTIF($D$2:D1101,D1101)&amp;D1101</f>
        <v>0</v>
      </c>
      <c r="B941" t="str">
        <f>COUNTIF($E$2:E1101,E1101)&amp;E1101</f>
        <v>0</v>
      </c>
    </row>
    <row r="942" spans="1:2" x14ac:dyDescent="0.25">
      <c r="A942" t="str">
        <f>COUNTIF($D$2:D1102,D1102)&amp;D1102</f>
        <v>0</v>
      </c>
      <c r="B942" t="str">
        <f>COUNTIF($E$2:E1102,E1102)&amp;E1102</f>
        <v>0</v>
      </c>
    </row>
    <row r="943" spans="1:2" x14ac:dyDescent="0.25">
      <c r="A943" t="str">
        <f>COUNTIF($D$2:D1103,D1103)&amp;D1103</f>
        <v>0</v>
      </c>
      <c r="B943" t="str">
        <f>COUNTIF($E$2:E1103,E1103)&amp;E1103</f>
        <v>0</v>
      </c>
    </row>
    <row r="944" spans="1:2" x14ac:dyDescent="0.25">
      <c r="A944" t="str">
        <f>COUNTIF($D$2:D1104,D1104)&amp;D1104</f>
        <v>0</v>
      </c>
      <c r="B944" t="str">
        <f>COUNTIF($E$2:E1104,E1104)&amp;E1104</f>
        <v>0</v>
      </c>
    </row>
    <row r="945" spans="1:2" x14ac:dyDescent="0.25">
      <c r="A945" t="str">
        <f>COUNTIF($D$2:D1105,D1105)&amp;D1105</f>
        <v>0</v>
      </c>
      <c r="B945" t="str">
        <f>COUNTIF($E$2:E1105,E1105)&amp;E1105</f>
        <v>0</v>
      </c>
    </row>
    <row r="946" spans="1:2" x14ac:dyDescent="0.25">
      <c r="A946" t="str">
        <f>COUNTIF($D$2:D1106,D1106)&amp;D1106</f>
        <v>0</v>
      </c>
      <c r="B946" t="str">
        <f>COUNTIF($E$2:E1106,E1106)&amp;E1106</f>
        <v>0</v>
      </c>
    </row>
    <row r="947" spans="1:2" x14ac:dyDescent="0.25">
      <c r="A947" t="str">
        <f>COUNTIF($D$2:D1107,D1107)&amp;D1107</f>
        <v>0</v>
      </c>
      <c r="B947" t="str">
        <f>COUNTIF($E$2:E1107,E1107)&amp;E1107</f>
        <v>0</v>
      </c>
    </row>
    <row r="948" spans="1:2" x14ac:dyDescent="0.25">
      <c r="A948" t="str">
        <f>COUNTIF($D$2:D1108,D1108)&amp;D1108</f>
        <v>0</v>
      </c>
      <c r="B948" t="str">
        <f>COUNTIF($E$2:E1108,E1108)&amp;E1108</f>
        <v>0</v>
      </c>
    </row>
    <row r="949" spans="1:2" x14ac:dyDescent="0.25">
      <c r="A949" t="str">
        <f>COUNTIF($D$2:D1109,D1109)&amp;D1109</f>
        <v>0</v>
      </c>
      <c r="B949" t="str">
        <f>COUNTIF($E$2:E1109,E1109)&amp;E1109</f>
        <v>0</v>
      </c>
    </row>
    <row r="950" spans="1:2" x14ac:dyDescent="0.25">
      <c r="A950" t="str">
        <f>COUNTIF($D$2:D1110,D1110)&amp;D1110</f>
        <v>0</v>
      </c>
      <c r="B950" t="str">
        <f>COUNTIF($E$2:E1110,E1110)&amp;E1110</f>
        <v>0</v>
      </c>
    </row>
    <row r="951" spans="1:2" x14ac:dyDescent="0.25">
      <c r="A951" t="str">
        <f>COUNTIF($D$2:D1111,D1111)&amp;D1111</f>
        <v>0</v>
      </c>
      <c r="B951" t="str">
        <f>COUNTIF($E$2:E1111,E1111)&amp;E1111</f>
        <v>0</v>
      </c>
    </row>
    <row r="952" spans="1:2" x14ac:dyDescent="0.25">
      <c r="A952" t="str">
        <f>COUNTIF($D$2:D1112,D1112)&amp;D1112</f>
        <v>0</v>
      </c>
      <c r="B952" t="str">
        <f>COUNTIF($E$2:E1112,E1112)&amp;E1112</f>
        <v>0</v>
      </c>
    </row>
    <row r="953" spans="1:2" x14ac:dyDescent="0.25">
      <c r="A953" t="str">
        <f>COUNTIF($D$2:D1113,D1113)&amp;D1113</f>
        <v>0</v>
      </c>
      <c r="B953" t="str">
        <f>COUNTIF($E$2:E1113,E1113)&amp;E1113</f>
        <v>0</v>
      </c>
    </row>
    <row r="954" spans="1:2" x14ac:dyDescent="0.25">
      <c r="A954" t="str">
        <f>COUNTIF($D$2:D1114,D1114)&amp;D1114</f>
        <v>0</v>
      </c>
      <c r="B954" t="str">
        <f>COUNTIF($E$2:E1114,E1114)&amp;E1114</f>
        <v>0</v>
      </c>
    </row>
    <row r="955" spans="1:2" x14ac:dyDescent="0.25">
      <c r="A955" t="str">
        <f>COUNTIF($D$2:D1115,D1115)&amp;D1115</f>
        <v>0</v>
      </c>
      <c r="B955" t="str">
        <f>COUNTIF($E$2:E1115,E1115)&amp;E1115</f>
        <v>0</v>
      </c>
    </row>
    <row r="956" spans="1:2" x14ac:dyDescent="0.25">
      <c r="A956" t="str">
        <f>COUNTIF($D$2:D1116,D1116)&amp;D1116</f>
        <v>0</v>
      </c>
      <c r="B956" t="str">
        <f>COUNTIF($E$2:E1116,E1116)&amp;E1116</f>
        <v>0</v>
      </c>
    </row>
    <row r="957" spans="1:2" x14ac:dyDescent="0.25">
      <c r="A957" t="str">
        <f>COUNTIF($D$2:D1117,D1117)&amp;D1117</f>
        <v>0</v>
      </c>
      <c r="B957" t="str">
        <f>COUNTIF($E$2:E1117,E1117)&amp;E1117</f>
        <v>0</v>
      </c>
    </row>
    <row r="958" spans="1:2" x14ac:dyDescent="0.25">
      <c r="A958" t="str">
        <f>COUNTIF($D$2:D1118,D1118)&amp;D1118</f>
        <v>0</v>
      </c>
      <c r="B958" t="str">
        <f>COUNTIF($E$2:E1118,E1118)&amp;E1118</f>
        <v>0</v>
      </c>
    </row>
    <row r="959" spans="1:2" x14ac:dyDescent="0.25">
      <c r="A959" t="str">
        <f>COUNTIF($D$2:D1119,D1119)&amp;D1119</f>
        <v>0</v>
      </c>
      <c r="B959" t="str">
        <f>COUNTIF($E$2:E1119,E1119)&amp;E1119</f>
        <v>0</v>
      </c>
    </row>
    <row r="960" spans="1:2" x14ac:dyDescent="0.25">
      <c r="A960" t="str">
        <f>COUNTIF($D$2:D1120,D1120)&amp;D1120</f>
        <v>0</v>
      </c>
      <c r="B960" t="str">
        <f>COUNTIF($E$2:E1120,E1120)&amp;E1120</f>
        <v>0</v>
      </c>
    </row>
    <row r="961" spans="1:2" x14ac:dyDescent="0.25">
      <c r="A961" t="str">
        <f>COUNTIF($D$2:D1121,D1121)&amp;D1121</f>
        <v>0</v>
      </c>
      <c r="B961" t="str">
        <f>COUNTIF($E$2:E1121,E1121)&amp;E1121</f>
        <v>0</v>
      </c>
    </row>
    <row r="962" spans="1:2" x14ac:dyDescent="0.25">
      <c r="A962" t="str">
        <f>COUNTIF($D$2:D1122,D1122)&amp;D1122</f>
        <v>0</v>
      </c>
      <c r="B962" t="str">
        <f>COUNTIF($E$2:E1122,E1122)&amp;E1122</f>
        <v>0</v>
      </c>
    </row>
    <row r="963" spans="1:2" x14ac:dyDescent="0.25">
      <c r="A963" t="str">
        <f>COUNTIF($D$2:D1123,D1123)&amp;D1123</f>
        <v>0</v>
      </c>
      <c r="B963" t="str">
        <f>COUNTIF($E$2:E1123,E1123)&amp;E1123</f>
        <v>0</v>
      </c>
    </row>
    <row r="964" spans="1:2" x14ac:dyDescent="0.25">
      <c r="A964" t="str">
        <f>COUNTIF($D$2:D1124,D1124)&amp;D1124</f>
        <v>0</v>
      </c>
      <c r="B964" t="str">
        <f>COUNTIF($E$2:E1124,E1124)&amp;E1124</f>
        <v>0</v>
      </c>
    </row>
    <row r="965" spans="1:2" x14ac:dyDescent="0.25">
      <c r="A965" t="str">
        <f>COUNTIF($D$2:D1125,D1125)&amp;D1125</f>
        <v>0</v>
      </c>
      <c r="B965" t="str">
        <f>COUNTIF($E$2:E1125,E1125)&amp;E1125</f>
        <v>0</v>
      </c>
    </row>
    <row r="966" spans="1:2" x14ac:dyDescent="0.25">
      <c r="A966" t="str">
        <f>COUNTIF($D$2:D1126,D1126)&amp;D1126</f>
        <v>0</v>
      </c>
      <c r="B966" t="str">
        <f>COUNTIF($E$2:E1126,E1126)&amp;E1126</f>
        <v>0</v>
      </c>
    </row>
    <row r="967" spans="1:2" x14ac:dyDescent="0.25">
      <c r="A967" t="str">
        <f>COUNTIF($D$2:D1127,D1127)&amp;D1127</f>
        <v>0</v>
      </c>
      <c r="B967" t="str">
        <f>COUNTIF($E$2:E1127,E1127)&amp;E1127</f>
        <v>0</v>
      </c>
    </row>
    <row r="968" spans="1:2" x14ac:dyDescent="0.25">
      <c r="A968" t="str">
        <f>COUNTIF($D$2:D1128,D1128)&amp;D1128</f>
        <v>0</v>
      </c>
      <c r="B968" t="str">
        <f>COUNTIF($E$2:E1128,E1128)&amp;E1128</f>
        <v>0</v>
      </c>
    </row>
    <row r="969" spans="1:2" x14ac:dyDescent="0.25">
      <c r="A969" t="str">
        <f>COUNTIF($D$2:D911,D911)&amp;D911</f>
        <v>0</v>
      </c>
      <c r="B969" t="str">
        <f>COUNTIF($E$2:E911,E911)&amp;E911</f>
        <v>0</v>
      </c>
    </row>
    <row r="970" spans="1:2" x14ac:dyDescent="0.25">
      <c r="A970" t="str">
        <f>COUNTIF($D$2:D912,D912)&amp;D912</f>
        <v>0</v>
      </c>
      <c r="B970" t="str">
        <f>COUNTIF($E$2:E912,E912)&amp;E912</f>
        <v>0</v>
      </c>
    </row>
    <row r="971" spans="1:2" x14ac:dyDescent="0.25">
      <c r="A971" t="str">
        <f>COUNTIF($D$2:D913,D913)&amp;D913</f>
        <v>0</v>
      </c>
      <c r="B971" t="str">
        <f>COUNTIF($E$2:E913,E913)&amp;E913</f>
        <v>0</v>
      </c>
    </row>
    <row r="972" spans="1:2" x14ac:dyDescent="0.25">
      <c r="A972" t="str">
        <f>COUNTIF($D$2:D914,D914)&amp;D914</f>
        <v>0</v>
      </c>
      <c r="B972" t="str">
        <f>COUNTIF($E$2:E914,E914)&amp;E914</f>
        <v>0</v>
      </c>
    </row>
    <row r="973" spans="1:2" x14ac:dyDescent="0.25">
      <c r="A973" t="str">
        <f>COUNTIF($D$2:D915,D915)&amp;D915</f>
        <v>0</v>
      </c>
      <c r="B973" t="str">
        <f>COUNTIF($E$2:E915,E915)&amp;E915</f>
        <v>0</v>
      </c>
    </row>
    <row r="974" spans="1:2" x14ac:dyDescent="0.25">
      <c r="A974" t="str">
        <f>COUNTIF($D$2:D916,D916)&amp;D916</f>
        <v>0</v>
      </c>
      <c r="B974" t="str">
        <f>COUNTIF($E$2:E916,E916)&amp;E916</f>
        <v>0</v>
      </c>
    </row>
    <row r="975" spans="1:2" x14ac:dyDescent="0.25">
      <c r="A975" t="str">
        <f>COUNTIF($D$2:D917,D917)&amp;D917</f>
        <v>0</v>
      </c>
      <c r="B975" t="str">
        <f>COUNTIF($E$2:E917,E917)&amp;E917</f>
        <v>0</v>
      </c>
    </row>
    <row r="976" spans="1:2" x14ac:dyDescent="0.25">
      <c r="A976" t="str">
        <f>COUNTIF($D$2:D918,D918)&amp;D918</f>
        <v>0</v>
      </c>
      <c r="B976" t="str">
        <f>COUNTIF($E$2:E918,E918)&amp;E918</f>
        <v>0</v>
      </c>
    </row>
    <row r="977" spans="1:2" x14ac:dyDescent="0.25">
      <c r="A977" t="str">
        <f>COUNTIF($D$2:D919,D919)&amp;D919</f>
        <v>0</v>
      </c>
      <c r="B977" t="str">
        <f>COUNTIF($E$2:E919,E919)&amp;E919</f>
        <v>0</v>
      </c>
    </row>
    <row r="978" spans="1:2" x14ac:dyDescent="0.25">
      <c r="A978" t="str">
        <f>COUNTIF($D$2:D920,D920)&amp;D920</f>
        <v>0</v>
      </c>
      <c r="B978" t="str">
        <f>COUNTIF($E$2:E920,E920)&amp;E920</f>
        <v>0</v>
      </c>
    </row>
    <row r="979" spans="1:2" x14ac:dyDescent="0.25">
      <c r="A979" t="str">
        <f>COUNTIF($D$2:D921,D921)&amp;D921</f>
        <v>0</v>
      </c>
      <c r="B979" t="str">
        <f>COUNTIF($E$2:E921,E921)&amp;E921</f>
        <v>0</v>
      </c>
    </row>
    <row r="980" spans="1:2" x14ac:dyDescent="0.25">
      <c r="A980" t="str">
        <f>COUNTIF($D$2:D922,D922)&amp;D922</f>
        <v>0</v>
      </c>
      <c r="B980" t="str">
        <f>COUNTIF($E$2:E922,E922)&amp;E922</f>
        <v>0</v>
      </c>
    </row>
    <row r="981" spans="1:2" x14ac:dyDescent="0.25">
      <c r="A981" t="str">
        <f>COUNTIF($D$2:D923,D923)&amp;D923</f>
        <v>0</v>
      </c>
      <c r="B981" t="str">
        <f>COUNTIF($E$2:E923,E923)&amp;E923</f>
        <v>0</v>
      </c>
    </row>
    <row r="982" spans="1:2" x14ac:dyDescent="0.25">
      <c r="A982" t="str">
        <f>COUNTIF($D$2:D924,D924)&amp;D924</f>
        <v>0</v>
      </c>
      <c r="B982" t="str">
        <f>COUNTIF($E$2:E924,E924)&amp;E924</f>
        <v>0</v>
      </c>
    </row>
    <row r="983" spans="1:2" x14ac:dyDescent="0.25">
      <c r="A983" t="str">
        <f>COUNTIF($D$2:D925,D925)&amp;D925</f>
        <v>0</v>
      </c>
      <c r="B983" t="str">
        <f>COUNTIF($E$2:E925,E925)&amp;E925</f>
        <v>0</v>
      </c>
    </row>
    <row r="984" spans="1:2" x14ac:dyDescent="0.25">
      <c r="A984" t="str">
        <f>COUNTIF($D$2:D926,D926)&amp;D926</f>
        <v>0</v>
      </c>
      <c r="B984" t="str">
        <f>COUNTIF($E$2:E926,E926)&amp;E926</f>
        <v>0</v>
      </c>
    </row>
    <row r="985" spans="1:2" x14ac:dyDescent="0.25">
      <c r="A985" t="str">
        <f>COUNTIF($D$2:D927,D927)&amp;D927</f>
        <v>0</v>
      </c>
      <c r="B985" t="str">
        <f>COUNTIF($E$2:E927,E927)&amp;E927</f>
        <v>0</v>
      </c>
    </row>
    <row r="986" spans="1:2" x14ac:dyDescent="0.25">
      <c r="A986" t="str">
        <f>COUNTIF($D$2:D928,D928)&amp;D928</f>
        <v>0</v>
      </c>
      <c r="B986" t="str">
        <f>COUNTIF($E$2:E928,E928)&amp;E928</f>
        <v>0</v>
      </c>
    </row>
    <row r="987" spans="1:2" x14ac:dyDescent="0.25">
      <c r="A987" t="str">
        <f>COUNTIF($D$2:D929,D929)&amp;D929</f>
        <v>0</v>
      </c>
      <c r="B987" t="str">
        <f>COUNTIF($E$2:E929,E929)&amp;E929</f>
        <v>0</v>
      </c>
    </row>
    <row r="988" spans="1:2" x14ac:dyDescent="0.25">
      <c r="A988" t="str">
        <f>COUNTIF($D$2:D930,D930)&amp;D930</f>
        <v>0</v>
      </c>
      <c r="B988" t="str">
        <f>COUNTIF($E$2:E930,E930)&amp;E930</f>
        <v>0</v>
      </c>
    </row>
    <row r="989" spans="1:2" x14ac:dyDescent="0.25">
      <c r="A989" t="str">
        <f>COUNTIF($D$2:D931,D931)&amp;D931</f>
        <v>0</v>
      </c>
      <c r="B989" t="str">
        <f>COUNTIF($E$2:E931,E931)&amp;E931</f>
        <v>0</v>
      </c>
    </row>
    <row r="990" spans="1:2" x14ac:dyDescent="0.25">
      <c r="A990" t="str">
        <f>COUNTIF($D$2:D932,D932)&amp;D932</f>
        <v>0</v>
      </c>
      <c r="B990" t="str">
        <f>COUNTIF($E$2:E932,E932)&amp;E932</f>
        <v>0</v>
      </c>
    </row>
    <row r="991" spans="1:2" x14ac:dyDescent="0.25">
      <c r="A991" t="str">
        <f>COUNTIF($D$2:D933,D933)&amp;D933</f>
        <v>0</v>
      </c>
      <c r="B991" t="str">
        <f>COUNTIF($E$2:E933,E933)&amp;E933</f>
        <v>0</v>
      </c>
    </row>
    <row r="992" spans="1:2" x14ac:dyDescent="0.25">
      <c r="A992" t="str">
        <f>COUNTIF($D$2:D934,D934)&amp;D934</f>
        <v>0</v>
      </c>
      <c r="B992" t="str">
        <f>COUNTIF($E$2:E934,E934)&amp;E934</f>
        <v>0</v>
      </c>
    </row>
    <row r="993" spans="1:2" x14ac:dyDescent="0.25">
      <c r="A993" t="str">
        <f>COUNTIF($D$2:D935,D935)&amp;D935</f>
        <v>0</v>
      </c>
      <c r="B993" t="str">
        <f>COUNTIF($E$2:E935,E935)&amp;E935</f>
        <v>0</v>
      </c>
    </row>
    <row r="994" spans="1:2" x14ac:dyDescent="0.25">
      <c r="A994" t="str">
        <f>COUNTIF($D$2:D936,D936)&amp;D936</f>
        <v>0</v>
      </c>
      <c r="B994" t="str">
        <f>COUNTIF($E$2:E936,E936)&amp;E936</f>
        <v>0</v>
      </c>
    </row>
    <row r="995" spans="1:2" x14ac:dyDescent="0.25">
      <c r="A995" t="str">
        <f>COUNTIF($D$2:D937,D937)&amp;D937</f>
        <v>0</v>
      </c>
      <c r="B995" t="str">
        <f>COUNTIF($E$2:E937,E937)&amp;E937</f>
        <v>0</v>
      </c>
    </row>
    <row r="996" spans="1:2" x14ac:dyDescent="0.25">
      <c r="A996" t="str">
        <f>COUNTIF($D$2:D938,D938)&amp;D938</f>
        <v>0</v>
      </c>
      <c r="B996" t="str">
        <f>COUNTIF($E$2:E938,E938)&amp;E938</f>
        <v>0</v>
      </c>
    </row>
    <row r="997" spans="1:2" x14ac:dyDescent="0.25">
      <c r="A997" t="str">
        <f>COUNTIF($D$2:D939,D939)&amp;D939</f>
        <v>0</v>
      </c>
      <c r="B997" t="str">
        <f>COUNTIF($E$2:E939,E939)&amp;E939</f>
        <v>0</v>
      </c>
    </row>
    <row r="998" spans="1:2" x14ac:dyDescent="0.25">
      <c r="A998" t="str">
        <f>COUNTIF($D$2:D940,D940)&amp;D940</f>
        <v>0</v>
      </c>
      <c r="B998" t="str">
        <f>COUNTIF($E$2:E940,E940)&amp;E940</f>
        <v>0</v>
      </c>
    </row>
    <row r="999" spans="1:2" x14ac:dyDescent="0.25">
      <c r="A999" t="str">
        <f>COUNTIF($D$2:D941,D941)&amp;D941</f>
        <v>0</v>
      </c>
      <c r="B999" t="str">
        <f>COUNTIF($E$2:E941,E941)&amp;E941</f>
        <v>0</v>
      </c>
    </row>
    <row r="1000" spans="1:2" x14ac:dyDescent="0.25">
      <c r="A1000" t="str">
        <f>COUNTIF($D$2:D942,D942)&amp;D942</f>
        <v>0</v>
      </c>
      <c r="B1000" t="str">
        <f>COUNTIF($E$2:E942,E942)&amp;E942</f>
        <v>0</v>
      </c>
    </row>
    <row r="1001" spans="1:2" x14ac:dyDescent="0.25">
      <c r="A1001" t="str">
        <f>COUNTIF($D$2:D943,D943)&amp;D943</f>
        <v>0</v>
      </c>
      <c r="B1001" t="str">
        <f>COUNTIF($E$2:E943,E943)&amp;E943</f>
        <v>0</v>
      </c>
    </row>
    <row r="1002" spans="1:2" x14ac:dyDescent="0.25">
      <c r="A1002" t="str">
        <f>COUNTIF($D$2:D944,D944)&amp;D944</f>
        <v>0</v>
      </c>
      <c r="B1002" t="str">
        <f>COUNTIF($E$2:E944,E944)&amp;E944</f>
        <v>0</v>
      </c>
    </row>
    <row r="1003" spans="1:2" x14ac:dyDescent="0.25">
      <c r="A1003" t="str">
        <f>COUNTIF($D$2:D945,D945)&amp;D945</f>
        <v>0</v>
      </c>
      <c r="B1003" t="str">
        <f>COUNTIF($E$2:E945,E945)&amp;E945</f>
        <v>0</v>
      </c>
    </row>
    <row r="1004" spans="1:2" x14ac:dyDescent="0.25">
      <c r="A1004" t="str">
        <f>COUNTIF($D$2:D946,D946)&amp;D946</f>
        <v>0</v>
      </c>
      <c r="B1004" t="str">
        <f>COUNTIF($E$2:E946,E946)&amp;E946</f>
        <v>0</v>
      </c>
    </row>
    <row r="1005" spans="1:2" x14ac:dyDescent="0.25">
      <c r="A1005" t="str">
        <f>COUNTIF($D$2:D947,D947)&amp;D947</f>
        <v>0</v>
      </c>
      <c r="B1005" t="str">
        <f>COUNTIF($E$2:E947,E947)&amp;E947</f>
        <v>0</v>
      </c>
    </row>
    <row r="1006" spans="1:2" x14ac:dyDescent="0.25">
      <c r="A1006" t="str">
        <f>COUNTIF($D$2:D948,D948)&amp;D948</f>
        <v>0</v>
      </c>
      <c r="B1006" t="str">
        <f>COUNTIF($E$2:E948,E948)&amp;E948</f>
        <v>0</v>
      </c>
    </row>
    <row r="1007" spans="1:2" x14ac:dyDescent="0.25">
      <c r="A1007" t="str">
        <f>COUNTIF($D$2:D949,D949)&amp;D949</f>
        <v>0</v>
      </c>
      <c r="B1007" t="str">
        <f>COUNTIF($E$2:E949,E949)&amp;E949</f>
        <v>0</v>
      </c>
    </row>
    <row r="1008" spans="1:2" x14ac:dyDescent="0.25">
      <c r="A1008" t="str">
        <f>COUNTIF($D$2:D950,D950)&amp;D950</f>
        <v>0</v>
      </c>
      <c r="B1008" t="str">
        <f>COUNTIF($E$2:E950,E950)&amp;E950</f>
        <v>0</v>
      </c>
    </row>
    <row r="1009" spans="1:2" x14ac:dyDescent="0.25">
      <c r="A1009" t="str">
        <f>COUNTIF($D$2:D951,D951)&amp;D951</f>
        <v>0</v>
      </c>
      <c r="B1009" t="str">
        <f>COUNTIF($E$2:E951,E951)&amp;E951</f>
        <v>0</v>
      </c>
    </row>
    <row r="1010" spans="1:2" x14ac:dyDescent="0.25">
      <c r="A1010" t="str">
        <f>COUNTIF($D$2:D952,D952)&amp;D952</f>
        <v>0</v>
      </c>
      <c r="B1010" t="str">
        <f>COUNTIF($E$2:E952,E952)&amp;E952</f>
        <v>0</v>
      </c>
    </row>
    <row r="1011" spans="1:2" x14ac:dyDescent="0.25">
      <c r="A1011" t="str">
        <f>COUNTIF($D$2:D953,D953)&amp;D953</f>
        <v>0</v>
      </c>
      <c r="B1011" t="str">
        <f>COUNTIF($E$2:E953,E953)&amp;E953</f>
        <v>0</v>
      </c>
    </row>
    <row r="1012" spans="1:2" x14ac:dyDescent="0.25">
      <c r="A1012" t="str">
        <f>COUNTIF($D$2:D954,D954)&amp;D954</f>
        <v>0</v>
      </c>
      <c r="B1012" t="str">
        <f>COUNTIF($E$2:E954,E954)&amp;E954</f>
        <v>0</v>
      </c>
    </row>
    <row r="1013" spans="1:2" x14ac:dyDescent="0.25">
      <c r="A1013" t="str">
        <f>COUNTIF($D$2:D955,D955)&amp;D955</f>
        <v>0</v>
      </c>
      <c r="B1013" t="str">
        <f>COUNTIF($E$2:E955,E955)&amp;E955</f>
        <v>0</v>
      </c>
    </row>
    <row r="1014" spans="1:2" x14ac:dyDescent="0.25">
      <c r="A1014" t="str">
        <f>COUNTIF($D$2:D956,D956)&amp;D956</f>
        <v>0</v>
      </c>
      <c r="B1014" t="str">
        <f>COUNTIF($E$2:E956,E956)&amp;E956</f>
        <v>0</v>
      </c>
    </row>
    <row r="1015" spans="1:2" x14ac:dyDescent="0.25">
      <c r="A1015" t="str">
        <f>COUNTIF($D$2:D957,D957)&amp;D957</f>
        <v>0</v>
      </c>
      <c r="B1015" t="str">
        <f>COUNTIF($E$2:E957,E957)&amp;E957</f>
        <v>0</v>
      </c>
    </row>
    <row r="1016" spans="1:2" x14ac:dyDescent="0.25">
      <c r="A1016" t="str">
        <f>COUNTIF($D$2:D958,D958)&amp;D958</f>
        <v>0</v>
      </c>
      <c r="B1016" t="str">
        <f>COUNTIF($E$2:E958,E958)&amp;E958</f>
        <v>0</v>
      </c>
    </row>
    <row r="1017" spans="1:2" x14ac:dyDescent="0.25">
      <c r="A1017" t="str">
        <f>COUNTIF($D$2:D959,D959)&amp;D959</f>
        <v>0</v>
      </c>
      <c r="B1017" t="str">
        <f>COUNTIF($E$2:E959,E959)&amp;E959</f>
        <v>0</v>
      </c>
    </row>
    <row r="1018" spans="1:2" x14ac:dyDescent="0.25">
      <c r="A1018" t="str">
        <f>COUNTIF($D$2:D960,D960)&amp;D960</f>
        <v>0</v>
      </c>
      <c r="B1018" t="str">
        <f>COUNTIF($E$2:E960,E960)&amp;E960</f>
        <v>0</v>
      </c>
    </row>
    <row r="1019" spans="1:2" x14ac:dyDescent="0.25">
      <c r="A1019" t="str">
        <f>COUNTIF($D$2:D961,D961)&amp;D961</f>
        <v>0</v>
      </c>
      <c r="B1019" t="str">
        <f>COUNTIF($E$2:E961,E961)&amp;E961</f>
        <v>0</v>
      </c>
    </row>
    <row r="1020" spans="1:2" x14ac:dyDescent="0.25">
      <c r="A1020" t="str">
        <f>COUNTIF($D$2:D962,D962)&amp;D962</f>
        <v>0</v>
      </c>
      <c r="B1020" t="str">
        <f>COUNTIF($E$2:E962,E962)&amp;E962</f>
        <v>0</v>
      </c>
    </row>
    <row r="1021" spans="1:2" x14ac:dyDescent="0.25">
      <c r="A1021" t="str">
        <f>COUNTIF($D$2:D963,D963)&amp;D963</f>
        <v>0</v>
      </c>
      <c r="B1021" t="str">
        <f>COUNTIF($E$2:E963,E963)&amp;E963</f>
        <v>0</v>
      </c>
    </row>
    <row r="1022" spans="1:2" x14ac:dyDescent="0.25">
      <c r="A1022" t="str">
        <f>COUNTIF($D$2:D964,D964)&amp;D964</f>
        <v>0</v>
      </c>
      <c r="B1022" t="str">
        <f>COUNTIF($E$2:E964,E964)&amp;E964</f>
        <v>0</v>
      </c>
    </row>
    <row r="1023" spans="1:2" x14ac:dyDescent="0.25">
      <c r="A1023" t="str">
        <f>COUNTIF($D$2:D965,D965)&amp;D965</f>
        <v>0</v>
      </c>
      <c r="B1023" t="str">
        <f>COUNTIF($E$2:E965,E965)&amp;E965</f>
        <v>0</v>
      </c>
    </row>
    <row r="1024" spans="1:2" x14ac:dyDescent="0.25">
      <c r="A1024" t="str">
        <f>COUNTIF($D$2:D966,D966)&amp;D966</f>
        <v>0</v>
      </c>
      <c r="B1024" t="str">
        <f>COUNTIF($E$2:E966,E966)&amp;E966</f>
        <v>0</v>
      </c>
    </row>
    <row r="1025" spans="1:2" x14ac:dyDescent="0.25">
      <c r="A1025" t="str">
        <f>COUNTIF($D$2:D967,D967)&amp;D967</f>
        <v>0</v>
      </c>
      <c r="B1025" t="str">
        <f>COUNTIF($E$2:E967,E967)&amp;E967</f>
        <v>0</v>
      </c>
    </row>
    <row r="1026" spans="1:2" x14ac:dyDescent="0.25">
      <c r="A1026" t="str">
        <f>COUNTIF($D$2:D968,D968)&amp;D968</f>
        <v>0</v>
      </c>
      <c r="B1026" t="str">
        <f>COUNTIF($E$2:E968,E968)&amp;E968</f>
        <v>0</v>
      </c>
    </row>
    <row r="1027" spans="1:2" x14ac:dyDescent="0.25">
      <c r="A1027" t="str">
        <f>COUNTIF($D$2:D969,D969)&amp;D969</f>
        <v>0</v>
      </c>
      <c r="B1027" t="str">
        <f>COUNTIF($E$2:E969,E969)&amp;E969</f>
        <v>0</v>
      </c>
    </row>
    <row r="1028" spans="1:2" x14ac:dyDescent="0.25">
      <c r="A1028" t="str">
        <f>COUNTIF($D$2:D970,D970)&amp;D970</f>
        <v>0</v>
      </c>
      <c r="B1028" t="str">
        <f>COUNTIF($E$2:E970,E970)&amp;E970</f>
        <v>0</v>
      </c>
    </row>
    <row r="1029" spans="1:2" x14ac:dyDescent="0.25">
      <c r="A1029" t="str">
        <f>COUNTIF($D$2:D971,D971)&amp;D971</f>
        <v>0</v>
      </c>
      <c r="B1029" t="str">
        <f>COUNTIF($E$2:E971,E971)&amp;E971</f>
        <v>0</v>
      </c>
    </row>
    <row r="1030" spans="1:2" x14ac:dyDescent="0.25">
      <c r="A1030" t="str">
        <f>COUNTIF($D$2:D972,D972)&amp;D972</f>
        <v>0</v>
      </c>
      <c r="B1030" t="str">
        <f>COUNTIF($E$2:E972,E972)&amp;E972</f>
        <v>0</v>
      </c>
    </row>
    <row r="1031" spans="1:2" x14ac:dyDescent="0.25">
      <c r="A1031" t="str">
        <f>COUNTIF($D$2:D973,D973)&amp;D973</f>
        <v>0</v>
      </c>
      <c r="B1031" t="str">
        <f>COUNTIF($E$2:E973,E973)&amp;E973</f>
        <v>0</v>
      </c>
    </row>
    <row r="1032" spans="1:2" x14ac:dyDescent="0.25">
      <c r="A1032" t="str">
        <f>COUNTIF($D$2:D974,D974)&amp;D974</f>
        <v>0</v>
      </c>
      <c r="B1032" t="str">
        <f>COUNTIF($E$2:E974,E974)&amp;E974</f>
        <v>0</v>
      </c>
    </row>
    <row r="1033" spans="1:2" x14ac:dyDescent="0.25">
      <c r="A1033" t="str">
        <f>COUNTIF($D$2:D975,D975)&amp;D975</f>
        <v>0</v>
      </c>
      <c r="B1033" t="str">
        <f>COUNTIF($E$2:E975,E975)&amp;E975</f>
        <v>0</v>
      </c>
    </row>
    <row r="1034" spans="1:2" x14ac:dyDescent="0.25">
      <c r="A1034" t="str">
        <f>COUNTIF($D$2:D976,D976)&amp;D976</f>
        <v>0</v>
      </c>
      <c r="B1034" t="str">
        <f>COUNTIF($E$2:E976,E976)&amp;E976</f>
        <v>0</v>
      </c>
    </row>
    <row r="1035" spans="1:2" x14ac:dyDescent="0.25">
      <c r="A1035" t="str">
        <f>COUNTIF($D$2:D977,D977)&amp;D977</f>
        <v>0</v>
      </c>
      <c r="B1035" t="str">
        <f>COUNTIF($E$2:E977,E977)&amp;E977</f>
        <v>0</v>
      </c>
    </row>
    <row r="1036" spans="1:2" x14ac:dyDescent="0.25">
      <c r="A1036" t="str">
        <f>COUNTIF($D$2:D978,D978)&amp;D978</f>
        <v>0</v>
      </c>
      <c r="B1036" t="str">
        <f>COUNTIF($E$2:E978,E978)&amp;E978</f>
        <v>0</v>
      </c>
    </row>
    <row r="1037" spans="1:2" x14ac:dyDescent="0.25">
      <c r="A1037" t="str">
        <f>COUNTIF($D$2:D979,D979)&amp;D979</f>
        <v>0</v>
      </c>
      <c r="B1037" t="str">
        <f>COUNTIF($E$2:E979,E979)&amp;E979</f>
        <v>0</v>
      </c>
    </row>
    <row r="1038" spans="1:2" x14ac:dyDescent="0.25">
      <c r="A1038" t="str">
        <f>COUNTIF($D$2:D980,D980)&amp;D980</f>
        <v>0</v>
      </c>
      <c r="B1038" t="str">
        <f>COUNTIF($E$2:E980,E980)&amp;E980</f>
        <v>0</v>
      </c>
    </row>
    <row r="1039" spans="1:2" x14ac:dyDescent="0.25">
      <c r="A1039" t="str">
        <f>COUNTIF($D$2:D981,D981)&amp;D981</f>
        <v>0</v>
      </c>
      <c r="B1039" t="str">
        <f>COUNTIF($E$2:E981,E981)&amp;E981</f>
        <v>0</v>
      </c>
    </row>
    <row r="1040" spans="1:2" x14ac:dyDescent="0.25">
      <c r="A1040" t="str">
        <f>COUNTIF($D$2:D982,D982)&amp;D982</f>
        <v>0</v>
      </c>
      <c r="B1040" t="str">
        <f>COUNTIF($E$2:E982,E982)&amp;E982</f>
        <v>0</v>
      </c>
    </row>
    <row r="1041" spans="1:2" x14ac:dyDescent="0.25">
      <c r="A1041" t="str">
        <f>COUNTIF($D$2:D983,D983)&amp;D983</f>
        <v>0</v>
      </c>
      <c r="B1041" t="str">
        <f>COUNTIF($E$2:E983,E983)&amp;E983</f>
        <v>0</v>
      </c>
    </row>
    <row r="1042" spans="1:2" x14ac:dyDescent="0.25">
      <c r="A1042" t="str">
        <f>COUNTIF($D$2:D984,D984)&amp;D984</f>
        <v>0</v>
      </c>
      <c r="B1042" t="str">
        <f>COUNTIF($E$2:E984,E984)&amp;E984</f>
        <v>0</v>
      </c>
    </row>
    <row r="1043" spans="1:2" x14ac:dyDescent="0.25">
      <c r="A1043" t="str">
        <f>COUNTIF($D$2:D985,D985)&amp;D985</f>
        <v>0</v>
      </c>
      <c r="B1043" t="str">
        <f>COUNTIF($E$2:E985,E985)&amp;E985</f>
        <v>0</v>
      </c>
    </row>
    <row r="1044" spans="1:2" x14ac:dyDescent="0.25">
      <c r="A1044" t="str">
        <f>COUNTIF($D$2:D986,D986)&amp;D986</f>
        <v>0</v>
      </c>
      <c r="B1044" t="str">
        <f>COUNTIF($E$2:E986,E986)&amp;E986</f>
        <v>0</v>
      </c>
    </row>
    <row r="1045" spans="1:2" x14ac:dyDescent="0.25">
      <c r="A1045" t="str">
        <f>COUNTIF($D$2:D987,D987)&amp;D987</f>
        <v>0</v>
      </c>
      <c r="B1045" t="str">
        <f>COUNTIF($E$2:E987,E987)&amp;E987</f>
        <v>0</v>
      </c>
    </row>
    <row r="1046" spans="1:2" x14ac:dyDescent="0.25">
      <c r="A1046" t="str">
        <f>COUNTIF($D$2:D988,D988)&amp;D988</f>
        <v>0</v>
      </c>
      <c r="B1046" t="str">
        <f>COUNTIF($E$2:E988,E988)&amp;E988</f>
        <v>0</v>
      </c>
    </row>
    <row r="1047" spans="1:2" x14ac:dyDescent="0.25">
      <c r="A1047" t="str">
        <f>COUNTIF($D$2:D989,D989)&amp;D989</f>
        <v>0</v>
      </c>
      <c r="B1047" t="str">
        <f>COUNTIF($E$2:E989,E989)&amp;E989</f>
        <v>0</v>
      </c>
    </row>
    <row r="1048" spans="1:2" x14ac:dyDescent="0.25">
      <c r="A1048" t="str">
        <f>COUNTIF($D$2:D990,D990)&amp;D990</f>
        <v>0</v>
      </c>
      <c r="B1048" t="str">
        <f>COUNTIF($E$2:E990,E990)&amp;E990</f>
        <v>0</v>
      </c>
    </row>
    <row r="1049" spans="1:2" x14ac:dyDescent="0.25">
      <c r="A1049" t="str">
        <f>COUNTIF($D$2:D991,D991)&amp;D991</f>
        <v>0</v>
      </c>
      <c r="B1049" t="str">
        <f>COUNTIF($E$2:E991,E991)&amp;E991</f>
        <v>0</v>
      </c>
    </row>
    <row r="1050" spans="1:2" x14ac:dyDescent="0.25">
      <c r="A1050" t="str">
        <f>COUNTIF($D$2:D992,D992)&amp;D992</f>
        <v>0</v>
      </c>
      <c r="B1050" t="str">
        <f>COUNTIF($E$2:E992,E992)&amp;E992</f>
        <v>0</v>
      </c>
    </row>
    <row r="1051" spans="1:2" x14ac:dyDescent="0.25">
      <c r="A1051" t="str">
        <f>COUNTIF($D$2:D993,D993)&amp;D993</f>
        <v>0</v>
      </c>
      <c r="B1051" t="str">
        <f>COUNTIF($E$2:E993,E993)&amp;E993</f>
        <v>0</v>
      </c>
    </row>
    <row r="1052" spans="1:2" x14ac:dyDescent="0.25">
      <c r="A1052" t="str">
        <f>COUNTIF($D$2:D994,D994)&amp;D994</f>
        <v>0</v>
      </c>
      <c r="B1052" t="str">
        <f>COUNTIF($E$2:E994,E994)&amp;E994</f>
        <v>0</v>
      </c>
    </row>
    <row r="1053" spans="1:2" x14ac:dyDescent="0.25">
      <c r="A1053" t="str">
        <f>COUNTIF($D$2:D995,D995)&amp;D995</f>
        <v>0</v>
      </c>
      <c r="B1053" t="str">
        <f>COUNTIF($E$2:E995,E995)&amp;E995</f>
        <v>0</v>
      </c>
    </row>
    <row r="1054" spans="1:2" x14ac:dyDescent="0.25">
      <c r="A1054" t="str">
        <f>COUNTIF($D$2:D996,D996)&amp;D996</f>
        <v>0</v>
      </c>
      <c r="B1054" t="str">
        <f>COUNTIF($E$2:E996,E996)&amp;E996</f>
        <v>0</v>
      </c>
    </row>
    <row r="1055" spans="1:2" x14ac:dyDescent="0.25">
      <c r="A1055" t="str">
        <f>COUNTIF($D$2:D997,D997)&amp;D997</f>
        <v>0</v>
      </c>
      <c r="B1055" t="str">
        <f>COUNTIF($E$2:E997,E997)&amp;E997</f>
        <v>0</v>
      </c>
    </row>
    <row r="1056" spans="1:2" x14ac:dyDescent="0.25">
      <c r="A1056" t="str">
        <f>COUNTIF($D$2:D998,D998)&amp;D998</f>
        <v>0</v>
      </c>
      <c r="B1056" t="str">
        <f>COUNTIF($E$2:E998,E998)&amp;E998</f>
        <v>0</v>
      </c>
    </row>
    <row r="1057" spans="1:2" x14ac:dyDescent="0.25">
      <c r="A1057" t="str">
        <f>COUNTIF($D$2:D999,D999)&amp;D999</f>
        <v>0</v>
      </c>
      <c r="B1057" t="str">
        <f>COUNTIF($E$2:E999,E999)&amp;E999</f>
        <v>0</v>
      </c>
    </row>
    <row r="1058" spans="1:2" x14ac:dyDescent="0.25">
      <c r="A1058" t="str">
        <f>COUNTIF($D$2:D1000,D1000)&amp;D1000</f>
        <v>0</v>
      </c>
      <c r="B1058" t="str">
        <f>COUNTIF($E$2:E1000,E1000)&amp;E1000</f>
        <v>0</v>
      </c>
    </row>
    <row r="1059" spans="1:2" x14ac:dyDescent="0.25">
      <c r="A1059" t="str">
        <f>COUNTIF($D$2:D1001,D1001)&amp;D1001</f>
        <v>0</v>
      </c>
      <c r="B1059" t="str">
        <f>COUNTIF($E$2:E1001,E1001)&amp;E1001</f>
        <v>0</v>
      </c>
    </row>
    <row r="1060" spans="1:2" x14ac:dyDescent="0.25">
      <c r="A1060" t="str">
        <f>COUNTIF($D$2:D1002,D1002)&amp;D1002</f>
        <v>0</v>
      </c>
      <c r="B1060" t="str">
        <f>COUNTIF($E$2:E1002,E1002)&amp;E1002</f>
        <v>0</v>
      </c>
    </row>
    <row r="1061" spans="1:2" x14ac:dyDescent="0.25">
      <c r="A1061" t="str">
        <f>COUNTIF($D$2:D1003,D1003)&amp;D1003</f>
        <v>0</v>
      </c>
      <c r="B1061" t="str">
        <f>COUNTIF($E$2:E1003,E1003)&amp;E1003</f>
        <v>0</v>
      </c>
    </row>
    <row r="1062" spans="1:2" x14ac:dyDescent="0.25">
      <c r="A1062" t="str">
        <f>COUNTIF($D$2:D1004,D1004)&amp;D1004</f>
        <v>0</v>
      </c>
      <c r="B1062" t="str">
        <f>COUNTIF($E$2:E1004,E1004)&amp;E1004</f>
        <v>0</v>
      </c>
    </row>
    <row r="1063" spans="1:2" x14ac:dyDescent="0.25">
      <c r="A1063" t="str">
        <f>COUNTIF($D$2:D1005,D1005)&amp;D1005</f>
        <v>0</v>
      </c>
      <c r="B1063" t="str">
        <f>COUNTIF($E$2:E1005,E1005)&amp;E1005</f>
        <v>0</v>
      </c>
    </row>
    <row r="1064" spans="1:2" x14ac:dyDescent="0.25">
      <c r="A1064" t="str">
        <f>COUNTIF($D$2:D1006,D1006)&amp;D1006</f>
        <v>0</v>
      </c>
      <c r="B1064" t="str">
        <f>COUNTIF($E$2:E1006,E1006)&amp;E1006</f>
        <v>0</v>
      </c>
    </row>
    <row r="1065" spans="1:2" x14ac:dyDescent="0.25">
      <c r="A1065" t="str">
        <f>COUNTIF($D$2:D1007,D1007)&amp;D1007</f>
        <v>0</v>
      </c>
      <c r="B1065" t="str">
        <f>COUNTIF($E$2:E1007,E1007)&amp;E1007</f>
        <v>0</v>
      </c>
    </row>
    <row r="1066" spans="1:2" x14ac:dyDescent="0.25">
      <c r="A1066" t="str">
        <f>COUNTIF($D$2:D1008,D1008)&amp;D1008</f>
        <v>0</v>
      </c>
      <c r="B1066" t="str">
        <f>COUNTIF($E$2:E1008,E1008)&amp;E1008</f>
        <v>0</v>
      </c>
    </row>
    <row r="1067" spans="1:2" x14ac:dyDescent="0.25">
      <c r="A1067" t="str">
        <f>COUNTIF($D$2:D1009,D1009)&amp;D1009</f>
        <v>0</v>
      </c>
      <c r="B1067" t="str">
        <f>COUNTIF($E$2:E1009,E1009)&amp;E1009</f>
        <v>0</v>
      </c>
    </row>
    <row r="1068" spans="1:2" x14ac:dyDescent="0.25">
      <c r="A1068" t="str">
        <f>COUNTIF($D$2:D1010,D1010)&amp;D1010</f>
        <v>0</v>
      </c>
      <c r="B1068" t="str">
        <f>COUNTIF($E$2:E1010,E1010)&amp;E1010</f>
        <v>0</v>
      </c>
    </row>
    <row r="1069" spans="1:2" x14ac:dyDescent="0.25">
      <c r="A1069" t="str">
        <f>COUNTIF($D$2:D1011,D1011)&amp;D1011</f>
        <v>0</v>
      </c>
      <c r="B1069" t="str">
        <f>COUNTIF($E$2:E1011,E1011)&amp;E1011</f>
        <v>0</v>
      </c>
    </row>
    <row r="1070" spans="1:2" x14ac:dyDescent="0.25">
      <c r="A1070" t="str">
        <f>COUNTIF($D$2:D1012,D1012)&amp;D1012</f>
        <v>0</v>
      </c>
      <c r="B1070" t="str">
        <f>COUNTIF($E$2:E1012,E1012)&amp;E1012</f>
        <v>0</v>
      </c>
    </row>
    <row r="1071" spans="1:2" x14ac:dyDescent="0.25">
      <c r="A1071" t="str">
        <f>COUNTIF($D$2:D1013,D1013)&amp;D1013</f>
        <v>0</v>
      </c>
      <c r="B1071" t="str">
        <f>COUNTIF($E$2:E1013,E1013)&amp;E1013</f>
        <v>0</v>
      </c>
    </row>
    <row r="1072" spans="1:2" x14ac:dyDescent="0.25">
      <c r="A1072" t="str">
        <f>COUNTIF($D$2:D1014,D1014)&amp;D1014</f>
        <v>0</v>
      </c>
      <c r="B1072" t="str">
        <f>COUNTIF($E$2:E1014,E1014)&amp;E1014</f>
        <v>0</v>
      </c>
    </row>
    <row r="1073" spans="1:2" x14ac:dyDescent="0.25">
      <c r="A1073" t="str">
        <f>COUNTIF($D$2:D1015,D1015)&amp;D1015</f>
        <v>0</v>
      </c>
      <c r="B1073" t="str">
        <f>COUNTIF($E$2:E1015,E1015)&amp;E1015</f>
        <v>0</v>
      </c>
    </row>
    <row r="1074" spans="1:2" x14ac:dyDescent="0.25">
      <c r="A1074" t="str">
        <f>COUNTIF($D$2:D1016,D1016)&amp;D1016</f>
        <v>0</v>
      </c>
      <c r="B1074" t="str">
        <f>COUNTIF($E$2:E1016,E1016)&amp;E1016</f>
        <v>0</v>
      </c>
    </row>
    <row r="1075" spans="1:2" x14ac:dyDescent="0.25">
      <c r="A1075" t="str">
        <f>COUNTIF($D$2:D1017,D1017)&amp;D1017</f>
        <v>0</v>
      </c>
      <c r="B1075" t="str">
        <f>COUNTIF($E$2:E1017,E1017)&amp;E1017</f>
        <v>0</v>
      </c>
    </row>
    <row r="1076" spans="1:2" x14ac:dyDescent="0.25">
      <c r="A1076" t="str">
        <f>COUNTIF($D$2:D1018,D1018)&amp;D1018</f>
        <v>0</v>
      </c>
      <c r="B1076" t="str">
        <f>COUNTIF($E$2:E1018,E1018)&amp;E1018</f>
        <v>0</v>
      </c>
    </row>
    <row r="1077" spans="1:2" x14ac:dyDescent="0.25">
      <c r="A1077" t="str">
        <f>COUNTIF($D$2:D1019,D1019)&amp;D1019</f>
        <v>0</v>
      </c>
      <c r="B1077" t="str">
        <f>COUNTIF($E$2:E1019,E1019)&amp;E1019</f>
        <v>0</v>
      </c>
    </row>
    <row r="1078" spans="1:2" x14ac:dyDescent="0.25">
      <c r="A1078" t="str">
        <f>COUNTIF($D$2:D1020,D1020)&amp;D1020</f>
        <v>0</v>
      </c>
      <c r="B1078" t="str">
        <f>COUNTIF($E$2:E1020,E1020)&amp;E1020</f>
        <v>0</v>
      </c>
    </row>
    <row r="1079" spans="1:2" x14ac:dyDescent="0.25">
      <c r="A1079" t="str">
        <f>COUNTIF($D$2:D1021,D1021)&amp;D1021</f>
        <v>0</v>
      </c>
      <c r="B1079" t="str">
        <f>COUNTIF($E$2:E1021,E1021)&amp;E1021</f>
        <v>0</v>
      </c>
    </row>
    <row r="1080" spans="1:2" x14ac:dyDescent="0.25">
      <c r="A1080" t="str">
        <f>COUNTIF($D$2:D1022,D1022)&amp;D1022</f>
        <v>0</v>
      </c>
      <c r="B1080" t="str">
        <f>COUNTIF($E$2:E1022,E1022)&amp;E1022</f>
        <v>0</v>
      </c>
    </row>
    <row r="1081" spans="1:2" x14ac:dyDescent="0.25">
      <c r="A1081" t="str">
        <f>COUNTIF($D$2:D1023,D1023)&amp;D1023</f>
        <v>0</v>
      </c>
      <c r="B1081" t="str">
        <f>COUNTIF($E$2:E1023,E1023)&amp;E1023</f>
        <v>0</v>
      </c>
    </row>
    <row r="1082" spans="1:2" x14ac:dyDescent="0.25">
      <c r="A1082" t="str">
        <f>COUNTIF($D$2:D1024,D1024)&amp;D1024</f>
        <v>0</v>
      </c>
      <c r="B1082" t="str">
        <f>COUNTIF($E$2:E1024,E1024)&amp;E1024</f>
        <v>0</v>
      </c>
    </row>
    <row r="1083" spans="1:2" x14ac:dyDescent="0.25">
      <c r="A1083" t="str">
        <f>COUNTIF($D$2:D1025,D1025)&amp;D1025</f>
        <v>0</v>
      </c>
      <c r="B1083" t="str">
        <f>COUNTIF($E$2:E1025,E1025)&amp;E1025</f>
        <v>0</v>
      </c>
    </row>
    <row r="1084" spans="1:2" x14ac:dyDescent="0.25">
      <c r="A1084" t="str">
        <f>COUNTIF($D$2:D1026,D1026)&amp;D1026</f>
        <v>0</v>
      </c>
      <c r="B1084" t="str">
        <f>COUNTIF($E$2:E1026,E1026)&amp;E1026</f>
        <v>0</v>
      </c>
    </row>
    <row r="1085" spans="1:2" x14ac:dyDescent="0.25">
      <c r="A1085" t="str">
        <f>COUNTIF($D$2:D1027,D1027)&amp;D1027</f>
        <v>0</v>
      </c>
      <c r="B1085" t="str">
        <f>COUNTIF($E$2:E1027,E1027)&amp;E1027</f>
        <v>0</v>
      </c>
    </row>
    <row r="1086" spans="1:2" x14ac:dyDescent="0.25">
      <c r="A1086" t="str">
        <f>COUNTIF($D$2:D1028,D1028)&amp;D1028</f>
        <v>0</v>
      </c>
      <c r="B1086" t="str">
        <f>COUNTIF($E$2:E1028,E1028)&amp;E1028</f>
        <v>0</v>
      </c>
    </row>
    <row r="1087" spans="1:2" x14ac:dyDescent="0.25">
      <c r="A1087" t="str">
        <f>COUNTIF($D$2:D1029,D1029)&amp;D1029</f>
        <v>0</v>
      </c>
      <c r="B1087" t="str">
        <f>COUNTIF($E$2:E1029,E1029)&amp;E1029</f>
        <v>0</v>
      </c>
    </row>
    <row r="1088" spans="1:2" x14ac:dyDescent="0.25">
      <c r="A1088" t="str">
        <f>COUNTIF($D$2:D1030,D1030)&amp;D1030</f>
        <v>0</v>
      </c>
      <c r="B1088" t="str">
        <f>COUNTIF($E$2:E1030,E1030)&amp;E1030</f>
        <v>0</v>
      </c>
    </row>
    <row r="1089" spans="1:2" x14ac:dyDescent="0.25">
      <c r="A1089" t="str">
        <f>COUNTIF($D$2:D1031,D1031)&amp;D1031</f>
        <v>0</v>
      </c>
      <c r="B1089" t="str">
        <f>COUNTIF($E$2:E1031,E1031)&amp;E1031</f>
        <v>0</v>
      </c>
    </row>
    <row r="1090" spans="1:2" x14ac:dyDescent="0.25">
      <c r="A1090" t="str">
        <f>COUNTIF($D$2:D1032,D1032)&amp;D1032</f>
        <v>0</v>
      </c>
      <c r="B1090" t="str">
        <f>COUNTIF($E$2:E1032,E1032)&amp;E1032</f>
        <v>0</v>
      </c>
    </row>
    <row r="1091" spans="1:2" x14ac:dyDescent="0.25">
      <c r="A1091" t="str">
        <f>COUNTIF($D$2:D1033,D1033)&amp;D1033</f>
        <v>0</v>
      </c>
      <c r="B1091" t="str">
        <f>COUNTIF($E$2:E1033,E1033)&amp;E1033</f>
        <v>0</v>
      </c>
    </row>
    <row r="1092" spans="1:2" x14ac:dyDescent="0.25">
      <c r="A1092" t="str">
        <f>COUNTIF($D$2:D1034,D1034)&amp;D1034</f>
        <v>0</v>
      </c>
      <c r="B1092" t="str">
        <f>COUNTIF($E$2:E1034,E1034)&amp;E1034</f>
        <v>0</v>
      </c>
    </row>
    <row r="1093" spans="1:2" x14ac:dyDescent="0.25">
      <c r="A1093" t="str">
        <f>COUNTIF($D$2:D1035,D1035)&amp;D1035</f>
        <v>0</v>
      </c>
      <c r="B1093" t="str">
        <f>COUNTIF($E$2:E1035,E1035)&amp;E1035</f>
        <v>0</v>
      </c>
    </row>
    <row r="1094" spans="1:2" x14ac:dyDescent="0.25">
      <c r="A1094" t="str">
        <f>COUNTIF($D$2:D1036,D1036)&amp;D1036</f>
        <v>0</v>
      </c>
      <c r="B1094" t="str">
        <f>COUNTIF($E$2:E1036,E1036)&amp;E1036</f>
        <v>0</v>
      </c>
    </row>
    <row r="1095" spans="1:2" x14ac:dyDescent="0.25">
      <c r="A1095" t="str">
        <f>COUNTIF($D$2:D1037,D1037)&amp;D1037</f>
        <v>0</v>
      </c>
      <c r="B1095" t="str">
        <f>COUNTIF($E$2:E1037,E1037)&amp;E1037</f>
        <v>0</v>
      </c>
    </row>
    <row r="1096" spans="1:2" x14ac:dyDescent="0.25">
      <c r="A1096" t="str">
        <f>COUNTIF($D$2:D1038,D1038)&amp;D1038</f>
        <v>0</v>
      </c>
      <c r="B1096" t="str">
        <f>COUNTIF($E$2:E1038,E1038)&amp;E1038</f>
        <v>0</v>
      </c>
    </row>
    <row r="1097" spans="1:2" x14ac:dyDescent="0.25">
      <c r="A1097" t="str">
        <f>COUNTIF($D$2:D1039,D1039)&amp;D1039</f>
        <v>0</v>
      </c>
      <c r="B1097" t="str">
        <f>COUNTIF($E$2:E1039,E1039)&amp;E1039</f>
        <v>0</v>
      </c>
    </row>
    <row r="1098" spans="1:2" x14ac:dyDescent="0.25">
      <c r="A1098" t="str">
        <f>COUNTIF($D$2:D1040,D1040)&amp;D1040</f>
        <v>0</v>
      </c>
      <c r="B1098" t="str">
        <f>COUNTIF($E$2:E1040,E1040)&amp;E1040</f>
        <v>0</v>
      </c>
    </row>
    <row r="1099" spans="1:2" x14ac:dyDescent="0.25">
      <c r="A1099" t="str">
        <f>COUNTIF($D$2:D1041,D1041)&amp;D1041</f>
        <v>0</v>
      </c>
      <c r="B1099" t="str">
        <f>COUNTIF($E$2:E1041,E1041)&amp;E1041</f>
        <v>0</v>
      </c>
    </row>
    <row r="1100" spans="1:2" x14ac:dyDescent="0.25">
      <c r="A1100" t="str">
        <f>COUNTIF($D$2:D1042,D1042)&amp;D1042</f>
        <v>0</v>
      </c>
      <c r="B1100" t="str">
        <f>COUNTIF($E$2:E1042,E1042)&amp;E1042</f>
        <v>0</v>
      </c>
    </row>
    <row r="1101" spans="1:2" x14ac:dyDescent="0.25">
      <c r="A1101" t="str">
        <f>COUNTIF($D$2:D1043,D1043)&amp;D1043</f>
        <v>0</v>
      </c>
      <c r="B1101" t="str">
        <f>COUNTIF($E$2:E1043,E1043)&amp;E1043</f>
        <v>0</v>
      </c>
    </row>
    <row r="1102" spans="1:2" x14ac:dyDescent="0.25">
      <c r="A1102" t="str">
        <f>COUNTIF($D$2:D1044,D1044)&amp;D1044</f>
        <v>0</v>
      </c>
      <c r="B1102" t="str">
        <f>COUNTIF($E$2:E1044,E1044)&amp;E1044</f>
        <v>0</v>
      </c>
    </row>
    <row r="1103" spans="1:2" x14ac:dyDescent="0.25">
      <c r="A1103" t="str">
        <f>COUNTIF($D$2:D1045,D1045)&amp;D1045</f>
        <v>0</v>
      </c>
      <c r="B1103" t="str">
        <f>COUNTIF($E$2:E1045,E1045)&amp;E1045</f>
        <v>0</v>
      </c>
    </row>
    <row r="1104" spans="1:2" x14ac:dyDescent="0.25">
      <c r="A1104" t="str">
        <f>COUNTIF($D$2:D1046,D1046)&amp;D1046</f>
        <v>0</v>
      </c>
      <c r="B1104" t="str">
        <f>COUNTIF($E$2:E1046,E1046)&amp;E1046</f>
        <v>0</v>
      </c>
    </row>
    <row r="1105" spans="1:2" x14ac:dyDescent="0.25">
      <c r="A1105" t="str">
        <f>COUNTIF($D$2:D1047,D1047)&amp;D1047</f>
        <v>0</v>
      </c>
      <c r="B1105" t="str">
        <f>COUNTIF($E$2:E1047,E1047)&amp;E1047</f>
        <v>0</v>
      </c>
    </row>
    <row r="1106" spans="1:2" x14ac:dyDescent="0.25">
      <c r="A1106" t="str">
        <f>COUNTIF($D$2:D1048,D1048)&amp;D1048</f>
        <v>0</v>
      </c>
      <c r="B1106" t="str">
        <f>COUNTIF($E$2:E1048,E1048)&amp;E1048</f>
        <v>0</v>
      </c>
    </row>
    <row r="1107" spans="1:2" x14ac:dyDescent="0.25">
      <c r="A1107" t="str">
        <f>COUNTIF($D$2:D1049,D1049)&amp;D1049</f>
        <v>0</v>
      </c>
      <c r="B1107" t="str">
        <f>COUNTIF($E$2:E1049,E1049)&amp;E1049</f>
        <v>0</v>
      </c>
    </row>
    <row r="1108" spans="1:2" x14ac:dyDescent="0.25">
      <c r="A1108" t="str">
        <f>COUNTIF($D$2:D1050,D1050)&amp;D1050</f>
        <v>0</v>
      </c>
      <c r="B1108" t="str">
        <f>COUNTIF($E$2:E1050,E1050)&amp;E1050</f>
        <v>0</v>
      </c>
    </row>
    <row r="1109" spans="1:2" x14ac:dyDescent="0.25">
      <c r="A1109" t="str">
        <f>COUNTIF($D$2:D1051,D1051)&amp;D1051</f>
        <v>0</v>
      </c>
      <c r="B1109" t="str">
        <f>COUNTIF($E$2:E1051,E1051)&amp;E1051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3"/>
  <sheetViews>
    <sheetView workbookViewId="0">
      <selection sqref="A1:AC33"/>
    </sheetView>
  </sheetViews>
  <sheetFormatPr defaultRowHeight="15" x14ac:dyDescent="0.25"/>
  <cols>
    <col min="1" max="1" width="11.140625" bestFit="1" customWidth="1"/>
    <col min="2" max="2" width="16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6</v>
      </c>
      <c r="B2" t="s">
        <v>144</v>
      </c>
      <c r="C2">
        <v>13</v>
      </c>
      <c r="D2">
        <v>6</v>
      </c>
      <c r="E2">
        <v>3</v>
      </c>
      <c r="F2">
        <v>4</v>
      </c>
      <c r="G2">
        <v>19</v>
      </c>
      <c r="H2">
        <v>11</v>
      </c>
      <c r="I2">
        <v>8</v>
      </c>
      <c r="J2">
        <v>21</v>
      </c>
      <c r="L2">
        <v>162</v>
      </c>
      <c r="N2">
        <v>4</v>
      </c>
      <c r="O2">
        <v>2</v>
      </c>
      <c r="P2">
        <v>1</v>
      </c>
      <c r="Q2">
        <v>12</v>
      </c>
      <c r="R2">
        <v>3</v>
      </c>
      <c r="W2">
        <v>2</v>
      </c>
      <c r="X2">
        <v>1</v>
      </c>
      <c r="Y2">
        <v>3</v>
      </c>
      <c r="Z2">
        <v>7</v>
      </c>
      <c r="AA2">
        <v>8</v>
      </c>
      <c r="AB2" s="49">
        <f>Wide_table___Brazil[[#This Row],[Wh]]/(Wide_table___Brazil[[#This Row],[Wh]]+Wide_table___Brazil[[#This Row],[Dh]]+Wide_table___Brazil[[#This Row],[Lh]])</f>
        <v>0.5714285714285714</v>
      </c>
      <c r="AC2" s="49">
        <f>Wide_table___Brazil[[#This Row],[Wa]]/(Wide_table___Brazil[[#This Row],[Wa]]+Wide_table___Brazil[[#This Row],[Da]]+Wide_table___Brazil[[#This Row],[La]])</f>
        <v>0.33333333333333331</v>
      </c>
    </row>
    <row r="3" spans="1:29" x14ac:dyDescent="0.25">
      <c r="A3">
        <v>8</v>
      </c>
      <c r="B3" t="s">
        <v>137</v>
      </c>
      <c r="C3">
        <v>13</v>
      </c>
      <c r="D3">
        <v>5</v>
      </c>
      <c r="E3">
        <v>2</v>
      </c>
      <c r="F3">
        <v>6</v>
      </c>
      <c r="G3">
        <v>11</v>
      </c>
      <c r="H3">
        <v>16</v>
      </c>
      <c r="I3">
        <v>-5</v>
      </c>
      <c r="J3">
        <v>17</v>
      </c>
      <c r="L3">
        <v>131</v>
      </c>
      <c r="N3">
        <v>2</v>
      </c>
      <c r="O3">
        <v>2</v>
      </c>
      <c r="P3">
        <v>3</v>
      </c>
      <c r="Q3">
        <v>7</v>
      </c>
      <c r="R3">
        <v>9</v>
      </c>
      <c r="W3">
        <v>3</v>
      </c>
      <c r="X3">
        <v>0</v>
      </c>
      <c r="Y3">
        <v>3</v>
      </c>
      <c r="Z3">
        <v>4</v>
      </c>
      <c r="AA3">
        <v>7</v>
      </c>
      <c r="AB3" s="49">
        <f>Wide_table___Brazil[[#This Row],[Wh]]/(Wide_table___Brazil[[#This Row],[Wh]]+Wide_table___Brazil[[#This Row],[Dh]]+Wide_table___Brazil[[#This Row],[Lh]])</f>
        <v>0.2857142857142857</v>
      </c>
      <c r="AC3" s="49">
        <f>Wide_table___Brazil[[#This Row],[Wa]]/(Wide_table___Brazil[[#This Row],[Wa]]+Wide_table___Brazil[[#This Row],[Da]]+Wide_table___Brazil[[#This Row],[La]])</f>
        <v>0.5</v>
      </c>
    </row>
    <row r="4" spans="1:29" x14ac:dyDescent="0.25">
      <c r="A4">
        <v>15</v>
      </c>
      <c r="B4" t="s">
        <v>147</v>
      </c>
      <c r="C4">
        <v>13</v>
      </c>
      <c r="D4">
        <v>3</v>
      </c>
      <c r="E4">
        <v>1</v>
      </c>
      <c r="F4">
        <v>9</v>
      </c>
      <c r="G4">
        <v>14</v>
      </c>
      <c r="H4">
        <v>30</v>
      </c>
      <c r="I4">
        <v>-16</v>
      </c>
      <c r="J4">
        <v>10</v>
      </c>
      <c r="L4">
        <v>77</v>
      </c>
      <c r="N4">
        <v>3</v>
      </c>
      <c r="O4">
        <v>0</v>
      </c>
      <c r="P4">
        <v>4</v>
      </c>
      <c r="Q4">
        <v>10</v>
      </c>
      <c r="R4">
        <v>12</v>
      </c>
      <c r="W4">
        <v>0</v>
      </c>
      <c r="X4">
        <v>1</v>
      </c>
      <c r="Y4">
        <v>5</v>
      </c>
      <c r="Z4">
        <v>4</v>
      </c>
      <c r="AA4">
        <v>18</v>
      </c>
      <c r="AB4" s="49">
        <f>Wide_table___Brazil[[#This Row],[Wh]]/(Wide_table___Brazil[[#This Row],[Wh]]+Wide_table___Brazil[[#This Row],[Dh]]+Wide_table___Brazil[[#This Row],[Lh]])</f>
        <v>0.42857142857142855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10</v>
      </c>
      <c r="B5" t="s">
        <v>162</v>
      </c>
      <c r="C5">
        <v>14</v>
      </c>
      <c r="D5">
        <v>4</v>
      </c>
      <c r="E5">
        <v>5</v>
      </c>
      <c r="F5">
        <v>5</v>
      </c>
      <c r="G5">
        <v>23</v>
      </c>
      <c r="H5">
        <v>25</v>
      </c>
      <c r="I5">
        <v>-2</v>
      </c>
      <c r="J5">
        <v>17</v>
      </c>
      <c r="L5">
        <v>121</v>
      </c>
      <c r="N5">
        <v>4</v>
      </c>
      <c r="O5">
        <v>2</v>
      </c>
      <c r="P5">
        <v>1</v>
      </c>
      <c r="Q5">
        <v>14</v>
      </c>
      <c r="R5">
        <v>9</v>
      </c>
      <c r="W5">
        <v>0</v>
      </c>
      <c r="X5">
        <v>3</v>
      </c>
      <c r="Y5">
        <v>4</v>
      </c>
      <c r="Z5">
        <v>9</v>
      </c>
      <c r="AA5">
        <v>16</v>
      </c>
      <c r="AB5" s="49">
        <f>Wide_table___Brazil[[#This Row],[Wh]]/(Wide_table___Brazil[[#This Row],[Wh]]+Wide_table___Brazil[[#This Row],[Dh]]+Wide_table___Brazil[[#This Row],[Lh]])</f>
        <v>0.5714285714285714</v>
      </c>
      <c r="AC5" s="49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2</v>
      </c>
      <c r="B6" t="s">
        <v>148</v>
      </c>
      <c r="C6">
        <v>14</v>
      </c>
      <c r="D6">
        <v>9</v>
      </c>
      <c r="E6">
        <v>2</v>
      </c>
      <c r="F6">
        <v>3</v>
      </c>
      <c r="G6">
        <v>27</v>
      </c>
      <c r="H6">
        <v>15</v>
      </c>
      <c r="I6">
        <v>12</v>
      </c>
      <c r="J6">
        <v>29</v>
      </c>
      <c r="L6">
        <v>207</v>
      </c>
      <c r="N6">
        <v>4</v>
      </c>
      <c r="O6">
        <v>1</v>
      </c>
      <c r="P6">
        <v>1</v>
      </c>
      <c r="Q6">
        <v>11</v>
      </c>
      <c r="R6">
        <v>8</v>
      </c>
      <c r="W6">
        <v>5</v>
      </c>
      <c r="X6">
        <v>1</v>
      </c>
      <c r="Y6">
        <v>2</v>
      </c>
      <c r="Z6">
        <v>16</v>
      </c>
      <c r="AA6">
        <v>7</v>
      </c>
      <c r="AB6" s="49">
        <f>Wide_table___Brazil[[#This Row],[Wh]]/(Wide_table___Brazil[[#This Row],[Wh]]+Wide_table___Brazil[[#This Row],[Dh]]+Wide_table___Brazil[[#This Row],[Lh]])</f>
        <v>0.66666666666666663</v>
      </c>
      <c r="AC6" s="49">
        <f>Wide_table___Brazil[[#This Row],[Wa]]/(Wide_table___Brazil[[#This Row],[Wa]]+Wide_table___Brazil[[#This Row],[Da]]+Wide_table___Brazil[[#This Row],[La]])</f>
        <v>0.625</v>
      </c>
    </row>
    <row r="7" spans="1:29" x14ac:dyDescent="0.25">
      <c r="A7">
        <v>13</v>
      </c>
      <c r="B7" t="s">
        <v>163</v>
      </c>
      <c r="C7">
        <v>14</v>
      </c>
      <c r="D7">
        <v>4</v>
      </c>
      <c r="E7">
        <v>2</v>
      </c>
      <c r="F7">
        <v>8</v>
      </c>
      <c r="G7">
        <v>16</v>
      </c>
      <c r="H7">
        <v>22</v>
      </c>
      <c r="I7">
        <v>-6</v>
      </c>
      <c r="J7">
        <v>14</v>
      </c>
      <c r="L7">
        <v>100</v>
      </c>
      <c r="N7">
        <v>3</v>
      </c>
      <c r="O7">
        <v>1</v>
      </c>
      <c r="P7">
        <v>3</v>
      </c>
      <c r="Q7">
        <v>9</v>
      </c>
      <c r="R7">
        <v>7</v>
      </c>
      <c r="W7">
        <v>1</v>
      </c>
      <c r="X7">
        <v>1</v>
      </c>
      <c r="Y7">
        <v>5</v>
      </c>
      <c r="Z7">
        <v>7</v>
      </c>
      <c r="AA7">
        <v>15</v>
      </c>
      <c r="AB7" s="49">
        <f>Wide_table___Brazil[[#This Row],[Wh]]/(Wide_table___Brazil[[#This Row],[Wh]]+Wide_table___Brazil[[#This Row],[Dh]]+Wide_table___Brazil[[#This Row],[Lh]])</f>
        <v>0.42857142857142855</v>
      </c>
      <c r="AC7" s="49">
        <f>Wide_table___Brazil[[#This Row],[Wa]]/(Wide_table___Brazil[[#This Row],[Wa]]+Wide_table___Brazil[[#This Row],[Da]]+Wide_table___Brazil[[#This Row],[La]])</f>
        <v>0.14285714285714285</v>
      </c>
    </row>
    <row r="8" spans="1:29" x14ac:dyDescent="0.25">
      <c r="A8">
        <v>10</v>
      </c>
      <c r="B8" t="s">
        <v>138</v>
      </c>
      <c r="C8">
        <v>13</v>
      </c>
      <c r="D8">
        <v>4</v>
      </c>
      <c r="E8">
        <v>2</v>
      </c>
      <c r="F8">
        <v>7</v>
      </c>
      <c r="G8">
        <v>15</v>
      </c>
      <c r="H8">
        <v>21</v>
      </c>
      <c r="I8">
        <v>-6</v>
      </c>
      <c r="J8">
        <v>14</v>
      </c>
      <c r="L8">
        <v>108</v>
      </c>
      <c r="N8">
        <v>4</v>
      </c>
      <c r="O8">
        <v>0</v>
      </c>
      <c r="P8">
        <v>2</v>
      </c>
      <c r="Q8">
        <v>11</v>
      </c>
      <c r="R8">
        <v>7</v>
      </c>
      <c r="W8">
        <v>0</v>
      </c>
      <c r="X8">
        <v>2</v>
      </c>
      <c r="Y8">
        <v>5</v>
      </c>
      <c r="Z8">
        <v>4</v>
      </c>
      <c r="AA8">
        <v>14</v>
      </c>
      <c r="AB8" s="49">
        <f>Wide_table___Brazil[[#This Row],[Wh]]/(Wide_table___Brazil[[#This Row],[Wh]]+Wide_table___Brazil[[#This Row],[Dh]]+Wide_table___Brazil[[#This Row],[Lh]])</f>
        <v>0.66666666666666663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14</v>
      </c>
      <c r="B9" t="s">
        <v>143</v>
      </c>
      <c r="C9">
        <v>13</v>
      </c>
      <c r="D9">
        <v>2</v>
      </c>
      <c r="E9">
        <v>5</v>
      </c>
      <c r="F9">
        <v>6</v>
      </c>
      <c r="G9">
        <v>11</v>
      </c>
      <c r="H9">
        <v>18</v>
      </c>
      <c r="I9">
        <v>-7</v>
      </c>
      <c r="J9">
        <v>11</v>
      </c>
      <c r="L9">
        <v>85</v>
      </c>
      <c r="N9">
        <v>1</v>
      </c>
      <c r="O9">
        <v>2</v>
      </c>
      <c r="P9">
        <v>2</v>
      </c>
      <c r="Q9">
        <v>5</v>
      </c>
      <c r="R9">
        <v>8</v>
      </c>
      <c r="W9">
        <v>1</v>
      </c>
      <c r="X9">
        <v>3</v>
      </c>
      <c r="Y9">
        <v>4</v>
      </c>
      <c r="Z9">
        <v>6</v>
      </c>
      <c r="AA9">
        <v>10</v>
      </c>
      <c r="AB9" s="49">
        <f>Wide_table___Brazil[[#This Row],[Wh]]/(Wide_table___Brazil[[#This Row],[Wh]]+Wide_table___Brazil[[#This Row],[Dh]]+Wide_table___Brazil[[#This Row],[Lh]])</f>
        <v>0.2</v>
      </c>
      <c r="AC9" s="49">
        <f>Wide_table___Brazil[[#This Row],[Wa]]/(Wide_table___Brazil[[#This Row],[Wa]]+Wide_table___Brazil[[#This Row],[Da]]+Wide_table___Brazil[[#This Row],[La]])</f>
        <v>0.125</v>
      </c>
    </row>
    <row r="10" spans="1:29" x14ac:dyDescent="0.25">
      <c r="A10">
        <v>7</v>
      </c>
      <c r="B10" t="s">
        <v>149</v>
      </c>
      <c r="C10">
        <v>14</v>
      </c>
      <c r="D10">
        <v>6</v>
      </c>
      <c r="E10">
        <v>3</v>
      </c>
      <c r="F10">
        <v>5</v>
      </c>
      <c r="G10">
        <v>25</v>
      </c>
      <c r="H10">
        <v>20</v>
      </c>
      <c r="I10">
        <v>5</v>
      </c>
      <c r="J10">
        <v>21</v>
      </c>
      <c r="L10">
        <v>150</v>
      </c>
      <c r="N10">
        <v>5</v>
      </c>
      <c r="O10">
        <v>1</v>
      </c>
      <c r="P10">
        <v>2</v>
      </c>
      <c r="Q10">
        <v>18</v>
      </c>
      <c r="R10">
        <v>11</v>
      </c>
      <c r="W10">
        <v>1</v>
      </c>
      <c r="X10">
        <v>2</v>
      </c>
      <c r="Y10">
        <v>3</v>
      </c>
      <c r="Z10">
        <v>7</v>
      </c>
      <c r="AA10">
        <v>9</v>
      </c>
      <c r="AB10" s="49">
        <f>Wide_table___Brazil[[#This Row],[Wh]]/(Wide_table___Brazil[[#This Row],[Wh]]+Wide_table___Brazil[[#This Row],[Dh]]+Wide_table___Brazil[[#This Row],[Lh]])</f>
        <v>0.625</v>
      </c>
      <c r="AC10" s="49">
        <f>Wide_table___Brazil[[#This Row],[Wa]]/(Wide_table___Brazil[[#This Row],[Wa]]+Wide_table___Brazil[[#This Row],[Da]]+Wide_table___Brazil[[#This Row],[La]])</f>
        <v>0.16666666666666666</v>
      </c>
    </row>
    <row r="11" spans="1:29" x14ac:dyDescent="0.25">
      <c r="A11">
        <v>12</v>
      </c>
      <c r="B11" t="s">
        <v>142</v>
      </c>
      <c r="C11">
        <v>13</v>
      </c>
      <c r="D11">
        <v>4</v>
      </c>
      <c r="E11">
        <v>1</v>
      </c>
      <c r="F11">
        <v>8</v>
      </c>
      <c r="G11">
        <v>17</v>
      </c>
      <c r="H11">
        <v>23</v>
      </c>
      <c r="I11">
        <v>-6</v>
      </c>
      <c r="J11">
        <v>13</v>
      </c>
      <c r="L11">
        <v>100</v>
      </c>
      <c r="N11">
        <v>3</v>
      </c>
      <c r="O11">
        <v>1</v>
      </c>
      <c r="P11">
        <v>2</v>
      </c>
      <c r="Q11">
        <v>12</v>
      </c>
      <c r="R11">
        <v>7</v>
      </c>
      <c r="W11">
        <v>1</v>
      </c>
      <c r="X11">
        <v>0</v>
      </c>
      <c r="Y11">
        <v>6</v>
      </c>
      <c r="Z11">
        <v>5</v>
      </c>
      <c r="AA11">
        <v>16</v>
      </c>
      <c r="AB11" s="49">
        <f>Wide_table___Brazil[[#This Row],[Wh]]/(Wide_table___Brazil[[#This Row],[Wh]]+Wide_table___Brazil[[#This Row],[Dh]]+Wide_table___Brazil[[#This Row],[Lh]])</f>
        <v>0.5</v>
      </c>
      <c r="AC11" s="49">
        <f>Wide_table___Brazil[[#This Row],[Wa]]/(Wide_table___Brazil[[#This Row],[Wa]]+Wide_table___Brazil[[#This Row],[Da]]+Wide_table___Brazil[[#This Row],[La]])</f>
        <v>0.14285714285714285</v>
      </c>
    </row>
    <row r="12" spans="1:29" x14ac:dyDescent="0.25">
      <c r="A12">
        <v>9</v>
      </c>
      <c r="B12" t="s">
        <v>150</v>
      </c>
      <c r="C12">
        <v>14</v>
      </c>
      <c r="D12">
        <v>5</v>
      </c>
      <c r="E12">
        <v>4</v>
      </c>
      <c r="F12">
        <v>5</v>
      </c>
      <c r="G12">
        <v>16</v>
      </c>
      <c r="H12">
        <v>19</v>
      </c>
      <c r="I12">
        <v>-3</v>
      </c>
      <c r="J12">
        <v>19</v>
      </c>
      <c r="L12">
        <v>136</v>
      </c>
      <c r="N12">
        <v>4</v>
      </c>
      <c r="O12">
        <v>2</v>
      </c>
      <c r="P12">
        <v>1</v>
      </c>
      <c r="Q12">
        <v>12</v>
      </c>
      <c r="R12">
        <v>7</v>
      </c>
      <c r="W12">
        <v>1</v>
      </c>
      <c r="X12">
        <v>2</v>
      </c>
      <c r="Y12">
        <v>4</v>
      </c>
      <c r="Z12">
        <v>4</v>
      </c>
      <c r="AA12">
        <v>12</v>
      </c>
      <c r="AB12" s="49">
        <f>Wide_table___Brazil[[#This Row],[Wh]]/(Wide_table___Brazil[[#This Row],[Wh]]+Wide_table___Brazil[[#This Row],[Dh]]+Wide_table___Brazil[[#This Row],[Lh]])</f>
        <v>0.5714285714285714</v>
      </c>
      <c r="AC12" s="49">
        <f>Wide_table___Brazil[[#This Row],[Wa]]/(Wide_table___Brazil[[#This Row],[Wa]]+Wide_table___Brazil[[#This Row],[Da]]+Wide_table___Brazil[[#This Row],[La]])</f>
        <v>0.14285714285714285</v>
      </c>
    </row>
    <row r="13" spans="1:29" x14ac:dyDescent="0.25">
      <c r="A13">
        <v>3</v>
      </c>
      <c r="B13" t="s">
        <v>134</v>
      </c>
      <c r="C13">
        <v>12</v>
      </c>
      <c r="D13">
        <v>7</v>
      </c>
      <c r="E13">
        <v>2</v>
      </c>
      <c r="F13">
        <v>3</v>
      </c>
      <c r="G13">
        <v>30</v>
      </c>
      <c r="H13">
        <v>22</v>
      </c>
      <c r="I13">
        <v>8</v>
      </c>
      <c r="J13">
        <v>23</v>
      </c>
      <c r="L13">
        <v>192</v>
      </c>
      <c r="N13">
        <v>4</v>
      </c>
      <c r="O13">
        <v>1</v>
      </c>
      <c r="P13">
        <v>1</v>
      </c>
      <c r="Q13">
        <v>15</v>
      </c>
      <c r="R13">
        <v>7</v>
      </c>
      <c r="W13">
        <v>3</v>
      </c>
      <c r="X13">
        <v>1</v>
      </c>
      <c r="Y13">
        <v>2</v>
      </c>
      <c r="Z13">
        <v>15</v>
      </c>
      <c r="AA13">
        <v>15</v>
      </c>
      <c r="AB13" s="49">
        <f>Wide_table___Brazil[[#This Row],[Wh]]/(Wide_table___Brazil[[#This Row],[Wh]]+Wide_table___Brazil[[#This Row],[Dh]]+Wide_table___Brazil[[#This Row],[Lh]])</f>
        <v>0.66666666666666663</v>
      </c>
      <c r="AC13" s="49">
        <f>Wide_table___Brazil[[#This Row],[Wa]]/(Wide_table___Brazil[[#This Row],[Wa]]+Wide_table___Brazil[[#This Row],[Da]]+Wide_table___Brazil[[#This Row],[La]])</f>
        <v>0.5</v>
      </c>
    </row>
    <row r="14" spans="1:29" x14ac:dyDescent="0.25">
      <c r="A14">
        <v>8</v>
      </c>
      <c r="B14" t="s">
        <v>155</v>
      </c>
      <c r="C14">
        <v>14</v>
      </c>
      <c r="D14">
        <v>6</v>
      </c>
      <c r="E14">
        <v>3</v>
      </c>
      <c r="F14">
        <v>5</v>
      </c>
      <c r="G14">
        <v>16</v>
      </c>
      <c r="H14">
        <v>13</v>
      </c>
      <c r="I14">
        <v>3</v>
      </c>
      <c r="J14">
        <v>21</v>
      </c>
      <c r="L14">
        <v>150</v>
      </c>
      <c r="N14">
        <v>4</v>
      </c>
      <c r="O14">
        <v>1</v>
      </c>
      <c r="P14">
        <v>2</v>
      </c>
      <c r="Q14">
        <v>10</v>
      </c>
      <c r="R14">
        <v>7</v>
      </c>
      <c r="W14">
        <v>2</v>
      </c>
      <c r="X14">
        <v>2</v>
      </c>
      <c r="Y14">
        <v>3</v>
      </c>
      <c r="Z14">
        <v>6</v>
      </c>
      <c r="AA14">
        <v>6</v>
      </c>
      <c r="AB14" s="49">
        <f>Wide_table___Brazil[[#This Row],[Wh]]/(Wide_table___Brazil[[#This Row],[Wh]]+Wide_table___Brazil[[#This Row],[Dh]]+Wide_table___Brazil[[#This Row],[Lh]])</f>
        <v>0.5714285714285714</v>
      </c>
      <c r="AC14" s="49">
        <f>Wide_table___Brazil[[#This Row],[Wa]]/(Wide_table___Brazil[[#This Row],[Wa]]+Wide_table___Brazil[[#This Row],[Da]]+Wide_table___Brazil[[#This Row],[La]])</f>
        <v>0.2857142857142857</v>
      </c>
    </row>
    <row r="15" spans="1:29" x14ac:dyDescent="0.25">
      <c r="A15">
        <v>13</v>
      </c>
      <c r="B15" t="s">
        <v>145</v>
      </c>
      <c r="C15">
        <v>13</v>
      </c>
      <c r="D15">
        <v>3</v>
      </c>
      <c r="E15">
        <v>4</v>
      </c>
      <c r="F15">
        <v>6</v>
      </c>
      <c r="G15">
        <v>11</v>
      </c>
      <c r="H15">
        <v>19</v>
      </c>
      <c r="I15">
        <v>-8</v>
      </c>
      <c r="J15">
        <v>13</v>
      </c>
      <c r="L15">
        <v>100</v>
      </c>
      <c r="N15">
        <v>1</v>
      </c>
      <c r="O15">
        <v>3</v>
      </c>
      <c r="P15">
        <v>3</v>
      </c>
      <c r="Q15">
        <v>4</v>
      </c>
      <c r="R15">
        <v>6</v>
      </c>
      <c r="W15">
        <v>2</v>
      </c>
      <c r="X15">
        <v>1</v>
      </c>
      <c r="Y15">
        <v>3</v>
      </c>
      <c r="Z15">
        <v>7</v>
      </c>
      <c r="AA15">
        <v>13</v>
      </c>
      <c r="AB15" s="49">
        <f>Wide_table___Brazil[[#This Row],[Wh]]/(Wide_table___Brazil[[#This Row],[Wh]]+Wide_table___Brazil[[#This Row],[Dh]]+Wide_table___Brazil[[#This Row],[Lh]])</f>
        <v>0.14285714285714285</v>
      </c>
      <c r="AC15" s="49">
        <f>Wide_table___Brazil[[#This Row],[Wa]]/(Wide_table___Brazil[[#This Row],[Wa]]+Wide_table___Brazil[[#This Row],[Da]]+Wide_table___Brazil[[#This Row],[La]])</f>
        <v>0.33333333333333331</v>
      </c>
    </row>
    <row r="16" spans="1:29" x14ac:dyDescent="0.25">
      <c r="A16">
        <v>6</v>
      </c>
      <c r="B16" t="s">
        <v>159</v>
      </c>
      <c r="C16">
        <v>14</v>
      </c>
      <c r="D16">
        <v>7</v>
      </c>
      <c r="E16">
        <v>1</v>
      </c>
      <c r="F16">
        <v>6</v>
      </c>
      <c r="G16">
        <v>16</v>
      </c>
      <c r="H16">
        <v>18</v>
      </c>
      <c r="I16">
        <v>-2</v>
      </c>
      <c r="J16">
        <v>22</v>
      </c>
      <c r="L16">
        <v>157</v>
      </c>
      <c r="N16">
        <v>4</v>
      </c>
      <c r="O16">
        <v>1</v>
      </c>
      <c r="P16">
        <v>1</v>
      </c>
      <c r="Q16">
        <v>7</v>
      </c>
      <c r="R16">
        <v>5</v>
      </c>
      <c r="W16">
        <v>3</v>
      </c>
      <c r="X16">
        <v>0</v>
      </c>
      <c r="Y16">
        <v>5</v>
      </c>
      <c r="Z16">
        <v>9</v>
      </c>
      <c r="AA16">
        <v>13</v>
      </c>
      <c r="AB16" s="49">
        <f>Wide_table___Brazil[[#This Row],[Wh]]/(Wide_table___Brazil[[#This Row],[Wh]]+Wide_table___Brazil[[#This Row],[Dh]]+Wide_table___Brazil[[#This Row],[Lh]])</f>
        <v>0.66666666666666663</v>
      </c>
      <c r="AC16" s="49">
        <f>Wide_table___Brazil[[#This Row],[Wa]]/(Wide_table___Brazil[[#This Row],[Wa]]+Wide_table___Brazil[[#This Row],[Da]]+Wide_table___Brazil[[#This Row],[La]])</f>
        <v>0.375</v>
      </c>
    </row>
    <row r="17" spans="1:29" x14ac:dyDescent="0.25">
      <c r="A17">
        <v>15</v>
      </c>
      <c r="B17" t="s">
        <v>151</v>
      </c>
      <c r="C17">
        <v>14</v>
      </c>
      <c r="D17">
        <v>3</v>
      </c>
      <c r="E17">
        <v>3</v>
      </c>
      <c r="F17">
        <v>8</v>
      </c>
      <c r="G17">
        <v>18</v>
      </c>
      <c r="H17">
        <v>27</v>
      </c>
      <c r="I17">
        <v>-9</v>
      </c>
      <c r="J17">
        <v>12</v>
      </c>
      <c r="L17">
        <v>86</v>
      </c>
      <c r="N17">
        <v>3</v>
      </c>
      <c r="O17">
        <v>1</v>
      </c>
      <c r="P17">
        <v>3</v>
      </c>
      <c r="Q17">
        <v>11</v>
      </c>
      <c r="R17">
        <v>10</v>
      </c>
      <c r="W17">
        <v>0</v>
      </c>
      <c r="X17">
        <v>2</v>
      </c>
      <c r="Y17">
        <v>5</v>
      </c>
      <c r="Z17">
        <v>7</v>
      </c>
      <c r="AA17">
        <v>17</v>
      </c>
      <c r="AB17" s="49">
        <f>Wide_table___Brazil[[#This Row],[Wh]]/(Wide_table___Brazil[[#This Row],[Wh]]+Wide_table___Brazil[[#This Row],[Dh]]+Wide_table___Brazil[[#This Row],[Lh]])</f>
        <v>0.42857142857142855</v>
      </c>
      <c r="AC17" s="49">
        <f>Wide_table___Brazil[[#This Row],[Wa]]/(Wide_table___Brazil[[#This Row],[Wa]]+Wide_table___Brazil[[#This Row],[Da]]+Wide_table___Brazil[[#This Row],[La]])</f>
        <v>0</v>
      </c>
    </row>
    <row r="18" spans="1:29" x14ac:dyDescent="0.25">
      <c r="A18">
        <v>4</v>
      </c>
      <c r="B18" t="s">
        <v>136</v>
      </c>
      <c r="C18">
        <v>13</v>
      </c>
      <c r="D18">
        <v>7</v>
      </c>
      <c r="E18">
        <v>2</v>
      </c>
      <c r="F18">
        <v>4</v>
      </c>
      <c r="G18">
        <v>22</v>
      </c>
      <c r="H18">
        <v>15</v>
      </c>
      <c r="I18">
        <v>7</v>
      </c>
      <c r="J18">
        <v>23</v>
      </c>
      <c r="L18">
        <v>177</v>
      </c>
      <c r="N18">
        <v>5</v>
      </c>
      <c r="O18">
        <v>1</v>
      </c>
      <c r="P18">
        <v>1</v>
      </c>
      <c r="Q18">
        <v>13</v>
      </c>
      <c r="R18">
        <v>6</v>
      </c>
      <c r="W18">
        <v>2</v>
      </c>
      <c r="X18">
        <v>1</v>
      </c>
      <c r="Y18">
        <v>3</v>
      </c>
      <c r="Z18">
        <v>9</v>
      </c>
      <c r="AA18">
        <v>9</v>
      </c>
      <c r="AB18" s="49">
        <f>Wide_table___Brazil[[#This Row],[Wh]]/(Wide_table___Brazil[[#This Row],[Wh]]+Wide_table___Brazil[[#This Row],[Dh]]+Wide_table___Brazil[[#This Row],[Lh]])</f>
        <v>0.7142857142857143</v>
      </c>
      <c r="AC18" s="49">
        <f>Wide_table___Brazil[[#This Row],[Wa]]/(Wide_table___Brazil[[#This Row],[Wa]]+Wide_table___Brazil[[#This Row],[Da]]+Wide_table___Brazil[[#This Row],[La]])</f>
        <v>0.33333333333333331</v>
      </c>
    </row>
    <row r="19" spans="1:29" x14ac:dyDescent="0.25">
      <c r="A19">
        <v>11</v>
      </c>
      <c r="B19" t="s">
        <v>156</v>
      </c>
      <c r="C19">
        <v>14</v>
      </c>
      <c r="D19">
        <v>5</v>
      </c>
      <c r="E19">
        <v>2</v>
      </c>
      <c r="F19">
        <v>7</v>
      </c>
      <c r="G19">
        <v>17</v>
      </c>
      <c r="H19">
        <v>24</v>
      </c>
      <c r="I19">
        <v>-7</v>
      </c>
      <c r="J19">
        <v>17</v>
      </c>
      <c r="L19">
        <v>121</v>
      </c>
      <c r="N19">
        <v>2</v>
      </c>
      <c r="O19">
        <v>1</v>
      </c>
      <c r="P19">
        <v>4</v>
      </c>
      <c r="Q19">
        <v>5</v>
      </c>
      <c r="R19">
        <v>8</v>
      </c>
      <c r="W19">
        <v>3</v>
      </c>
      <c r="X19">
        <v>1</v>
      </c>
      <c r="Y19">
        <v>3</v>
      </c>
      <c r="Z19">
        <v>12</v>
      </c>
      <c r="AA19">
        <v>16</v>
      </c>
      <c r="AB19" s="49">
        <f>Wide_table___Brazil[[#This Row],[Wh]]/(Wide_table___Brazil[[#This Row],[Wh]]+Wide_table___Brazil[[#This Row],[Dh]]+Wide_table___Brazil[[#This Row],[Lh]])</f>
        <v>0.2857142857142857</v>
      </c>
      <c r="AC19" s="49">
        <f>Wide_table___Brazil[[#This Row],[Wa]]/(Wide_table___Brazil[[#This Row],[Wa]]+Wide_table___Brazil[[#This Row],[Da]]+Wide_table___Brazil[[#This Row],[La]])</f>
        <v>0.42857142857142855</v>
      </c>
    </row>
    <row r="20" spans="1:29" x14ac:dyDescent="0.25">
      <c r="A20">
        <v>1</v>
      </c>
      <c r="B20" t="s">
        <v>133</v>
      </c>
      <c r="C20">
        <v>13</v>
      </c>
      <c r="D20">
        <v>10</v>
      </c>
      <c r="E20">
        <v>3</v>
      </c>
      <c r="F20">
        <v>0</v>
      </c>
      <c r="G20">
        <v>24</v>
      </c>
      <c r="H20">
        <v>7</v>
      </c>
      <c r="I20">
        <v>17</v>
      </c>
      <c r="J20">
        <v>33</v>
      </c>
      <c r="L20">
        <v>254</v>
      </c>
      <c r="N20">
        <v>5</v>
      </c>
      <c r="O20">
        <v>1</v>
      </c>
      <c r="P20">
        <v>0</v>
      </c>
      <c r="Q20">
        <v>13</v>
      </c>
      <c r="R20">
        <v>3</v>
      </c>
      <c r="W20">
        <v>5</v>
      </c>
      <c r="X20">
        <v>2</v>
      </c>
      <c r="Y20">
        <v>0</v>
      </c>
      <c r="Z20">
        <v>11</v>
      </c>
      <c r="AA20">
        <v>4</v>
      </c>
      <c r="AB20" s="49">
        <f>Wide_table___Brazil[[#This Row],[Wh]]/(Wide_table___Brazil[[#This Row],[Wh]]+Wide_table___Brazil[[#This Row],[Dh]]+Wide_table___Brazil[[#This Row],[Lh]])</f>
        <v>0.83333333333333337</v>
      </c>
      <c r="AC20" s="49">
        <f>Wide_table___Brazil[[#This Row],[Wa]]/(Wide_table___Brazil[[#This Row],[Wa]]+Wide_table___Brazil[[#This Row],[Da]]+Wide_table___Brazil[[#This Row],[La]])</f>
        <v>0.7142857142857143</v>
      </c>
    </row>
    <row r="21" spans="1:29" x14ac:dyDescent="0.25">
      <c r="A21">
        <v>7</v>
      </c>
      <c r="B21" t="s">
        <v>140</v>
      </c>
      <c r="C21">
        <v>13</v>
      </c>
      <c r="D21">
        <v>6</v>
      </c>
      <c r="E21">
        <v>3</v>
      </c>
      <c r="F21">
        <v>4</v>
      </c>
      <c r="G21">
        <v>14</v>
      </c>
      <c r="H21">
        <v>15</v>
      </c>
      <c r="I21">
        <v>-1</v>
      </c>
      <c r="J21">
        <v>21</v>
      </c>
      <c r="L21">
        <v>162</v>
      </c>
      <c r="N21">
        <v>4</v>
      </c>
      <c r="O21">
        <v>2</v>
      </c>
      <c r="P21">
        <v>1</v>
      </c>
      <c r="Q21">
        <v>12</v>
      </c>
      <c r="R21">
        <v>6</v>
      </c>
      <c r="W21">
        <v>2</v>
      </c>
      <c r="X21">
        <v>1</v>
      </c>
      <c r="Y21">
        <v>3</v>
      </c>
      <c r="Z21">
        <v>2</v>
      </c>
      <c r="AA21">
        <v>9</v>
      </c>
      <c r="AB21" s="49">
        <f>Wide_table___Brazil[[#This Row],[Wh]]/(Wide_table___Brazil[[#This Row],[Wh]]+Wide_table___Brazil[[#This Row],[Dh]]+Wide_table___Brazil[[#This Row],[Lh]])</f>
        <v>0.5714285714285714</v>
      </c>
      <c r="AC21" s="49">
        <f>Wide_table___Brazil[[#This Row],[Wa]]/(Wide_table___Brazil[[#This Row],[Wa]]+Wide_table___Brazil[[#This Row],[Da]]+Wide_table___Brazil[[#This Row],[La]])</f>
        <v>0.33333333333333331</v>
      </c>
    </row>
    <row r="22" spans="1:29" x14ac:dyDescent="0.25">
      <c r="A22">
        <v>9</v>
      </c>
      <c r="B22" t="s">
        <v>139</v>
      </c>
      <c r="C22">
        <v>13</v>
      </c>
      <c r="D22">
        <v>3</v>
      </c>
      <c r="E22">
        <v>5</v>
      </c>
      <c r="F22">
        <v>5</v>
      </c>
      <c r="G22">
        <v>19</v>
      </c>
      <c r="H22">
        <v>22</v>
      </c>
      <c r="I22">
        <v>-3</v>
      </c>
      <c r="J22">
        <v>14</v>
      </c>
      <c r="L22">
        <v>108</v>
      </c>
      <c r="N22">
        <v>3</v>
      </c>
      <c r="O22">
        <v>1</v>
      </c>
      <c r="P22">
        <v>3</v>
      </c>
      <c r="Q22">
        <v>12</v>
      </c>
      <c r="R22">
        <v>10</v>
      </c>
      <c r="W22">
        <v>0</v>
      </c>
      <c r="X22">
        <v>4</v>
      </c>
      <c r="Y22">
        <v>2</v>
      </c>
      <c r="Z22">
        <v>7</v>
      </c>
      <c r="AA22">
        <v>12</v>
      </c>
      <c r="AB22" s="49">
        <f>Wide_table___Brazil[[#This Row],[Wh]]/(Wide_table___Brazil[[#This Row],[Wh]]+Wide_table___Brazil[[#This Row],[Dh]]+Wide_table___Brazil[[#This Row],[Lh]])</f>
        <v>0.42857142857142855</v>
      </c>
      <c r="AC22" s="49">
        <f>Wide_table___Brazil[[#This Row],[Wa]]/(Wide_table___Brazil[[#This Row],[Wa]]+Wide_table___Brazil[[#This Row],[Da]]+Wide_table___Brazil[[#This Row],[La]])</f>
        <v>0</v>
      </c>
    </row>
    <row r="23" spans="1:29" x14ac:dyDescent="0.25">
      <c r="A23">
        <v>2</v>
      </c>
      <c r="B23" t="s">
        <v>132</v>
      </c>
      <c r="C23">
        <v>13</v>
      </c>
      <c r="D23">
        <v>10</v>
      </c>
      <c r="E23">
        <v>2</v>
      </c>
      <c r="F23">
        <v>1</v>
      </c>
      <c r="G23">
        <v>35</v>
      </c>
      <c r="H23">
        <v>11</v>
      </c>
      <c r="I23">
        <v>24</v>
      </c>
      <c r="J23">
        <v>32</v>
      </c>
      <c r="L23">
        <v>246</v>
      </c>
      <c r="N23">
        <v>6</v>
      </c>
      <c r="O23">
        <v>0</v>
      </c>
      <c r="P23">
        <v>0</v>
      </c>
      <c r="Q23">
        <v>21</v>
      </c>
      <c r="R23">
        <v>4</v>
      </c>
      <c r="W23">
        <v>4</v>
      </c>
      <c r="X23">
        <v>2</v>
      </c>
      <c r="Y23">
        <v>1</v>
      </c>
      <c r="Z23">
        <v>14</v>
      </c>
      <c r="AA23">
        <v>7</v>
      </c>
      <c r="AB23" s="49">
        <f>Wide_table___Brazil[[#This Row],[Wh]]/(Wide_table___Brazil[[#This Row],[Wh]]+Wide_table___Brazil[[#This Row],[Dh]]+Wide_table___Brazil[[#This Row],[Lh]])</f>
        <v>1</v>
      </c>
      <c r="AC23" s="49">
        <f>Wide_table___Brazil[[#This Row],[Wa]]/(Wide_table___Brazil[[#This Row],[Wa]]+Wide_table___Brazil[[#This Row],[Da]]+Wide_table___Brazil[[#This Row],[La]])</f>
        <v>0.5714285714285714</v>
      </c>
    </row>
    <row r="24" spans="1:29" x14ac:dyDescent="0.25">
      <c r="A24">
        <v>16</v>
      </c>
      <c r="B24" t="s">
        <v>153</v>
      </c>
      <c r="C24">
        <v>14</v>
      </c>
      <c r="D24">
        <v>2</v>
      </c>
      <c r="E24">
        <v>5</v>
      </c>
      <c r="F24">
        <v>7</v>
      </c>
      <c r="G24">
        <v>17</v>
      </c>
      <c r="H24">
        <v>26</v>
      </c>
      <c r="I24">
        <v>-9</v>
      </c>
      <c r="J24">
        <v>11</v>
      </c>
      <c r="L24">
        <v>79</v>
      </c>
      <c r="N24">
        <v>2</v>
      </c>
      <c r="O24">
        <v>2</v>
      </c>
      <c r="P24">
        <v>3</v>
      </c>
      <c r="Q24">
        <v>7</v>
      </c>
      <c r="R24">
        <v>10</v>
      </c>
      <c r="W24">
        <v>0</v>
      </c>
      <c r="X24">
        <v>3</v>
      </c>
      <c r="Y24">
        <v>4</v>
      </c>
      <c r="Z24">
        <v>10</v>
      </c>
      <c r="AA24">
        <v>16</v>
      </c>
      <c r="AB24" s="49">
        <f>Wide_table___Brazil[[#This Row],[Wh]]/(Wide_table___Brazil[[#This Row],[Wh]]+Wide_table___Brazil[[#This Row],[Dh]]+Wide_table___Brazil[[#This Row],[Lh]])</f>
        <v>0.2857142857142857</v>
      </c>
      <c r="AC24" s="49">
        <f>Wide_table___Brazil[[#This Row],[Wa]]/(Wide_table___Brazil[[#This Row],[Wa]]+Wide_table___Brazil[[#This Row],[Da]]+Wide_table___Brazil[[#This Row],[La]])</f>
        <v>0</v>
      </c>
    </row>
    <row r="25" spans="1:29" x14ac:dyDescent="0.25">
      <c r="A25">
        <v>3</v>
      </c>
      <c r="B25" t="s">
        <v>152</v>
      </c>
      <c r="C25">
        <v>14</v>
      </c>
      <c r="D25">
        <v>7</v>
      </c>
      <c r="E25">
        <v>4</v>
      </c>
      <c r="F25">
        <v>3</v>
      </c>
      <c r="G25">
        <v>19</v>
      </c>
      <c r="H25">
        <v>13</v>
      </c>
      <c r="I25">
        <v>6</v>
      </c>
      <c r="J25">
        <v>25</v>
      </c>
      <c r="L25">
        <v>179</v>
      </c>
      <c r="N25">
        <v>4</v>
      </c>
      <c r="O25">
        <v>3</v>
      </c>
      <c r="P25">
        <v>1</v>
      </c>
      <c r="Q25">
        <v>12</v>
      </c>
      <c r="R25">
        <v>6</v>
      </c>
      <c r="W25">
        <v>3</v>
      </c>
      <c r="X25">
        <v>1</v>
      </c>
      <c r="Y25">
        <v>2</v>
      </c>
      <c r="Z25">
        <v>7</v>
      </c>
      <c r="AA25">
        <v>7</v>
      </c>
      <c r="AB25" s="49">
        <f>Wide_table___Brazil[[#This Row],[Wh]]/(Wide_table___Brazil[[#This Row],[Wh]]+Wide_table___Brazil[[#This Row],[Dh]]+Wide_table___Brazil[[#This Row],[Lh]])</f>
        <v>0.5</v>
      </c>
      <c r="AC25" s="49">
        <f>Wide_table___Brazil[[#This Row],[Wa]]/(Wide_table___Brazil[[#This Row],[Wa]]+Wide_table___Brazil[[#This Row],[Da]]+Wide_table___Brazil[[#This Row],[La]])</f>
        <v>0.5</v>
      </c>
    </row>
    <row r="26" spans="1:29" x14ac:dyDescent="0.25">
      <c r="A26">
        <v>11</v>
      </c>
      <c r="B26" t="s">
        <v>135</v>
      </c>
      <c r="C26">
        <v>13</v>
      </c>
      <c r="D26">
        <v>3</v>
      </c>
      <c r="E26">
        <v>4</v>
      </c>
      <c r="F26">
        <v>6</v>
      </c>
      <c r="G26">
        <v>10</v>
      </c>
      <c r="H26">
        <v>14</v>
      </c>
      <c r="I26">
        <v>-4</v>
      </c>
      <c r="J26">
        <v>13</v>
      </c>
      <c r="L26">
        <v>100</v>
      </c>
      <c r="N26">
        <v>1</v>
      </c>
      <c r="O26">
        <v>3</v>
      </c>
      <c r="P26">
        <v>2</v>
      </c>
      <c r="Q26">
        <v>2</v>
      </c>
      <c r="R26">
        <v>3</v>
      </c>
      <c r="W26">
        <v>2</v>
      </c>
      <c r="X26">
        <v>1</v>
      </c>
      <c r="Y26">
        <v>4</v>
      </c>
      <c r="Z26">
        <v>8</v>
      </c>
      <c r="AA26">
        <v>11</v>
      </c>
      <c r="AB26" s="49">
        <f>Wide_table___Brazil[[#This Row],[Wh]]/(Wide_table___Brazil[[#This Row],[Wh]]+Wide_table___Brazil[[#This Row],[Dh]]+Wide_table___Brazil[[#This Row],[Lh]])</f>
        <v>0.16666666666666666</v>
      </c>
      <c r="AC26" s="49">
        <f>Wide_table___Brazil[[#This Row],[Wa]]/(Wide_table___Brazil[[#This Row],[Wa]]+Wide_table___Brazil[[#This Row],[Da]]+Wide_table___Brazil[[#This Row],[La]])</f>
        <v>0.2857142857142857</v>
      </c>
    </row>
    <row r="27" spans="1:29" x14ac:dyDescent="0.25">
      <c r="A27">
        <v>14</v>
      </c>
      <c r="B27" t="s">
        <v>161</v>
      </c>
      <c r="C27">
        <v>14</v>
      </c>
      <c r="D27">
        <v>2</v>
      </c>
      <c r="E27">
        <v>6</v>
      </c>
      <c r="F27">
        <v>6</v>
      </c>
      <c r="G27">
        <v>23</v>
      </c>
      <c r="H27">
        <v>27</v>
      </c>
      <c r="I27">
        <v>-4</v>
      </c>
      <c r="J27">
        <v>12</v>
      </c>
      <c r="L27">
        <v>86</v>
      </c>
      <c r="N27">
        <v>1</v>
      </c>
      <c r="O27">
        <v>6</v>
      </c>
      <c r="P27">
        <v>1</v>
      </c>
      <c r="Q27">
        <v>17</v>
      </c>
      <c r="R27">
        <v>17</v>
      </c>
      <c r="W27">
        <v>1</v>
      </c>
      <c r="X27">
        <v>0</v>
      </c>
      <c r="Y27">
        <v>5</v>
      </c>
      <c r="Z27">
        <v>6</v>
      </c>
      <c r="AA27">
        <v>10</v>
      </c>
      <c r="AB27" s="49">
        <f>Wide_table___Brazil[[#This Row],[Wh]]/(Wide_table___Brazil[[#This Row],[Wh]]+Wide_table___Brazil[[#This Row],[Dh]]+Wide_table___Brazil[[#This Row],[Lh]])</f>
        <v>0.125</v>
      </c>
      <c r="AC27" s="49">
        <f>Wide_table___Brazil[[#This Row],[Wa]]/(Wide_table___Brazil[[#This Row],[Wa]]+Wide_table___Brazil[[#This Row],[Da]]+Wide_table___Brazil[[#This Row],[La]])</f>
        <v>0.16666666666666666</v>
      </c>
    </row>
    <row r="28" spans="1:29" x14ac:dyDescent="0.25">
      <c r="A28">
        <v>12</v>
      </c>
      <c r="B28" t="s">
        <v>160</v>
      </c>
      <c r="C28">
        <v>14</v>
      </c>
      <c r="D28">
        <v>4</v>
      </c>
      <c r="E28">
        <v>3</v>
      </c>
      <c r="F28">
        <v>7</v>
      </c>
      <c r="G28">
        <v>25</v>
      </c>
      <c r="H28">
        <v>28</v>
      </c>
      <c r="I28">
        <v>-3</v>
      </c>
      <c r="J28">
        <v>15</v>
      </c>
      <c r="L28">
        <v>107</v>
      </c>
      <c r="N28">
        <v>3</v>
      </c>
      <c r="O28">
        <v>1</v>
      </c>
      <c r="P28">
        <v>3</v>
      </c>
      <c r="Q28">
        <v>15</v>
      </c>
      <c r="R28">
        <v>14</v>
      </c>
      <c r="W28">
        <v>1</v>
      </c>
      <c r="X28">
        <v>2</v>
      </c>
      <c r="Y28">
        <v>4</v>
      </c>
      <c r="Z28">
        <v>10</v>
      </c>
      <c r="AA28">
        <v>14</v>
      </c>
      <c r="AB28" s="49">
        <f>Wide_table___Brazil[[#This Row],[Wh]]/(Wide_table___Brazil[[#This Row],[Wh]]+Wide_table___Brazil[[#This Row],[Dh]]+Wide_table___Brazil[[#This Row],[Lh]])</f>
        <v>0.42857142857142855</v>
      </c>
      <c r="AC28" s="49">
        <f>Wide_table___Brazil[[#This Row],[Wa]]/(Wide_table___Brazil[[#This Row],[Wa]]+Wide_table___Brazil[[#This Row],[Da]]+Wide_table___Brazil[[#This Row],[La]])</f>
        <v>0.14285714285714285</v>
      </c>
    </row>
    <row r="29" spans="1:29" x14ac:dyDescent="0.25">
      <c r="A29">
        <v>5</v>
      </c>
      <c r="B29" t="s">
        <v>141</v>
      </c>
      <c r="C29">
        <v>12</v>
      </c>
      <c r="D29">
        <v>7</v>
      </c>
      <c r="E29">
        <v>1</v>
      </c>
      <c r="F29">
        <v>4</v>
      </c>
      <c r="G29">
        <v>30</v>
      </c>
      <c r="H29">
        <v>17</v>
      </c>
      <c r="I29">
        <v>13</v>
      </c>
      <c r="J29">
        <v>22</v>
      </c>
      <c r="L29">
        <v>183</v>
      </c>
      <c r="N29">
        <v>5</v>
      </c>
      <c r="O29">
        <v>1</v>
      </c>
      <c r="P29">
        <v>1</v>
      </c>
      <c r="Q29">
        <v>17</v>
      </c>
      <c r="R29">
        <v>8</v>
      </c>
      <c r="W29">
        <v>2</v>
      </c>
      <c r="X29">
        <v>0</v>
      </c>
      <c r="Y29">
        <v>3</v>
      </c>
      <c r="Z29">
        <v>13</v>
      </c>
      <c r="AA29">
        <v>9</v>
      </c>
      <c r="AB29" s="49">
        <f>Wide_table___Brazil[[#This Row],[Wh]]/(Wide_table___Brazil[[#This Row],[Wh]]+Wide_table___Brazil[[#This Row],[Dh]]+Wide_table___Brazil[[#This Row],[Lh]])</f>
        <v>0.7142857142857143</v>
      </c>
      <c r="AC29" s="49">
        <f>Wide_table___Brazil[[#This Row],[Wa]]/(Wide_table___Brazil[[#This Row],[Wa]]+Wide_table___Brazil[[#This Row],[Da]]+Wide_table___Brazil[[#This Row],[La]])</f>
        <v>0.4</v>
      </c>
    </row>
    <row r="30" spans="1:29" x14ac:dyDescent="0.25">
      <c r="A30">
        <v>4</v>
      </c>
      <c r="B30" t="s">
        <v>157</v>
      </c>
      <c r="C30">
        <v>14</v>
      </c>
      <c r="D30">
        <v>5</v>
      </c>
      <c r="E30">
        <v>7</v>
      </c>
      <c r="F30">
        <v>2</v>
      </c>
      <c r="G30">
        <v>20</v>
      </c>
      <c r="H30">
        <v>16</v>
      </c>
      <c r="I30">
        <v>4</v>
      </c>
      <c r="J30">
        <v>22</v>
      </c>
      <c r="L30">
        <v>157</v>
      </c>
      <c r="N30">
        <v>3</v>
      </c>
      <c r="O30">
        <v>3</v>
      </c>
      <c r="P30">
        <v>0</v>
      </c>
      <c r="Q30">
        <v>10</v>
      </c>
      <c r="R30">
        <v>6</v>
      </c>
      <c r="W30">
        <v>2</v>
      </c>
      <c r="X30">
        <v>4</v>
      </c>
      <c r="Y30">
        <v>2</v>
      </c>
      <c r="Z30">
        <v>10</v>
      </c>
      <c r="AA30">
        <v>10</v>
      </c>
      <c r="AB30" s="49">
        <f>Wide_table___Brazil[[#This Row],[Wh]]/(Wide_table___Brazil[[#This Row],[Wh]]+Wide_table___Brazil[[#This Row],[Dh]]+Wide_table___Brazil[[#This Row],[Lh]])</f>
        <v>0.5</v>
      </c>
      <c r="AC30" s="49">
        <f>Wide_table___Brazil[[#This Row],[Wa]]/(Wide_table___Brazil[[#This Row],[Wa]]+Wide_table___Brazil[[#This Row],[Da]]+Wide_table___Brazil[[#This Row],[La]])</f>
        <v>0.25</v>
      </c>
    </row>
    <row r="31" spans="1:29" x14ac:dyDescent="0.25">
      <c r="A31">
        <v>1</v>
      </c>
      <c r="B31" t="s">
        <v>154</v>
      </c>
      <c r="C31">
        <v>14</v>
      </c>
      <c r="D31">
        <v>9</v>
      </c>
      <c r="E31">
        <v>3</v>
      </c>
      <c r="F31">
        <v>2</v>
      </c>
      <c r="G31">
        <v>28</v>
      </c>
      <c r="H31">
        <v>16</v>
      </c>
      <c r="I31">
        <v>12</v>
      </c>
      <c r="J31">
        <v>30</v>
      </c>
      <c r="L31">
        <v>214</v>
      </c>
      <c r="N31">
        <v>6</v>
      </c>
      <c r="O31">
        <v>0</v>
      </c>
      <c r="P31">
        <v>1</v>
      </c>
      <c r="Q31">
        <v>18</v>
      </c>
      <c r="R31">
        <v>9</v>
      </c>
      <c r="W31">
        <v>3</v>
      </c>
      <c r="X31">
        <v>3</v>
      </c>
      <c r="Y31">
        <v>1</v>
      </c>
      <c r="Z31">
        <v>10</v>
      </c>
      <c r="AA31">
        <v>7</v>
      </c>
      <c r="AB31" s="49">
        <f>Wide_table___Brazil[[#This Row],[Wh]]/(Wide_table___Brazil[[#This Row],[Wh]]+Wide_table___Brazil[[#This Row],[Dh]]+Wide_table___Brazil[[#This Row],[Lh]])</f>
        <v>0.8571428571428571</v>
      </c>
      <c r="AC31" s="49">
        <f>Wide_table___Brazil[[#This Row],[Wa]]/(Wide_table___Brazil[[#This Row],[Wa]]+Wide_table___Brazil[[#This Row],[Da]]+Wide_table___Brazil[[#This Row],[La]])</f>
        <v>0.42857142857142855</v>
      </c>
    </row>
    <row r="32" spans="1:29" x14ac:dyDescent="0.25">
      <c r="A32">
        <v>5</v>
      </c>
      <c r="B32" t="s">
        <v>158</v>
      </c>
      <c r="C32">
        <v>14</v>
      </c>
      <c r="D32">
        <v>7</v>
      </c>
      <c r="E32">
        <v>1</v>
      </c>
      <c r="F32">
        <v>6</v>
      </c>
      <c r="G32">
        <v>19</v>
      </c>
      <c r="H32">
        <v>16</v>
      </c>
      <c r="I32">
        <v>3</v>
      </c>
      <c r="J32">
        <v>22</v>
      </c>
      <c r="L32">
        <v>157</v>
      </c>
      <c r="N32">
        <v>3</v>
      </c>
      <c r="O32">
        <v>1</v>
      </c>
      <c r="P32">
        <v>3</v>
      </c>
      <c r="Q32">
        <v>9</v>
      </c>
      <c r="R32">
        <v>6</v>
      </c>
      <c r="W32">
        <v>4</v>
      </c>
      <c r="X32">
        <v>0</v>
      </c>
      <c r="Y32">
        <v>3</v>
      </c>
      <c r="Z32">
        <v>10</v>
      </c>
      <c r="AA32">
        <v>10</v>
      </c>
      <c r="AB32" s="49">
        <f>Wide_table___Brazil[[#This Row],[Wh]]/(Wide_table___Brazil[[#This Row],[Wh]]+Wide_table___Brazil[[#This Row],[Dh]]+Wide_table___Brazil[[#This Row],[Lh]])</f>
        <v>0.42857142857142855</v>
      </c>
      <c r="AC32" s="49">
        <f>Wide_table___Brazil[[#This Row],[Wa]]/(Wide_table___Brazil[[#This Row],[Wa]]+Wide_table___Brazil[[#This Row],[Da]]+Wide_table___Brazil[[#This Row],[La]])</f>
        <v>0.5714285714285714</v>
      </c>
    </row>
    <row r="33" spans="1:29" x14ac:dyDescent="0.25">
      <c r="A33">
        <v>16</v>
      </c>
      <c r="B33" t="s">
        <v>146</v>
      </c>
      <c r="C33">
        <v>13</v>
      </c>
      <c r="D33">
        <v>1</v>
      </c>
      <c r="E33">
        <v>4</v>
      </c>
      <c r="F33">
        <v>8</v>
      </c>
      <c r="G33">
        <v>13</v>
      </c>
      <c r="H33">
        <v>34</v>
      </c>
      <c r="I33">
        <v>-21</v>
      </c>
      <c r="J33">
        <v>7</v>
      </c>
      <c r="L33">
        <v>54</v>
      </c>
      <c r="N33">
        <v>1</v>
      </c>
      <c r="O33">
        <v>2</v>
      </c>
      <c r="P33">
        <v>3</v>
      </c>
      <c r="Q33">
        <v>10</v>
      </c>
      <c r="R33">
        <v>20</v>
      </c>
      <c r="W33">
        <v>0</v>
      </c>
      <c r="X33">
        <v>2</v>
      </c>
      <c r="Y33">
        <v>5</v>
      </c>
      <c r="Z33">
        <v>3</v>
      </c>
      <c r="AA33">
        <v>14</v>
      </c>
      <c r="AB33" s="49">
        <f>Wide_table___Brazil[[#This Row],[Wh]]/(Wide_table___Brazil[[#This Row],[Wh]]+Wide_table___Brazil[[#This Row],[Dh]]+Wide_table___Brazil[[#This Row],[Lh]])</f>
        <v>0.16666666666666666</v>
      </c>
      <c r="AC33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33"/>
  <sheetViews>
    <sheetView workbookViewId="0">
      <selection sqref="A1:N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134</v>
      </c>
      <c r="B2">
        <v>12</v>
      </c>
      <c r="C2">
        <v>433</v>
      </c>
      <c r="D2">
        <v>1</v>
      </c>
      <c r="E2">
        <v>0.92</v>
      </c>
      <c r="F2">
        <v>0.83</v>
      </c>
      <c r="G2">
        <v>0.57999999999999996</v>
      </c>
      <c r="H2">
        <v>0.17</v>
      </c>
      <c r="I2">
        <v>0.17</v>
      </c>
      <c r="J2">
        <v>0.75</v>
      </c>
      <c r="K2">
        <v>0</v>
      </c>
      <c r="L2">
        <v>0.25</v>
      </c>
      <c r="M2">
        <v>0</v>
      </c>
      <c r="N2">
        <v>0.25</v>
      </c>
    </row>
    <row r="3" spans="1:14" x14ac:dyDescent="0.25">
      <c r="A3" t="s">
        <v>141</v>
      </c>
      <c r="B3">
        <v>12</v>
      </c>
      <c r="C3">
        <v>392</v>
      </c>
      <c r="D3">
        <v>1</v>
      </c>
      <c r="E3">
        <v>0.83</v>
      </c>
      <c r="F3">
        <v>0.67</v>
      </c>
      <c r="G3">
        <v>0.42</v>
      </c>
      <c r="H3">
        <v>0.33</v>
      </c>
      <c r="I3">
        <v>0.25</v>
      </c>
      <c r="J3">
        <v>0.67</v>
      </c>
      <c r="K3">
        <v>0.08</v>
      </c>
      <c r="L3">
        <v>0.25</v>
      </c>
      <c r="M3">
        <v>0.08</v>
      </c>
      <c r="N3">
        <v>0.25</v>
      </c>
    </row>
    <row r="4" spans="1:14" x14ac:dyDescent="0.25">
      <c r="A4" t="s">
        <v>146</v>
      </c>
      <c r="B4">
        <v>13</v>
      </c>
      <c r="C4">
        <v>362</v>
      </c>
      <c r="D4">
        <v>0.85</v>
      </c>
      <c r="E4">
        <v>0.69</v>
      </c>
      <c r="F4">
        <v>0.46</v>
      </c>
      <c r="G4">
        <v>0.31</v>
      </c>
      <c r="H4">
        <v>0.31</v>
      </c>
      <c r="I4">
        <v>0.23</v>
      </c>
      <c r="J4">
        <v>0.62</v>
      </c>
      <c r="K4">
        <v>0.15</v>
      </c>
      <c r="L4">
        <v>0.38</v>
      </c>
      <c r="M4">
        <v>0</v>
      </c>
      <c r="N4">
        <v>0.23</v>
      </c>
    </row>
    <row r="5" spans="1:14" x14ac:dyDescent="0.25">
      <c r="A5" t="s">
        <v>132</v>
      </c>
      <c r="B5">
        <v>13</v>
      </c>
      <c r="C5">
        <v>354</v>
      </c>
      <c r="D5">
        <v>1</v>
      </c>
      <c r="E5">
        <v>0.92</v>
      </c>
      <c r="F5">
        <v>0.62</v>
      </c>
      <c r="G5">
        <v>0.54</v>
      </c>
      <c r="H5">
        <v>0.23</v>
      </c>
      <c r="I5">
        <v>0.15</v>
      </c>
      <c r="J5">
        <v>0.62</v>
      </c>
      <c r="K5">
        <v>0.38</v>
      </c>
      <c r="L5">
        <v>0</v>
      </c>
      <c r="M5">
        <v>0.38</v>
      </c>
      <c r="N5">
        <v>0</v>
      </c>
    </row>
    <row r="6" spans="1:14" x14ac:dyDescent="0.25">
      <c r="A6" t="s">
        <v>147</v>
      </c>
      <c r="B6">
        <v>13</v>
      </c>
      <c r="C6">
        <v>338</v>
      </c>
      <c r="D6">
        <v>1</v>
      </c>
      <c r="E6">
        <v>0.85</v>
      </c>
      <c r="F6">
        <v>0.69</v>
      </c>
      <c r="G6">
        <v>0.38</v>
      </c>
      <c r="H6">
        <v>0.23</v>
      </c>
      <c r="I6">
        <v>0.15</v>
      </c>
      <c r="J6">
        <v>0.62</v>
      </c>
      <c r="K6">
        <v>0.15</v>
      </c>
      <c r="L6">
        <v>0.23</v>
      </c>
      <c r="M6">
        <v>0.15</v>
      </c>
      <c r="N6">
        <v>0.23</v>
      </c>
    </row>
    <row r="7" spans="1:14" x14ac:dyDescent="0.25">
      <c r="A7" t="s">
        <v>139</v>
      </c>
      <c r="B7">
        <v>13</v>
      </c>
      <c r="C7">
        <v>315</v>
      </c>
      <c r="D7">
        <v>1</v>
      </c>
      <c r="E7">
        <v>0.85</v>
      </c>
      <c r="F7">
        <v>0.46</v>
      </c>
      <c r="G7">
        <v>0.38</v>
      </c>
      <c r="H7">
        <v>0.23</v>
      </c>
      <c r="I7">
        <v>0.15</v>
      </c>
      <c r="J7">
        <v>0.62</v>
      </c>
      <c r="K7">
        <v>0.15</v>
      </c>
      <c r="L7">
        <v>0.23</v>
      </c>
      <c r="M7">
        <v>0.15</v>
      </c>
      <c r="N7">
        <v>0.23</v>
      </c>
    </row>
    <row r="8" spans="1:14" x14ac:dyDescent="0.25">
      <c r="A8" t="s">
        <v>142</v>
      </c>
      <c r="B8">
        <v>13</v>
      </c>
      <c r="C8">
        <v>308</v>
      </c>
      <c r="D8">
        <v>1</v>
      </c>
      <c r="E8">
        <v>0.69</v>
      </c>
      <c r="F8">
        <v>0.54</v>
      </c>
      <c r="G8">
        <v>0.38</v>
      </c>
      <c r="H8">
        <v>0.23</v>
      </c>
      <c r="I8">
        <v>0.15</v>
      </c>
      <c r="J8">
        <v>0.62</v>
      </c>
      <c r="K8">
        <v>0.15</v>
      </c>
      <c r="L8">
        <v>0.23</v>
      </c>
      <c r="M8">
        <v>0.15</v>
      </c>
      <c r="N8">
        <v>0.23</v>
      </c>
    </row>
    <row r="9" spans="1:14" x14ac:dyDescent="0.25">
      <c r="A9" t="s">
        <v>136</v>
      </c>
      <c r="B9">
        <v>13</v>
      </c>
      <c r="C9">
        <v>285</v>
      </c>
      <c r="D9">
        <v>0.92</v>
      </c>
      <c r="E9">
        <v>0.92</v>
      </c>
      <c r="F9">
        <v>0.62</v>
      </c>
      <c r="G9">
        <v>0.31</v>
      </c>
      <c r="H9">
        <v>0.08</v>
      </c>
      <c r="I9">
        <v>0</v>
      </c>
      <c r="J9">
        <v>0.54</v>
      </c>
      <c r="K9">
        <v>0.31</v>
      </c>
      <c r="L9">
        <v>0.23</v>
      </c>
      <c r="M9">
        <v>0.23</v>
      </c>
      <c r="N9">
        <v>0.15</v>
      </c>
    </row>
    <row r="10" spans="1:14" x14ac:dyDescent="0.25">
      <c r="A10" t="s">
        <v>138</v>
      </c>
      <c r="B10">
        <v>13</v>
      </c>
      <c r="C10">
        <v>277</v>
      </c>
      <c r="D10">
        <v>1</v>
      </c>
      <c r="E10">
        <v>0.77</v>
      </c>
      <c r="F10">
        <v>0.38</v>
      </c>
      <c r="G10">
        <v>0.31</v>
      </c>
      <c r="H10">
        <v>0.15</v>
      </c>
      <c r="I10">
        <v>0.15</v>
      </c>
      <c r="J10">
        <v>0.54</v>
      </c>
      <c r="K10">
        <v>0.23</v>
      </c>
      <c r="L10">
        <v>0.23</v>
      </c>
      <c r="M10">
        <v>0.23</v>
      </c>
      <c r="N10">
        <v>0.23</v>
      </c>
    </row>
    <row r="11" spans="1:14" x14ac:dyDescent="0.25">
      <c r="A11" t="s">
        <v>133</v>
      </c>
      <c r="B11">
        <v>13</v>
      </c>
      <c r="C11">
        <v>238</v>
      </c>
      <c r="D11">
        <v>0.92</v>
      </c>
      <c r="E11">
        <v>0.69</v>
      </c>
      <c r="F11">
        <v>0.31</v>
      </c>
      <c r="G11">
        <v>0.23</v>
      </c>
      <c r="H11">
        <v>0.15</v>
      </c>
      <c r="I11">
        <v>0.08</v>
      </c>
      <c r="J11">
        <v>0.46</v>
      </c>
      <c r="K11">
        <v>0.54</v>
      </c>
      <c r="L11">
        <v>0.08</v>
      </c>
      <c r="M11">
        <v>0.46</v>
      </c>
      <c r="N11">
        <v>0</v>
      </c>
    </row>
    <row r="12" spans="1:14" x14ac:dyDescent="0.25">
      <c r="A12" t="s">
        <v>144</v>
      </c>
      <c r="B12">
        <v>13</v>
      </c>
      <c r="C12">
        <v>231</v>
      </c>
      <c r="D12">
        <v>0.92</v>
      </c>
      <c r="E12">
        <v>0.69</v>
      </c>
      <c r="F12">
        <v>0.31</v>
      </c>
      <c r="G12">
        <v>0.23</v>
      </c>
      <c r="H12">
        <v>0.08</v>
      </c>
      <c r="I12">
        <v>0.08</v>
      </c>
      <c r="J12">
        <v>0.38</v>
      </c>
      <c r="K12">
        <v>0.46</v>
      </c>
      <c r="L12">
        <v>0.23</v>
      </c>
      <c r="M12">
        <v>0.38</v>
      </c>
      <c r="N12">
        <v>0.15</v>
      </c>
    </row>
    <row r="13" spans="1:14" x14ac:dyDescent="0.25">
      <c r="A13" t="s">
        <v>145</v>
      </c>
      <c r="B13">
        <v>13</v>
      </c>
      <c r="C13">
        <v>231</v>
      </c>
      <c r="D13">
        <v>0.92</v>
      </c>
      <c r="E13">
        <v>0.46</v>
      </c>
      <c r="F13">
        <v>0.23</v>
      </c>
      <c r="G13">
        <v>0.15</v>
      </c>
      <c r="H13">
        <v>0.15</v>
      </c>
      <c r="I13">
        <v>0.15</v>
      </c>
      <c r="J13">
        <v>0.46</v>
      </c>
      <c r="K13">
        <v>0.23</v>
      </c>
      <c r="L13">
        <v>0.38</v>
      </c>
      <c r="M13">
        <v>0.15</v>
      </c>
      <c r="N13">
        <v>0.31</v>
      </c>
    </row>
    <row r="14" spans="1:14" x14ac:dyDescent="0.25">
      <c r="A14" t="s">
        <v>143</v>
      </c>
      <c r="B14">
        <v>13</v>
      </c>
      <c r="C14">
        <v>223</v>
      </c>
      <c r="D14">
        <v>0.85</v>
      </c>
      <c r="E14">
        <v>0.62</v>
      </c>
      <c r="F14">
        <v>0.31</v>
      </c>
      <c r="G14">
        <v>0.23</v>
      </c>
      <c r="H14">
        <v>0.15</v>
      </c>
      <c r="I14">
        <v>0.08</v>
      </c>
      <c r="J14">
        <v>0.54</v>
      </c>
      <c r="K14">
        <v>0.31</v>
      </c>
      <c r="L14">
        <v>0.31</v>
      </c>
      <c r="M14">
        <v>0.15</v>
      </c>
      <c r="N14">
        <v>0.15</v>
      </c>
    </row>
    <row r="15" spans="1:14" x14ac:dyDescent="0.25">
      <c r="A15" t="s">
        <v>140</v>
      </c>
      <c r="B15">
        <v>13</v>
      </c>
      <c r="C15">
        <v>223</v>
      </c>
      <c r="D15">
        <v>0.92</v>
      </c>
      <c r="E15">
        <v>0.69</v>
      </c>
      <c r="F15">
        <v>0.23</v>
      </c>
      <c r="G15">
        <v>0.23</v>
      </c>
      <c r="H15">
        <v>0.15</v>
      </c>
      <c r="I15">
        <v>0</v>
      </c>
      <c r="J15">
        <v>0.23</v>
      </c>
      <c r="K15">
        <v>0.46</v>
      </c>
      <c r="L15">
        <v>0.38</v>
      </c>
      <c r="M15">
        <v>0.38</v>
      </c>
      <c r="N15">
        <v>0.31</v>
      </c>
    </row>
    <row r="16" spans="1:14" x14ac:dyDescent="0.25">
      <c r="A16" t="s">
        <v>137</v>
      </c>
      <c r="B16">
        <v>13</v>
      </c>
      <c r="C16">
        <v>208</v>
      </c>
      <c r="D16">
        <v>0.92</v>
      </c>
      <c r="E16">
        <v>0.62</v>
      </c>
      <c r="F16">
        <v>0.38</v>
      </c>
      <c r="G16">
        <v>0.08</v>
      </c>
      <c r="H16">
        <v>0.08</v>
      </c>
      <c r="I16">
        <v>0</v>
      </c>
      <c r="J16">
        <v>0.38</v>
      </c>
      <c r="K16">
        <v>0.31</v>
      </c>
      <c r="L16">
        <v>0.38</v>
      </c>
      <c r="M16">
        <v>0.23</v>
      </c>
      <c r="N16">
        <v>0.31</v>
      </c>
    </row>
    <row r="17" spans="1:14" x14ac:dyDescent="0.25">
      <c r="A17" t="s">
        <v>135</v>
      </c>
      <c r="B17">
        <v>13</v>
      </c>
      <c r="C17">
        <v>185</v>
      </c>
      <c r="D17">
        <v>0.85</v>
      </c>
      <c r="E17">
        <v>0.46</v>
      </c>
      <c r="F17">
        <v>0.31</v>
      </c>
      <c r="G17">
        <v>0.08</v>
      </c>
      <c r="H17">
        <v>0.08</v>
      </c>
      <c r="I17">
        <v>0.08</v>
      </c>
      <c r="J17">
        <v>0.38</v>
      </c>
      <c r="K17">
        <v>0.31</v>
      </c>
      <c r="L17">
        <v>0.46</v>
      </c>
      <c r="M17">
        <v>0.15</v>
      </c>
      <c r="N17">
        <v>0.31</v>
      </c>
    </row>
    <row r="18" spans="1:14" x14ac:dyDescent="0.25">
      <c r="A18" t="s">
        <v>160</v>
      </c>
      <c r="B18">
        <v>14</v>
      </c>
      <c r="C18">
        <v>379</v>
      </c>
      <c r="D18">
        <v>1</v>
      </c>
      <c r="E18">
        <v>0.86</v>
      </c>
      <c r="F18">
        <v>0.64</v>
      </c>
      <c r="G18">
        <v>0.56999999999999995</v>
      </c>
      <c r="H18">
        <v>0.43</v>
      </c>
      <c r="I18">
        <v>0.28999999999999998</v>
      </c>
      <c r="J18">
        <v>0.71</v>
      </c>
      <c r="K18">
        <v>7.0000000000000007E-2</v>
      </c>
      <c r="L18">
        <v>0.21</v>
      </c>
      <c r="M18">
        <v>7.0000000000000007E-2</v>
      </c>
      <c r="N18">
        <v>0.21</v>
      </c>
    </row>
    <row r="19" spans="1:14" x14ac:dyDescent="0.25">
      <c r="A19" t="s">
        <v>161</v>
      </c>
      <c r="B19">
        <v>14</v>
      </c>
      <c r="C19">
        <v>357</v>
      </c>
      <c r="D19">
        <v>1</v>
      </c>
      <c r="E19">
        <v>0.79</v>
      </c>
      <c r="F19">
        <v>0.56999999999999995</v>
      </c>
      <c r="G19">
        <v>0.43</v>
      </c>
      <c r="H19">
        <v>0.36</v>
      </c>
      <c r="I19">
        <v>0.36</v>
      </c>
      <c r="J19">
        <v>0.71</v>
      </c>
      <c r="K19">
        <v>0</v>
      </c>
      <c r="L19">
        <v>0.28999999999999998</v>
      </c>
      <c r="M19">
        <v>0</v>
      </c>
      <c r="N19">
        <v>0.28999999999999998</v>
      </c>
    </row>
    <row r="20" spans="1:14" x14ac:dyDescent="0.25">
      <c r="A20" t="s">
        <v>162</v>
      </c>
      <c r="B20">
        <v>14</v>
      </c>
      <c r="C20">
        <v>343</v>
      </c>
      <c r="D20">
        <v>0.93</v>
      </c>
      <c r="E20">
        <v>0.79</v>
      </c>
      <c r="F20">
        <v>0.64</v>
      </c>
      <c r="G20">
        <v>0.43</v>
      </c>
      <c r="H20">
        <v>0.28999999999999998</v>
      </c>
      <c r="I20">
        <v>0.21</v>
      </c>
      <c r="J20">
        <v>0.64</v>
      </c>
      <c r="K20">
        <v>0.14000000000000001</v>
      </c>
      <c r="L20">
        <v>0.28999999999999998</v>
      </c>
      <c r="M20">
        <v>7.0000000000000007E-2</v>
      </c>
      <c r="N20">
        <v>0.21</v>
      </c>
    </row>
    <row r="21" spans="1:14" x14ac:dyDescent="0.25">
      <c r="A21" t="s">
        <v>149</v>
      </c>
      <c r="B21">
        <v>14</v>
      </c>
      <c r="C21">
        <v>321</v>
      </c>
      <c r="D21">
        <v>1</v>
      </c>
      <c r="E21">
        <v>0.71</v>
      </c>
      <c r="F21">
        <v>0.64</v>
      </c>
      <c r="G21">
        <v>0.21</v>
      </c>
      <c r="H21">
        <v>0.21</v>
      </c>
      <c r="I21">
        <v>0.21</v>
      </c>
      <c r="J21">
        <v>0.64</v>
      </c>
      <c r="K21">
        <v>7.0000000000000007E-2</v>
      </c>
      <c r="L21">
        <v>0.28999999999999998</v>
      </c>
      <c r="M21">
        <v>7.0000000000000007E-2</v>
      </c>
      <c r="N21">
        <v>0.28999999999999998</v>
      </c>
    </row>
    <row r="22" spans="1:14" x14ac:dyDescent="0.25">
      <c r="A22" t="s">
        <v>151</v>
      </c>
      <c r="B22">
        <v>14</v>
      </c>
      <c r="C22">
        <v>321</v>
      </c>
      <c r="D22">
        <v>0.93</v>
      </c>
      <c r="E22">
        <v>0.64</v>
      </c>
      <c r="F22">
        <v>0.56999999999999995</v>
      </c>
      <c r="G22">
        <v>0.28999999999999998</v>
      </c>
      <c r="H22">
        <v>0.28999999999999998</v>
      </c>
      <c r="I22">
        <v>0.28999999999999998</v>
      </c>
      <c r="J22">
        <v>0.56999999999999995</v>
      </c>
      <c r="K22">
        <v>0.14000000000000001</v>
      </c>
      <c r="L22">
        <v>0.36</v>
      </c>
      <c r="M22">
        <v>7.0000000000000007E-2</v>
      </c>
      <c r="N22">
        <v>0.28999999999999998</v>
      </c>
    </row>
    <row r="23" spans="1:14" x14ac:dyDescent="0.25">
      <c r="A23" t="s">
        <v>154</v>
      </c>
      <c r="B23">
        <v>14</v>
      </c>
      <c r="C23">
        <v>314</v>
      </c>
      <c r="D23">
        <v>1</v>
      </c>
      <c r="E23">
        <v>0.79</v>
      </c>
      <c r="F23">
        <v>0.5</v>
      </c>
      <c r="G23">
        <v>0.36</v>
      </c>
      <c r="H23">
        <v>0.21</v>
      </c>
      <c r="I23">
        <v>0.21</v>
      </c>
      <c r="J23">
        <v>0.71</v>
      </c>
      <c r="K23">
        <v>0.28999999999999998</v>
      </c>
      <c r="L23">
        <v>0</v>
      </c>
      <c r="M23">
        <v>0.28999999999999998</v>
      </c>
      <c r="N23">
        <v>0</v>
      </c>
    </row>
    <row r="24" spans="1:14" x14ac:dyDescent="0.25">
      <c r="A24" t="s">
        <v>153</v>
      </c>
      <c r="B24">
        <v>14</v>
      </c>
      <c r="C24">
        <v>307</v>
      </c>
      <c r="D24">
        <v>0.93</v>
      </c>
      <c r="E24">
        <v>0.86</v>
      </c>
      <c r="F24">
        <v>0.56999999999999995</v>
      </c>
      <c r="G24">
        <v>0.36</v>
      </c>
      <c r="H24">
        <v>0.21</v>
      </c>
      <c r="I24">
        <v>0.14000000000000001</v>
      </c>
      <c r="J24">
        <v>0.71</v>
      </c>
      <c r="K24">
        <v>0.14000000000000001</v>
      </c>
      <c r="L24">
        <v>0.21</v>
      </c>
      <c r="M24">
        <v>7.0000000000000007E-2</v>
      </c>
      <c r="N24">
        <v>0.14000000000000001</v>
      </c>
    </row>
    <row r="25" spans="1:14" x14ac:dyDescent="0.25">
      <c r="A25" t="s">
        <v>148</v>
      </c>
      <c r="B25">
        <v>14</v>
      </c>
      <c r="C25">
        <v>300</v>
      </c>
      <c r="D25">
        <v>0.86</v>
      </c>
      <c r="E25">
        <v>0.56999999999999995</v>
      </c>
      <c r="F25">
        <v>0.5</v>
      </c>
      <c r="G25">
        <v>0.43</v>
      </c>
      <c r="H25">
        <v>0.36</v>
      </c>
      <c r="I25">
        <v>0.21</v>
      </c>
      <c r="J25">
        <v>0.5</v>
      </c>
      <c r="K25">
        <v>0.43</v>
      </c>
      <c r="L25">
        <v>0.21</v>
      </c>
      <c r="M25">
        <v>0.28999999999999998</v>
      </c>
      <c r="N25">
        <v>7.0000000000000007E-2</v>
      </c>
    </row>
    <row r="26" spans="1:14" x14ac:dyDescent="0.25">
      <c r="A26" t="s">
        <v>156</v>
      </c>
      <c r="B26">
        <v>14</v>
      </c>
      <c r="C26">
        <v>293</v>
      </c>
      <c r="D26">
        <v>1</v>
      </c>
      <c r="E26">
        <v>0.71</v>
      </c>
      <c r="F26">
        <v>0.43</v>
      </c>
      <c r="G26">
        <v>0.14000000000000001</v>
      </c>
      <c r="H26">
        <v>0.14000000000000001</v>
      </c>
      <c r="I26">
        <v>0.14000000000000001</v>
      </c>
      <c r="J26">
        <v>0.56999999999999995</v>
      </c>
      <c r="K26">
        <v>0.14000000000000001</v>
      </c>
      <c r="L26">
        <v>0.28999999999999998</v>
      </c>
      <c r="M26">
        <v>0.14000000000000001</v>
      </c>
      <c r="N26">
        <v>0.28999999999999998</v>
      </c>
    </row>
    <row r="27" spans="1:14" x14ac:dyDescent="0.25">
      <c r="A27" t="s">
        <v>163</v>
      </c>
      <c r="B27">
        <v>14</v>
      </c>
      <c r="C27">
        <v>271</v>
      </c>
      <c r="D27">
        <v>1</v>
      </c>
      <c r="E27">
        <v>0.71</v>
      </c>
      <c r="F27">
        <v>0.56999999999999995</v>
      </c>
      <c r="G27">
        <v>0.28999999999999998</v>
      </c>
      <c r="H27">
        <v>7.0000000000000007E-2</v>
      </c>
      <c r="I27">
        <v>7.0000000000000007E-2</v>
      </c>
      <c r="J27">
        <v>0.64</v>
      </c>
      <c r="K27">
        <v>0.14000000000000001</v>
      </c>
      <c r="L27">
        <v>0.21</v>
      </c>
      <c r="M27">
        <v>0.14000000000000001</v>
      </c>
      <c r="N27">
        <v>0.21</v>
      </c>
    </row>
    <row r="28" spans="1:14" x14ac:dyDescent="0.25">
      <c r="A28" t="s">
        <v>157</v>
      </c>
      <c r="B28">
        <v>14</v>
      </c>
      <c r="C28">
        <v>257</v>
      </c>
      <c r="D28">
        <v>1</v>
      </c>
      <c r="E28">
        <v>0.71</v>
      </c>
      <c r="F28">
        <v>0.36</v>
      </c>
      <c r="G28">
        <v>0.28999999999999998</v>
      </c>
      <c r="H28">
        <v>0.14000000000000001</v>
      </c>
      <c r="I28">
        <v>7.0000000000000007E-2</v>
      </c>
      <c r="J28">
        <v>0.71</v>
      </c>
      <c r="K28">
        <v>0.21</v>
      </c>
      <c r="L28">
        <v>7.0000000000000007E-2</v>
      </c>
      <c r="M28">
        <v>0.21</v>
      </c>
      <c r="N28">
        <v>7.0000000000000007E-2</v>
      </c>
    </row>
    <row r="29" spans="1:14" x14ac:dyDescent="0.25">
      <c r="A29" t="s">
        <v>150</v>
      </c>
      <c r="B29">
        <v>14</v>
      </c>
      <c r="C29">
        <v>250</v>
      </c>
      <c r="D29">
        <v>0.79</v>
      </c>
      <c r="E29">
        <v>0.64</v>
      </c>
      <c r="F29">
        <v>0.5</v>
      </c>
      <c r="G29">
        <v>0.28999999999999998</v>
      </c>
      <c r="H29">
        <v>0.14000000000000001</v>
      </c>
      <c r="I29">
        <v>0.14000000000000001</v>
      </c>
      <c r="J29">
        <v>0.43</v>
      </c>
      <c r="K29">
        <v>0.43</v>
      </c>
      <c r="L29">
        <v>0.36</v>
      </c>
      <c r="M29">
        <v>0.21</v>
      </c>
      <c r="N29">
        <v>0.14000000000000001</v>
      </c>
    </row>
    <row r="30" spans="1:14" x14ac:dyDescent="0.25">
      <c r="A30" t="s">
        <v>158</v>
      </c>
      <c r="B30">
        <v>14</v>
      </c>
      <c r="C30">
        <v>250</v>
      </c>
      <c r="D30">
        <v>1</v>
      </c>
      <c r="E30">
        <v>0.64</v>
      </c>
      <c r="F30">
        <v>0.5</v>
      </c>
      <c r="G30">
        <v>0.14000000000000001</v>
      </c>
      <c r="H30">
        <v>0.14000000000000001</v>
      </c>
      <c r="I30">
        <v>7.0000000000000007E-2</v>
      </c>
      <c r="J30">
        <v>0.5</v>
      </c>
      <c r="K30">
        <v>0.28999999999999998</v>
      </c>
      <c r="L30">
        <v>0.21</v>
      </c>
      <c r="M30">
        <v>0.28999999999999998</v>
      </c>
      <c r="N30">
        <v>0.21</v>
      </c>
    </row>
    <row r="31" spans="1:14" x14ac:dyDescent="0.25">
      <c r="A31" t="s">
        <v>159</v>
      </c>
      <c r="B31">
        <v>14</v>
      </c>
      <c r="C31">
        <v>243</v>
      </c>
      <c r="D31">
        <v>0.93</v>
      </c>
      <c r="E31">
        <v>0.64</v>
      </c>
      <c r="F31">
        <v>0.56999999999999995</v>
      </c>
      <c r="G31">
        <v>0.21</v>
      </c>
      <c r="H31">
        <v>7.0000000000000007E-2</v>
      </c>
      <c r="I31">
        <v>0</v>
      </c>
      <c r="J31">
        <v>0.56999999999999995</v>
      </c>
      <c r="K31">
        <v>0.36</v>
      </c>
      <c r="L31">
        <v>0.14000000000000001</v>
      </c>
      <c r="M31">
        <v>0.28999999999999998</v>
      </c>
      <c r="N31">
        <v>7.0000000000000007E-2</v>
      </c>
    </row>
    <row r="32" spans="1:14" x14ac:dyDescent="0.25">
      <c r="A32" t="s">
        <v>152</v>
      </c>
      <c r="B32">
        <v>14</v>
      </c>
      <c r="C32">
        <v>229</v>
      </c>
      <c r="D32">
        <v>0.86</v>
      </c>
      <c r="E32">
        <v>0.56999999999999995</v>
      </c>
      <c r="F32">
        <v>0.36</v>
      </c>
      <c r="G32">
        <v>0.14000000000000001</v>
      </c>
      <c r="H32">
        <v>0.14000000000000001</v>
      </c>
      <c r="I32">
        <v>7.0000000000000007E-2</v>
      </c>
      <c r="J32">
        <v>0.36</v>
      </c>
      <c r="K32">
        <v>0.5</v>
      </c>
      <c r="L32">
        <v>0.28999999999999998</v>
      </c>
      <c r="M32">
        <v>0.36</v>
      </c>
      <c r="N32">
        <v>0.14000000000000001</v>
      </c>
    </row>
    <row r="33" spans="1:14" x14ac:dyDescent="0.25">
      <c r="A33" t="s">
        <v>155</v>
      </c>
      <c r="B33">
        <v>14</v>
      </c>
      <c r="C33">
        <v>207</v>
      </c>
      <c r="D33">
        <v>0.93</v>
      </c>
      <c r="E33">
        <v>0.5</v>
      </c>
      <c r="F33">
        <v>0.36</v>
      </c>
      <c r="G33">
        <v>0.14000000000000001</v>
      </c>
      <c r="H33">
        <v>7.0000000000000007E-2</v>
      </c>
      <c r="I33">
        <v>7.0000000000000007E-2</v>
      </c>
      <c r="J33">
        <v>0.43</v>
      </c>
      <c r="K33">
        <v>0.36</v>
      </c>
      <c r="L33">
        <v>0.28999999999999998</v>
      </c>
      <c r="M33">
        <v>0.28999999999999998</v>
      </c>
      <c r="N33">
        <v>0.21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33"/>
  <sheetViews>
    <sheetView workbookViewId="0">
      <selection sqref="A1:N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144</v>
      </c>
      <c r="B2" t="s">
        <v>185</v>
      </c>
      <c r="C2">
        <v>4</v>
      </c>
      <c r="D2">
        <v>54</v>
      </c>
      <c r="E2">
        <v>1</v>
      </c>
      <c r="F2">
        <v>0</v>
      </c>
      <c r="G2">
        <v>0</v>
      </c>
      <c r="H2">
        <v>1</v>
      </c>
      <c r="I2">
        <v>1</v>
      </c>
      <c r="J2">
        <v>1</v>
      </c>
      <c r="L2">
        <v>0.25</v>
      </c>
      <c r="M2" t="s">
        <v>41</v>
      </c>
      <c r="N2" t="s">
        <v>41</v>
      </c>
      <c r="O2">
        <v>0.75</v>
      </c>
    </row>
    <row r="3" spans="1:15" x14ac:dyDescent="0.25">
      <c r="A3" t="s">
        <v>137</v>
      </c>
      <c r="B3" t="s">
        <v>185</v>
      </c>
      <c r="C3">
        <v>2</v>
      </c>
      <c r="D3">
        <v>44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L3">
        <v>0.5</v>
      </c>
      <c r="M3" t="s">
        <v>41</v>
      </c>
      <c r="N3" t="s">
        <v>41</v>
      </c>
      <c r="O3">
        <v>0.5</v>
      </c>
    </row>
    <row r="4" spans="1:15" x14ac:dyDescent="0.25">
      <c r="A4" t="s">
        <v>147</v>
      </c>
      <c r="B4" t="s">
        <v>185</v>
      </c>
      <c r="C4">
        <v>2</v>
      </c>
      <c r="D4">
        <v>66</v>
      </c>
      <c r="E4">
        <v>0</v>
      </c>
      <c r="F4">
        <v>0</v>
      </c>
      <c r="G4">
        <v>1</v>
      </c>
      <c r="H4">
        <v>0</v>
      </c>
      <c r="I4">
        <v>0</v>
      </c>
      <c r="J4">
        <v>1</v>
      </c>
      <c r="L4">
        <v>0.5</v>
      </c>
      <c r="M4" t="s">
        <v>41</v>
      </c>
      <c r="N4" t="s">
        <v>41</v>
      </c>
      <c r="O4">
        <v>0.5</v>
      </c>
    </row>
    <row r="5" spans="1:15" x14ac:dyDescent="0.25">
      <c r="A5" t="s">
        <v>138</v>
      </c>
      <c r="B5" t="s">
        <v>165</v>
      </c>
      <c r="C5">
        <v>5</v>
      </c>
      <c r="D5">
        <v>27</v>
      </c>
      <c r="E5">
        <v>1</v>
      </c>
      <c r="F5">
        <v>2</v>
      </c>
      <c r="G5">
        <v>2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143</v>
      </c>
      <c r="B6" t="s">
        <v>167</v>
      </c>
      <c r="C6">
        <v>2</v>
      </c>
      <c r="D6">
        <v>27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142</v>
      </c>
      <c r="B7" t="s">
        <v>165</v>
      </c>
      <c r="C7">
        <v>3</v>
      </c>
      <c r="D7">
        <v>32</v>
      </c>
      <c r="E7">
        <v>2</v>
      </c>
      <c r="F7">
        <v>0</v>
      </c>
      <c r="G7">
        <v>0</v>
      </c>
      <c r="H7">
        <v>0</v>
      </c>
      <c r="I7">
        <v>0</v>
      </c>
      <c r="J7">
        <v>1</v>
      </c>
      <c r="L7">
        <v>0.67</v>
      </c>
      <c r="M7" t="s">
        <v>41</v>
      </c>
      <c r="N7" t="s">
        <v>41</v>
      </c>
      <c r="O7">
        <v>0.33</v>
      </c>
    </row>
    <row r="8" spans="1:15" x14ac:dyDescent="0.25">
      <c r="A8" t="s">
        <v>134</v>
      </c>
      <c r="B8" t="s">
        <v>165</v>
      </c>
      <c r="C8">
        <v>4</v>
      </c>
      <c r="D8">
        <v>16</v>
      </c>
      <c r="E8">
        <v>2</v>
      </c>
      <c r="F8">
        <v>2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145</v>
      </c>
      <c r="B9" t="s">
        <v>185</v>
      </c>
      <c r="C9">
        <v>3</v>
      </c>
      <c r="D9">
        <v>35</v>
      </c>
      <c r="E9">
        <v>0</v>
      </c>
      <c r="F9">
        <v>1</v>
      </c>
      <c r="G9">
        <v>2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136</v>
      </c>
      <c r="B10" t="s">
        <v>185</v>
      </c>
      <c r="C10">
        <v>4</v>
      </c>
      <c r="D10">
        <v>38</v>
      </c>
      <c r="E10">
        <v>1</v>
      </c>
      <c r="F10">
        <v>1</v>
      </c>
      <c r="G10">
        <v>0</v>
      </c>
      <c r="H10">
        <v>2</v>
      </c>
      <c r="I10">
        <v>0</v>
      </c>
      <c r="J10">
        <v>0</v>
      </c>
      <c r="L10">
        <v>0.5</v>
      </c>
      <c r="M10" t="s">
        <v>41</v>
      </c>
      <c r="N10" t="s">
        <v>41</v>
      </c>
      <c r="O10">
        <v>0.5</v>
      </c>
    </row>
    <row r="11" spans="1:15" x14ac:dyDescent="0.25">
      <c r="A11" t="s">
        <v>133</v>
      </c>
      <c r="B11" t="s">
        <v>165</v>
      </c>
      <c r="C11">
        <v>5</v>
      </c>
      <c r="D11">
        <v>47</v>
      </c>
      <c r="E11">
        <v>1</v>
      </c>
      <c r="F11">
        <v>0</v>
      </c>
      <c r="G11">
        <v>0</v>
      </c>
      <c r="H11">
        <v>3</v>
      </c>
      <c r="I11">
        <v>0</v>
      </c>
      <c r="J11">
        <v>1</v>
      </c>
      <c r="L11">
        <v>0.2</v>
      </c>
      <c r="M11" t="s">
        <v>41</v>
      </c>
      <c r="N11" t="s">
        <v>41</v>
      </c>
      <c r="O11">
        <v>0.8</v>
      </c>
    </row>
    <row r="12" spans="1:15" x14ac:dyDescent="0.25">
      <c r="A12" t="s">
        <v>140</v>
      </c>
      <c r="B12" t="s">
        <v>185</v>
      </c>
      <c r="C12">
        <v>6</v>
      </c>
      <c r="D12">
        <v>30</v>
      </c>
      <c r="E12">
        <v>3</v>
      </c>
      <c r="F12">
        <v>0</v>
      </c>
      <c r="G12">
        <v>1</v>
      </c>
      <c r="H12">
        <v>1</v>
      </c>
      <c r="I12">
        <v>1</v>
      </c>
      <c r="J12">
        <v>0</v>
      </c>
      <c r="L12">
        <v>0.67</v>
      </c>
      <c r="M12" t="s">
        <v>41</v>
      </c>
      <c r="N12" t="s">
        <v>41</v>
      </c>
      <c r="O12">
        <v>0.33</v>
      </c>
    </row>
    <row r="13" spans="1:15" x14ac:dyDescent="0.25">
      <c r="A13" t="s">
        <v>139</v>
      </c>
      <c r="B13" t="s">
        <v>185</v>
      </c>
      <c r="C13">
        <v>4</v>
      </c>
      <c r="D13">
        <v>14</v>
      </c>
      <c r="E13">
        <v>2</v>
      </c>
      <c r="F13">
        <v>2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132</v>
      </c>
      <c r="B14" t="s">
        <v>165</v>
      </c>
      <c r="C14">
        <v>6</v>
      </c>
      <c r="D14">
        <v>11</v>
      </c>
      <c r="E14">
        <v>4</v>
      </c>
      <c r="F14">
        <v>2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135</v>
      </c>
      <c r="B15" t="s">
        <v>165</v>
      </c>
      <c r="C15">
        <v>1</v>
      </c>
      <c r="D15">
        <v>28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141</v>
      </c>
      <c r="B16" t="s">
        <v>185</v>
      </c>
      <c r="C16">
        <v>4</v>
      </c>
      <c r="D16">
        <v>33</v>
      </c>
      <c r="E16">
        <v>1</v>
      </c>
      <c r="F16">
        <v>2</v>
      </c>
      <c r="G16">
        <v>0</v>
      </c>
      <c r="H16">
        <v>0</v>
      </c>
      <c r="I16">
        <v>0</v>
      </c>
      <c r="J16">
        <v>1</v>
      </c>
      <c r="L16">
        <v>0.75</v>
      </c>
      <c r="M16" t="s">
        <v>41</v>
      </c>
      <c r="N16" t="s">
        <v>41</v>
      </c>
      <c r="O16">
        <v>0.25</v>
      </c>
    </row>
    <row r="17" spans="1:15" x14ac:dyDescent="0.25">
      <c r="A17" t="s">
        <v>146</v>
      </c>
      <c r="B17" t="s">
        <v>165</v>
      </c>
      <c r="C17">
        <v>1</v>
      </c>
      <c r="D17">
        <v>55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L17">
        <v>0</v>
      </c>
      <c r="M17" t="s">
        <v>41</v>
      </c>
      <c r="N17" t="s">
        <v>41</v>
      </c>
      <c r="O17">
        <v>1</v>
      </c>
    </row>
    <row r="18" spans="1:15" x14ac:dyDescent="0.25">
      <c r="A18" t="s">
        <v>162</v>
      </c>
      <c r="B18" t="s">
        <v>185</v>
      </c>
      <c r="C18">
        <v>2</v>
      </c>
      <c r="D18">
        <v>5</v>
      </c>
      <c r="E18">
        <v>2</v>
      </c>
      <c r="F18">
        <v>0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</row>
    <row r="19" spans="1:15" x14ac:dyDescent="0.25">
      <c r="A19" t="s">
        <v>148</v>
      </c>
      <c r="B19" t="s">
        <v>165</v>
      </c>
      <c r="C19">
        <v>4</v>
      </c>
      <c r="D19">
        <v>30</v>
      </c>
      <c r="E19">
        <v>2</v>
      </c>
      <c r="F19">
        <v>1</v>
      </c>
      <c r="G19">
        <v>0</v>
      </c>
      <c r="H19">
        <v>0</v>
      </c>
      <c r="I19">
        <v>0</v>
      </c>
      <c r="J19">
        <v>1</v>
      </c>
      <c r="L19">
        <v>0.75</v>
      </c>
      <c r="M19" t="s">
        <v>41</v>
      </c>
      <c r="N19" t="s">
        <v>41</v>
      </c>
      <c r="O19">
        <v>0.25</v>
      </c>
    </row>
    <row r="20" spans="1:15" x14ac:dyDescent="0.25">
      <c r="A20" t="s">
        <v>163</v>
      </c>
      <c r="B20" t="s">
        <v>185</v>
      </c>
      <c r="C20">
        <v>2</v>
      </c>
      <c r="D20">
        <v>48</v>
      </c>
      <c r="E20">
        <v>0</v>
      </c>
      <c r="F20">
        <v>0</v>
      </c>
      <c r="G20">
        <v>0</v>
      </c>
      <c r="H20">
        <v>2</v>
      </c>
      <c r="I20">
        <v>0</v>
      </c>
      <c r="J20">
        <v>0</v>
      </c>
      <c r="L20">
        <v>0</v>
      </c>
      <c r="M20" t="s">
        <v>41</v>
      </c>
      <c r="N20" t="s">
        <v>41</v>
      </c>
      <c r="O20">
        <v>1</v>
      </c>
    </row>
    <row r="21" spans="1:15" x14ac:dyDescent="0.25">
      <c r="A21" t="s">
        <v>149</v>
      </c>
      <c r="B21" t="s">
        <v>166</v>
      </c>
      <c r="C21">
        <v>3</v>
      </c>
      <c r="D21">
        <v>24</v>
      </c>
      <c r="E21">
        <v>1</v>
      </c>
      <c r="F21">
        <v>1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</row>
    <row r="22" spans="1:15" x14ac:dyDescent="0.25">
      <c r="A22" t="s">
        <v>150</v>
      </c>
      <c r="B22" t="s">
        <v>185</v>
      </c>
      <c r="C22">
        <v>5</v>
      </c>
      <c r="D22">
        <v>21</v>
      </c>
      <c r="E22">
        <v>3</v>
      </c>
      <c r="F22">
        <v>1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</row>
    <row r="23" spans="1:15" x14ac:dyDescent="0.25">
      <c r="A23" t="s">
        <v>155</v>
      </c>
      <c r="B23" t="s">
        <v>185</v>
      </c>
      <c r="C23">
        <v>4</v>
      </c>
      <c r="D23">
        <v>31</v>
      </c>
      <c r="E23">
        <v>2</v>
      </c>
      <c r="F23">
        <v>0</v>
      </c>
      <c r="G23">
        <v>0</v>
      </c>
      <c r="H23">
        <v>2</v>
      </c>
      <c r="I23">
        <v>0</v>
      </c>
      <c r="J23">
        <v>0</v>
      </c>
      <c r="L23">
        <v>0.5</v>
      </c>
      <c r="M23" t="s">
        <v>41</v>
      </c>
      <c r="N23" t="s">
        <v>41</v>
      </c>
      <c r="O23">
        <v>0.5</v>
      </c>
    </row>
    <row r="24" spans="1:15" x14ac:dyDescent="0.25">
      <c r="A24" t="s">
        <v>159</v>
      </c>
      <c r="B24" t="s">
        <v>165</v>
      </c>
      <c r="C24">
        <v>4</v>
      </c>
      <c r="D24">
        <v>51</v>
      </c>
      <c r="E24">
        <v>1</v>
      </c>
      <c r="F24">
        <v>1</v>
      </c>
      <c r="G24">
        <v>0</v>
      </c>
      <c r="H24">
        <v>0</v>
      </c>
      <c r="I24">
        <v>1</v>
      </c>
      <c r="J24">
        <v>1</v>
      </c>
      <c r="L24">
        <v>0.5</v>
      </c>
      <c r="M24" t="s">
        <v>41</v>
      </c>
      <c r="N24" t="s">
        <v>41</v>
      </c>
      <c r="O24">
        <v>0.5</v>
      </c>
    </row>
    <row r="25" spans="1:15" x14ac:dyDescent="0.25">
      <c r="A25" t="s">
        <v>151</v>
      </c>
      <c r="B25" t="s">
        <v>185</v>
      </c>
      <c r="C25">
        <v>2</v>
      </c>
      <c r="D25">
        <v>26</v>
      </c>
      <c r="E25">
        <v>0</v>
      </c>
      <c r="F25">
        <v>1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  <row r="26" spans="1:15" x14ac:dyDescent="0.25">
      <c r="A26" t="s">
        <v>156</v>
      </c>
      <c r="B26" t="s">
        <v>185</v>
      </c>
      <c r="C26">
        <v>3</v>
      </c>
      <c r="D26">
        <v>24</v>
      </c>
      <c r="E26">
        <v>1</v>
      </c>
      <c r="F26">
        <v>1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</row>
    <row r="27" spans="1:15" x14ac:dyDescent="0.25">
      <c r="A27" t="s">
        <v>153</v>
      </c>
      <c r="B27" t="s">
        <v>185</v>
      </c>
      <c r="C27">
        <v>2</v>
      </c>
      <c r="D27">
        <v>32</v>
      </c>
      <c r="E27">
        <v>0</v>
      </c>
      <c r="F27">
        <v>1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152</v>
      </c>
      <c r="B28" t="s">
        <v>166</v>
      </c>
      <c r="C28">
        <v>5</v>
      </c>
      <c r="D28">
        <v>13</v>
      </c>
      <c r="E28">
        <v>4</v>
      </c>
      <c r="F28">
        <v>0</v>
      </c>
      <c r="G28">
        <v>1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</row>
    <row r="29" spans="1:15" x14ac:dyDescent="0.25">
      <c r="A29" t="s">
        <v>161</v>
      </c>
      <c r="B29" t="s">
        <v>166</v>
      </c>
      <c r="C29">
        <v>4</v>
      </c>
      <c r="D29">
        <v>24</v>
      </c>
      <c r="E29">
        <v>2</v>
      </c>
      <c r="F29">
        <v>1</v>
      </c>
      <c r="G29">
        <v>0</v>
      </c>
      <c r="H29">
        <v>0</v>
      </c>
      <c r="I29">
        <v>1</v>
      </c>
      <c r="J29">
        <v>0</v>
      </c>
      <c r="L29">
        <v>0.75</v>
      </c>
      <c r="M29" t="s">
        <v>41</v>
      </c>
      <c r="N29" t="s">
        <v>41</v>
      </c>
      <c r="O29">
        <v>0.25</v>
      </c>
    </row>
    <row r="30" spans="1:15" x14ac:dyDescent="0.25">
      <c r="A30" t="s">
        <v>160</v>
      </c>
      <c r="B30" t="s">
        <v>185</v>
      </c>
      <c r="C30">
        <v>4</v>
      </c>
      <c r="D30">
        <v>8</v>
      </c>
      <c r="E30">
        <v>4</v>
      </c>
      <c r="F30">
        <v>0</v>
      </c>
      <c r="G30">
        <v>0</v>
      </c>
      <c r="H30">
        <v>0</v>
      </c>
      <c r="I30">
        <v>0</v>
      </c>
      <c r="J30">
        <v>0</v>
      </c>
      <c r="L30">
        <v>1</v>
      </c>
      <c r="M30" t="s">
        <v>41</v>
      </c>
      <c r="N30" t="s">
        <v>41</v>
      </c>
      <c r="O30">
        <v>0</v>
      </c>
    </row>
    <row r="31" spans="1:15" x14ac:dyDescent="0.25">
      <c r="A31" t="s">
        <v>157</v>
      </c>
      <c r="B31" t="s">
        <v>165</v>
      </c>
      <c r="C31">
        <v>5</v>
      </c>
      <c r="D31">
        <v>16</v>
      </c>
      <c r="E31">
        <v>4</v>
      </c>
      <c r="F31">
        <v>0</v>
      </c>
      <c r="G31">
        <v>1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</row>
    <row r="32" spans="1:15" x14ac:dyDescent="0.25">
      <c r="A32" t="s">
        <v>154</v>
      </c>
      <c r="B32" t="s">
        <v>185</v>
      </c>
      <c r="C32">
        <v>5</v>
      </c>
      <c r="D32">
        <v>29</v>
      </c>
      <c r="E32">
        <v>2</v>
      </c>
      <c r="F32">
        <v>1</v>
      </c>
      <c r="G32">
        <v>1</v>
      </c>
      <c r="H32">
        <v>0</v>
      </c>
      <c r="I32">
        <v>1</v>
      </c>
      <c r="J32">
        <v>0</v>
      </c>
      <c r="L32">
        <v>0.8</v>
      </c>
      <c r="M32" t="s">
        <v>41</v>
      </c>
      <c r="N32" t="s">
        <v>41</v>
      </c>
      <c r="O32">
        <v>0.2</v>
      </c>
    </row>
    <row r="33" spans="1:15" x14ac:dyDescent="0.25">
      <c r="A33" t="s">
        <v>158</v>
      </c>
      <c r="B33" t="s">
        <v>185</v>
      </c>
      <c r="C33">
        <v>3</v>
      </c>
      <c r="D33">
        <v>34</v>
      </c>
      <c r="E33">
        <v>1</v>
      </c>
      <c r="F33">
        <v>1</v>
      </c>
      <c r="G33">
        <v>0</v>
      </c>
      <c r="H33">
        <v>0</v>
      </c>
      <c r="I33">
        <v>1</v>
      </c>
      <c r="J33">
        <v>0</v>
      </c>
      <c r="L33">
        <v>0.67</v>
      </c>
      <c r="M33" t="s">
        <v>41</v>
      </c>
      <c r="N33" t="s">
        <v>41</v>
      </c>
      <c r="O33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33"/>
  <sheetViews>
    <sheetView workbookViewId="0">
      <selection sqref="A1:N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144</v>
      </c>
      <c r="B2" t="s">
        <v>165</v>
      </c>
      <c r="C2" s="2">
        <v>2</v>
      </c>
      <c r="D2" s="2" t="s">
        <v>179</v>
      </c>
      <c r="E2" s="2">
        <v>1</v>
      </c>
      <c r="F2" s="2">
        <v>0</v>
      </c>
      <c r="G2" s="2">
        <v>0</v>
      </c>
      <c r="H2" s="2">
        <v>0</v>
      </c>
      <c r="I2" s="2">
        <v>0</v>
      </c>
      <c r="J2" s="2">
        <v>1</v>
      </c>
      <c r="K2" s="2"/>
      <c r="L2" s="2">
        <v>0.5</v>
      </c>
      <c r="M2" s="2" t="s">
        <v>41</v>
      </c>
      <c r="N2" s="2" t="s">
        <v>41</v>
      </c>
      <c r="O2" s="2">
        <v>0.5</v>
      </c>
    </row>
    <row r="3" spans="1:15" x14ac:dyDescent="0.25">
      <c r="A3" s="2" t="s">
        <v>137</v>
      </c>
      <c r="B3" t="s">
        <v>165</v>
      </c>
      <c r="C3" s="2">
        <v>3</v>
      </c>
      <c r="D3" s="2" t="s">
        <v>193</v>
      </c>
      <c r="E3" s="2">
        <v>1</v>
      </c>
      <c r="F3" s="2">
        <v>1</v>
      </c>
      <c r="G3" s="2">
        <v>0</v>
      </c>
      <c r="H3" s="2">
        <v>0</v>
      </c>
      <c r="I3" s="2">
        <v>0</v>
      </c>
      <c r="J3" s="2">
        <v>1</v>
      </c>
      <c r="K3" s="2"/>
      <c r="L3" s="2">
        <v>0.67</v>
      </c>
      <c r="M3" s="2" t="s">
        <v>41</v>
      </c>
      <c r="N3" s="2" t="s">
        <v>41</v>
      </c>
      <c r="O3" s="2">
        <v>0.33</v>
      </c>
    </row>
    <row r="4" spans="1:15" x14ac:dyDescent="0.25">
      <c r="A4" s="2" t="s">
        <v>147</v>
      </c>
      <c r="B4" t="s">
        <v>165</v>
      </c>
      <c r="C4" s="2">
        <v>2</v>
      </c>
      <c r="D4" s="2" t="s">
        <v>194</v>
      </c>
      <c r="E4" s="2">
        <v>0</v>
      </c>
      <c r="F4" s="2">
        <v>1</v>
      </c>
      <c r="G4" s="2">
        <v>1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138</v>
      </c>
      <c r="B5" t="s">
        <v>185</v>
      </c>
      <c r="C5" s="2">
        <v>0</v>
      </c>
      <c r="D5" s="2" t="s">
        <v>49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/>
      <c r="L5" s="2">
        <v>0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143</v>
      </c>
      <c r="B6" t="s">
        <v>166</v>
      </c>
      <c r="C6" s="2">
        <v>3</v>
      </c>
      <c r="D6" s="2" t="s">
        <v>195</v>
      </c>
      <c r="E6" s="2">
        <v>1</v>
      </c>
      <c r="F6" s="2">
        <v>0</v>
      </c>
      <c r="G6" s="2">
        <v>0</v>
      </c>
      <c r="H6" s="2">
        <v>1</v>
      </c>
      <c r="I6" s="2">
        <v>0</v>
      </c>
      <c r="J6" s="2">
        <v>1</v>
      </c>
      <c r="K6" s="2"/>
      <c r="L6" s="2">
        <v>0.33</v>
      </c>
      <c r="M6" s="2" t="s">
        <v>41</v>
      </c>
      <c r="N6" s="2" t="s">
        <v>41</v>
      </c>
      <c r="O6" s="2">
        <v>0.67</v>
      </c>
    </row>
    <row r="7" spans="1:15" x14ac:dyDescent="0.25">
      <c r="A7" s="2" t="s">
        <v>142</v>
      </c>
      <c r="B7" t="s">
        <v>185</v>
      </c>
      <c r="C7" s="2">
        <v>2</v>
      </c>
      <c r="D7" s="2" t="s">
        <v>196</v>
      </c>
      <c r="E7" s="2">
        <v>1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/>
      <c r="L7" s="2">
        <v>0.5</v>
      </c>
      <c r="M7" s="2" t="s">
        <v>41</v>
      </c>
      <c r="N7" s="2" t="s">
        <v>41</v>
      </c>
      <c r="O7" s="2">
        <v>0.5</v>
      </c>
    </row>
    <row r="8" spans="1:15" x14ac:dyDescent="0.25">
      <c r="A8" s="2" t="s">
        <v>134</v>
      </c>
      <c r="B8" t="s">
        <v>165</v>
      </c>
      <c r="C8" s="2">
        <v>3</v>
      </c>
      <c r="D8" s="2" t="s">
        <v>166</v>
      </c>
      <c r="E8" s="2">
        <v>3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145</v>
      </c>
      <c r="B9" t="s">
        <v>165</v>
      </c>
      <c r="C9" s="2">
        <v>4</v>
      </c>
      <c r="D9" s="2" t="s">
        <v>177</v>
      </c>
      <c r="E9" s="2">
        <v>2</v>
      </c>
      <c r="F9" s="2">
        <v>0</v>
      </c>
      <c r="G9" s="2">
        <v>1</v>
      </c>
      <c r="H9" s="2">
        <v>0</v>
      </c>
      <c r="I9" s="2">
        <v>0</v>
      </c>
      <c r="J9" s="2">
        <v>1</v>
      </c>
      <c r="K9" s="2"/>
      <c r="L9" s="2">
        <v>0.75</v>
      </c>
      <c r="M9" s="2" t="s">
        <v>41</v>
      </c>
      <c r="N9" s="2" t="s">
        <v>41</v>
      </c>
      <c r="O9" s="2">
        <v>0.25</v>
      </c>
    </row>
    <row r="10" spans="1:15" x14ac:dyDescent="0.25">
      <c r="A10" s="2" t="s">
        <v>136</v>
      </c>
      <c r="B10" t="s">
        <v>165</v>
      </c>
      <c r="C10" s="2">
        <v>3</v>
      </c>
      <c r="D10" s="2" t="s">
        <v>197</v>
      </c>
      <c r="E10" s="2">
        <v>2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133</v>
      </c>
      <c r="B11" t="s">
        <v>185</v>
      </c>
      <c r="C11" s="2">
        <v>4</v>
      </c>
      <c r="D11" s="2" t="s">
        <v>198</v>
      </c>
      <c r="E11" s="2">
        <v>1</v>
      </c>
      <c r="F11" s="2">
        <v>2</v>
      </c>
      <c r="G11" s="2">
        <v>0</v>
      </c>
      <c r="H11" s="2">
        <v>1</v>
      </c>
      <c r="I11" s="2">
        <v>0</v>
      </c>
      <c r="J11" s="2">
        <v>0</v>
      </c>
      <c r="K11" s="2"/>
      <c r="L11" s="2">
        <v>0.75</v>
      </c>
      <c r="M11" s="2" t="s">
        <v>41</v>
      </c>
      <c r="N11" s="2" t="s">
        <v>41</v>
      </c>
      <c r="O11" s="2">
        <v>0.25</v>
      </c>
    </row>
    <row r="12" spans="1:15" x14ac:dyDescent="0.25">
      <c r="A12" s="2" t="s">
        <v>140</v>
      </c>
      <c r="B12" t="s">
        <v>165</v>
      </c>
      <c r="C12" s="2">
        <v>2</v>
      </c>
      <c r="D12" s="2" t="s">
        <v>199</v>
      </c>
      <c r="E12" s="2">
        <v>0</v>
      </c>
      <c r="F12" s="2">
        <v>1</v>
      </c>
      <c r="G12" s="2">
        <v>1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139</v>
      </c>
      <c r="B13" t="s">
        <v>165</v>
      </c>
      <c r="C13" s="2">
        <v>3</v>
      </c>
      <c r="D13" s="2" t="s">
        <v>200</v>
      </c>
      <c r="E13" s="2">
        <v>3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132</v>
      </c>
      <c r="B14" t="s">
        <v>185</v>
      </c>
      <c r="C14" s="2">
        <v>5</v>
      </c>
      <c r="D14" s="2" t="s">
        <v>183</v>
      </c>
      <c r="E14" s="2">
        <v>2</v>
      </c>
      <c r="F14" s="2">
        <v>0</v>
      </c>
      <c r="G14" s="2">
        <v>1</v>
      </c>
      <c r="H14" s="2">
        <v>0</v>
      </c>
      <c r="I14" s="2">
        <v>1</v>
      </c>
      <c r="J14" s="2">
        <v>1</v>
      </c>
      <c r="K14" s="2"/>
      <c r="L14" s="2">
        <v>0.6</v>
      </c>
      <c r="M14" s="2" t="s">
        <v>41</v>
      </c>
      <c r="N14" s="2" t="s">
        <v>41</v>
      </c>
      <c r="O14" s="2">
        <v>0.4</v>
      </c>
    </row>
    <row r="15" spans="1:15" x14ac:dyDescent="0.25">
      <c r="A15" s="2" t="s">
        <v>135</v>
      </c>
      <c r="B15" t="s">
        <v>185</v>
      </c>
      <c r="C15" s="2">
        <v>3</v>
      </c>
      <c r="D15" s="2" t="s">
        <v>178</v>
      </c>
      <c r="E15" s="2">
        <v>1</v>
      </c>
      <c r="F15" s="2">
        <v>0</v>
      </c>
      <c r="G15" s="2">
        <v>1</v>
      </c>
      <c r="H15" s="2">
        <v>0</v>
      </c>
      <c r="I15" s="2">
        <v>0</v>
      </c>
      <c r="J15" s="2">
        <v>1</v>
      </c>
      <c r="K15" s="2"/>
      <c r="L15" s="2">
        <v>0.67</v>
      </c>
      <c r="M15" s="2" t="s">
        <v>41</v>
      </c>
      <c r="N15" s="2" t="s">
        <v>41</v>
      </c>
      <c r="O15" s="2">
        <v>0.33</v>
      </c>
    </row>
    <row r="16" spans="1:15" x14ac:dyDescent="0.25">
      <c r="A16" s="2" t="s">
        <v>141</v>
      </c>
      <c r="B16" t="s">
        <v>167</v>
      </c>
      <c r="C16" s="2">
        <v>2</v>
      </c>
      <c r="D16" s="2" t="s">
        <v>165</v>
      </c>
      <c r="E16" s="2">
        <v>2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146</v>
      </c>
      <c r="B17" t="s">
        <v>185</v>
      </c>
      <c r="C17" s="2">
        <v>0</v>
      </c>
      <c r="D17" s="2" t="s">
        <v>49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0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162</v>
      </c>
      <c r="B18" t="s">
        <v>185</v>
      </c>
      <c r="C18" s="2">
        <v>1</v>
      </c>
      <c r="D18" s="2">
        <v>20</v>
      </c>
      <c r="E18" s="2">
        <v>0</v>
      </c>
      <c r="F18" s="2">
        <v>1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148</v>
      </c>
      <c r="B19" t="s">
        <v>166</v>
      </c>
      <c r="C19" s="2">
        <v>5</v>
      </c>
      <c r="D19" s="2">
        <v>28</v>
      </c>
      <c r="E19" s="2">
        <v>2</v>
      </c>
      <c r="F19" s="2">
        <v>0</v>
      </c>
      <c r="G19" s="2">
        <v>2</v>
      </c>
      <c r="H19" s="2">
        <v>1</v>
      </c>
      <c r="I19" s="2">
        <v>0</v>
      </c>
      <c r="J19" s="2">
        <v>0</v>
      </c>
      <c r="K19" s="2"/>
      <c r="L19" s="2">
        <v>0.8</v>
      </c>
      <c r="M19" s="2" t="s">
        <v>41</v>
      </c>
      <c r="N19" s="2" t="s">
        <v>41</v>
      </c>
      <c r="O19" s="2">
        <v>0.2</v>
      </c>
    </row>
    <row r="20" spans="1:15" x14ac:dyDescent="0.25">
      <c r="A20" s="2" t="s">
        <v>163</v>
      </c>
      <c r="B20" t="s">
        <v>185</v>
      </c>
      <c r="C20" s="2">
        <v>2</v>
      </c>
      <c r="D20" s="2">
        <v>34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0</v>
      </c>
      <c r="K20" s="2"/>
      <c r="L20" s="2">
        <v>0.5</v>
      </c>
      <c r="M20" s="2" t="s">
        <v>41</v>
      </c>
      <c r="N20" s="2" t="s">
        <v>41</v>
      </c>
      <c r="O20" s="2">
        <v>0.5</v>
      </c>
    </row>
    <row r="21" spans="1:15" x14ac:dyDescent="0.25">
      <c r="A21" s="2" t="s">
        <v>149</v>
      </c>
      <c r="B21" t="s">
        <v>165</v>
      </c>
      <c r="C21" s="2">
        <v>2</v>
      </c>
      <c r="D21" s="2">
        <v>22</v>
      </c>
      <c r="E21" s="2">
        <v>1</v>
      </c>
      <c r="F21" s="2">
        <v>0</v>
      </c>
      <c r="G21" s="2">
        <v>1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150</v>
      </c>
      <c r="B22" t="s">
        <v>185</v>
      </c>
      <c r="C22" s="2">
        <v>2</v>
      </c>
      <c r="D22" s="2">
        <v>48</v>
      </c>
      <c r="E22" s="2">
        <v>0</v>
      </c>
      <c r="F22" s="2">
        <v>1</v>
      </c>
      <c r="G22" s="2">
        <v>0</v>
      </c>
      <c r="H22" s="2">
        <v>0</v>
      </c>
      <c r="I22" s="2">
        <v>1</v>
      </c>
      <c r="J22" s="2">
        <v>0</v>
      </c>
      <c r="K22" s="2"/>
      <c r="L22" s="2">
        <v>0.5</v>
      </c>
      <c r="M22" s="2" t="s">
        <v>41</v>
      </c>
      <c r="N22" s="2" t="s">
        <v>41</v>
      </c>
      <c r="O22" s="2">
        <v>0.5</v>
      </c>
    </row>
    <row r="23" spans="1:15" x14ac:dyDescent="0.25">
      <c r="A23" s="2" t="s">
        <v>155</v>
      </c>
      <c r="B23" t="s">
        <v>185</v>
      </c>
      <c r="C23" s="2">
        <v>4</v>
      </c>
      <c r="D23" s="2">
        <v>30</v>
      </c>
      <c r="E23" s="2">
        <v>2</v>
      </c>
      <c r="F23" s="2">
        <v>0</v>
      </c>
      <c r="G23" s="2">
        <v>1</v>
      </c>
      <c r="H23" s="2">
        <v>0</v>
      </c>
      <c r="I23" s="2">
        <v>1</v>
      </c>
      <c r="J23" s="2">
        <v>0</v>
      </c>
      <c r="K23" s="2"/>
      <c r="L23" s="2">
        <v>0.75</v>
      </c>
      <c r="M23" s="2" t="s">
        <v>41</v>
      </c>
      <c r="N23" s="2" t="s">
        <v>41</v>
      </c>
      <c r="O23" s="2">
        <v>0.25</v>
      </c>
    </row>
    <row r="24" spans="1:15" x14ac:dyDescent="0.25">
      <c r="A24" s="2" t="s">
        <v>159</v>
      </c>
      <c r="B24" t="s">
        <v>166</v>
      </c>
      <c r="C24" s="2">
        <v>2</v>
      </c>
      <c r="D24" s="2">
        <v>56</v>
      </c>
      <c r="E24" s="2">
        <v>0</v>
      </c>
      <c r="F24" s="2">
        <v>1</v>
      </c>
      <c r="G24" s="2">
        <v>0</v>
      </c>
      <c r="H24" s="2">
        <v>0</v>
      </c>
      <c r="I24" s="2">
        <v>0</v>
      </c>
      <c r="J24" s="2">
        <v>1</v>
      </c>
      <c r="K24" s="2"/>
      <c r="L24" s="2">
        <v>0.5</v>
      </c>
      <c r="M24" s="2" t="s">
        <v>41</v>
      </c>
      <c r="N24" s="2" t="s">
        <v>41</v>
      </c>
      <c r="O24" s="2">
        <v>0.5</v>
      </c>
    </row>
    <row r="25" spans="1:15" x14ac:dyDescent="0.25">
      <c r="A25" s="2" t="s">
        <v>151</v>
      </c>
      <c r="B25" t="s">
        <v>185</v>
      </c>
      <c r="C25" s="2">
        <v>3</v>
      </c>
      <c r="D25" s="2">
        <v>26</v>
      </c>
      <c r="E25" s="2">
        <v>1</v>
      </c>
      <c r="F25" s="2">
        <v>1</v>
      </c>
      <c r="G25" s="2">
        <v>1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156</v>
      </c>
      <c r="B26" t="s">
        <v>185</v>
      </c>
      <c r="C26" s="2">
        <v>4</v>
      </c>
      <c r="D26" s="2">
        <v>24</v>
      </c>
      <c r="E26" s="2">
        <v>2</v>
      </c>
      <c r="F26" s="2">
        <v>1</v>
      </c>
      <c r="G26" s="2">
        <v>0</v>
      </c>
      <c r="H26" s="2">
        <v>0</v>
      </c>
      <c r="I26" s="2">
        <v>1</v>
      </c>
      <c r="J26" s="2">
        <v>0</v>
      </c>
      <c r="K26" s="2"/>
      <c r="L26" s="2">
        <v>0.75</v>
      </c>
      <c r="M26" s="2" t="s">
        <v>41</v>
      </c>
      <c r="N26" s="2" t="s">
        <v>41</v>
      </c>
      <c r="O26" s="2">
        <v>0.25</v>
      </c>
    </row>
    <row r="27" spans="1:15" x14ac:dyDescent="0.25">
      <c r="A27" s="2" t="s">
        <v>153</v>
      </c>
      <c r="B27" t="s">
        <v>185</v>
      </c>
      <c r="C27" s="2">
        <v>3</v>
      </c>
      <c r="D27" s="2">
        <v>14</v>
      </c>
      <c r="E27" s="2">
        <v>2</v>
      </c>
      <c r="F27" s="2">
        <v>1</v>
      </c>
      <c r="G27" s="2">
        <v>0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41</v>
      </c>
      <c r="N27" s="2" t="s">
        <v>41</v>
      </c>
      <c r="O27" s="2">
        <v>0</v>
      </c>
    </row>
    <row r="28" spans="1:15" x14ac:dyDescent="0.25">
      <c r="A28" s="2" t="s">
        <v>152</v>
      </c>
      <c r="B28" t="s">
        <v>165</v>
      </c>
      <c r="C28" s="2">
        <v>3</v>
      </c>
      <c r="D28" s="2">
        <v>47</v>
      </c>
      <c r="E28" s="2">
        <v>0</v>
      </c>
      <c r="F28" s="2">
        <v>1</v>
      </c>
      <c r="G28" s="2">
        <v>1</v>
      </c>
      <c r="H28" s="2">
        <v>0</v>
      </c>
      <c r="I28" s="2">
        <v>0</v>
      </c>
      <c r="J28" s="2">
        <v>1</v>
      </c>
      <c r="K28" s="2"/>
      <c r="L28" s="2">
        <v>0.67</v>
      </c>
      <c r="M28" s="2" t="s">
        <v>41</v>
      </c>
      <c r="N28" s="2" t="s">
        <v>41</v>
      </c>
      <c r="O28" s="2">
        <v>0.33</v>
      </c>
    </row>
    <row r="29" spans="1:15" x14ac:dyDescent="0.25">
      <c r="A29" s="2" t="s">
        <v>161</v>
      </c>
      <c r="B29" t="s">
        <v>165</v>
      </c>
      <c r="C29" s="2">
        <v>2</v>
      </c>
      <c r="D29" s="2">
        <v>33</v>
      </c>
      <c r="E29" s="2">
        <v>0</v>
      </c>
      <c r="F29" s="2">
        <v>1</v>
      </c>
      <c r="G29" s="2">
        <v>0</v>
      </c>
      <c r="H29" s="2">
        <v>1</v>
      </c>
      <c r="I29" s="2">
        <v>0</v>
      </c>
      <c r="J29" s="2">
        <v>0</v>
      </c>
      <c r="K29" s="2"/>
      <c r="L29" s="2">
        <v>0.5</v>
      </c>
      <c r="M29" s="2" t="s">
        <v>41</v>
      </c>
      <c r="N29" s="2" t="s">
        <v>41</v>
      </c>
      <c r="O29" s="2">
        <v>0.5</v>
      </c>
    </row>
    <row r="30" spans="1:15" x14ac:dyDescent="0.25">
      <c r="A30" s="2" t="s">
        <v>160</v>
      </c>
      <c r="B30" t="s">
        <v>185</v>
      </c>
      <c r="C30" s="2">
        <v>3</v>
      </c>
      <c r="D30" s="2">
        <v>19</v>
      </c>
      <c r="E30" s="2">
        <v>2</v>
      </c>
      <c r="F30" s="2">
        <v>0</v>
      </c>
      <c r="G30" s="2">
        <v>1</v>
      </c>
      <c r="H30" s="2">
        <v>0</v>
      </c>
      <c r="I30" s="2">
        <v>0</v>
      </c>
      <c r="J30" s="2">
        <v>0</v>
      </c>
      <c r="K30" s="2"/>
      <c r="L30" s="2">
        <v>1</v>
      </c>
      <c r="M30" s="2" t="s">
        <v>41</v>
      </c>
      <c r="N30" s="2" t="s">
        <v>41</v>
      </c>
      <c r="O30" s="2">
        <v>0</v>
      </c>
    </row>
    <row r="31" spans="1:15" x14ac:dyDescent="0.25">
      <c r="A31" s="2" t="s">
        <v>157</v>
      </c>
      <c r="B31" t="s">
        <v>166</v>
      </c>
      <c r="C31" s="2">
        <v>5</v>
      </c>
      <c r="D31" s="2">
        <v>30</v>
      </c>
      <c r="E31" s="2">
        <v>3</v>
      </c>
      <c r="F31" s="2">
        <v>0</v>
      </c>
      <c r="G31" s="2">
        <v>0</v>
      </c>
      <c r="H31" s="2">
        <v>1</v>
      </c>
      <c r="I31" s="2">
        <v>1</v>
      </c>
      <c r="J31" s="2">
        <v>0</v>
      </c>
      <c r="K31" s="2"/>
      <c r="L31" s="2">
        <v>0.6</v>
      </c>
      <c r="M31" s="2" t="s">
        <v>41</v>
      </c>
      <c r="N31" s="2" t="s">
        <v>41</v>
      </c>
      <c r="O31" s="2">
        <v>0.4</v>
      </c>
    </row>
    <row r="32" spans="1:15" x14ac:dyDescent="0.25">
      <c r="A32" s="2" t="s">
        <v>154</v>
      </c>
      <c r="B32" t="s">
        <v>185</v>
      </c>
      <c r="C32" s="2">
        <v>5</v>
      </c>
      <c r="D32" s="2">
        <v>37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0</v>
      </c>
      <c r="K32" s="2"/>
      <c r="L32" s="2">
        <v>0.6</v>
      </c>
      <c r="M32" s="2" t="s">
        <v>41</v>
      </c>
      <c r="N32" s="2" t="s">
        <v>41</v>
      </c>
      <c r="O32" s="2">
        <v>0.4</v>
      </c>
    </row>
    <row r="33" spans="1:15" x14ac:dyDescent="0.25">
      <c r="A33" s="2" t="s">
        <v>158</v>
      </c>
      <c r="B33" t="s">
        <v>185</v>
      </c>
      <c r="C33" s="2">
        <v>3</v>
      </c>
      <c r="D33" s="2">
        <v>47</v>
      </c>
      <c r="E33" s="2">
        <v>1</v>
      </c>
      <c r="F33" s="2">
        <v>0</v>
      </c>
      <c r="G33" s="2">
        <v>0</v>
      </c>
      <c r="H33" s="2">
        <v>1</v>
      </c>
      <c r="I33" s="2">
        <v>0</v>
      </c>
      <c r="J33" s="2">
        <v>1</v>
      </c>
      <c r="K33" s="2"/>
      <c r="L33" s="2">
        <v>0.33</v>
      </c>
      <c r="M33" s="2" t="s">
        <v>41</v>
      </c>
      <c r="N33" s="2" t="s">
        <v>41</v>
      </c>
      <c r="O33" s="2">
        <v>0.67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144</v>
      </c>
      <c r="B2" t="s">
        <v>185</v>
      </c>
      <c r="C2">
        <v>2</v>
      </c>
      <c r="D2" t="s">
        <v>186</v>
      </c>
      <c r="E2">
        <v>0</v>
      </c>
      <c r="F2">
        <v>0</v>
      </c>
      <c r="G2">
        <v>1</v>
      </c>
      <c r="H2">
        <v>0</v>
      </c>
      <c r="I2">
        <v>0</v>
      </c>
      <c r="J2">
        <v>1</v>
      </c>
      <c r="L2">
        <v>0.5</v>
      </c>
      <c r="M2" t="s">
        <v>41</v>
      </c>
      <c r="N2" t="s">
        <v>41</v>
      </c>
      <c r="O2">
        <v>0.5</v>
      </c>
      <c r="Q2" s="1">
        <f>SUM(OGC_Home__Brazil[[#This Row],[0-15]:[31-45]])</f>
        <v>1</v>
      </c>
      <c r="AD2"/>
    </row>
    <row r="3" spans="1:30" x14ac:dyDescent="0.25">
      <c r="A3" t="s">
        <v>137</v>
      </c>
      <c r="B3" t="s">
        <v>185</v>
      </c>
      <c r="C3">
        <v>4</v>
      </c>
      <c r="D3" t="s">
        <v>187</v>
      </c>
      <c r="E3">
        <v>1</v>
      </c>
      <c r="F3">
        <v>1</v>
      </c>
      <c r="G3">
        <v>2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4</v>
      </c>
      <c r="AD3"/>
    </row>
    <row r="4" spans="1:30" x14ac:dyDescent="0.25">
      <c r="A4" t="s">
        <v>147</v>
      </c>
      <c r="B4" t="s">
        <v>185</v>
      </c>
      <c r="C4">
        <v>5</v>
      </c>
      <c r="D4" t="s">
        <v>188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5</v>
      </c>
      <c r="AD4"/>
    </row>
    <row r="5" spans="1:30" x14ac:dyDescent="0.25">
      <c r="A5" t="s">
        <v>138</v>
      </c>
      <c r="B5" t="s">
        <v>165</v>
      </c>
      <c r="C5">
        <v>1</v>
      </c>
      <c r="D5" t="s">
        <v>189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1</v>
      </c>
      <c r="AD5"/>
    </row>
    <row r="6" spans="1:30" x14ac:dyDescent="0.25">
      <c r="A6" t="s">
        <v>143</v>
      </c>
      <c r="B6" t="s">
        <v>167</v>
      </c>
      <c r="C6">
        <v>3</v>
      </c>
      <c r="D6" t="s">
        <v>189</v>
      </c>
      <c r="E6">
        <v>2</v>
      </c>
      <c r="F6">
        <v>1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3</v>
      </c>
      <c r="AD6"/>
    </row>
    <row r="7" spans="1:30" x14ac:dyDescent="0.25">
      <c r="A7" t="s">
        <v>142</v>
      </c>
      <c r="B7" t="s">
        <v>165</v>
      </c>
      <c r="C7">
        <v>3</v>
      </c>
      <c r="D7" t="s">
        <v>164</v>
      </c>
      <c r="E7">
        <v>1</v>
      </c>
      <c r="F7">
        <v>0</v>
      </c>
      <c r="G7">
        <v>0</v>
      </c>
      <c r="H7">
        <v>1</v>
      </c>
      <c r="I7">
        <v>0</v>
      </c>
      <c r="J7">
        <v>1</v>
      </c>
      <c r="L7">
        <v>0.33</v>
      </c>
      <c r="M7" t="s">
        <v>41</v>
      </c>
      <c r="N7" t="s">
        <v>41</v>
      </c>
      <c r="O7">
        <v>0.67</v>
      </c>
      <c r="Q7" s="1">
        <f>SUM(OGC_Home__Brazil[[#This Row],[0-15]:[31-45]])</f>
        <v>1</v>
      </c>
      <c r="AD7"/>
    </row>
    <row r="8" spans="1:30" x14ac:dyDescent="0.25">
      <c r="A8" t="s">
        <v>134</v>
      </c>
      <c r="B8" t="s">
        <v>165</v>
      </c>
      <c r="C8">
        <v>2</v>
      </c>
      <c r="D8" t="s">
        <v>180</v>
      </c>
      <c r="E8">
        <v>1</v>
      </c>
      <c r="F8">
        <v>0</v>
      </c>
      <c r="G8">
        <v>0</v>
      </c>
      <c r="H8">
        <v>1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  <c r="Q8" s="1">
        <f>SUM(OGC_Home__Brazil[[#This Row],[0-15]:[31-45]])</f>
        <v>1</v>
      </c>
      <c r="AD8"/>
    </row>
    <row r="9" spans="1:30" x14ac:dyDescent="0.25">
      <c r="A9" t="s">
        <v>145</v>
      </c>
      <c r="B9" t="s">
        <v>185</v>
      </c>
      <c r="C9">
        <v>3</v>
      </c>
      <c r="D9" t="s">
        <v>182</v>
      </c>
      <c r="E9">
        <v>1</v>
      </c>
      <c r="F9">
        <v>2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3</v>
      </c>
      <c r="AD9"/>
    </row>
    <row r="10" spans="1:30" x14ac:dyDescent="0.25">
      <c r="A10" t="s">
        <v>136</v>
      </c>
      <c r="B10" t="s">
        <v>185</v>
      </c>
      <c r="C10">
        <v>2</v>
      </c>
      <c r="D10" t="s">
        <v>190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2</v>
      </c>
      <c r="AD10"/>
    </row>
    <row r="11" spans="1:30" x14ac:dyDescent="0.25">
      <c r="A11" t="s">
        <v>133</v>
      </c>
      <c r="B11" t="s">
        <v>165</v>
      </c>
      <c r="C11">
        <v>1</v>
      </c>
      <c r="D11" t="s">
        <v>165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1</v>
      </c>
      <c r="AD11"/>
    </row>
    <row r="12" spans="1:30" x14ac:dyDescent="0.25">
      <c r="A12" t="s">
        <v>140</v>
      </c>
      <c r="B12" t="s">
        <v>185</v>
      </c>
      <c r="C12">
        <v>1</v>
      </c>
      <c r="D12" t="s">
        <v>166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1</v>
      </c>
      <c r="AD12"/>
    </row>
    <row r="13" spans="1:30" x14ac:dyDescent="0.25">
      <c r="A13" t="s">
        <v>139</v>
      </c>
      <c r="B13" t="s">
        <v>185</v>
      </c>
      <c r="C13">
        <v>3</v>
      </c>
      <c r="D13" t="s">
        <v>181</v>
      </c>
      <c r="E13">
        <v>1</v>
      </c>
      <c r="F13">
        <v>0</v>
      </c>
      <c r="G13">
        <v>0</v>
      </c>
      <c r="H13">
        <v>0</v>
      </c>
      <c r="I13">
        <v>1</v>
      </c>
      <c r="J13">
        <v>1</v>
      </c>
      <c r="L13">
        <v>0.33</v>
      </c>
      <c r="M13" t="s">
        <v>41</v>
      </c>
      <c r="N13" t="s">
        <v>41</v>
      </c>
      <c r="O13">
        <v>0.67</v>
      </c>
      <c r="Q13" s="1">
        <f>SUM(OGC_Home__Brazil[[#This Row],[0-15]:[31-45]])</f>
        <v>1</v>
      </c>
      <c r="AD13"/>
    </row>
    <row r="14" spans="1:30" x14ac:dyDescent="0.25">
      <c r="A14" t="s">
        <v>132</v>
      </c>
      <c r="B14" t="s">
        <v>165</v>
      </c>
      <c r="C14">
        <v>0</v>
      </c>
      <c r="D14" t="s">
        <v>49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L14">
        <v>0</v>
      </c>
      <c r="M14" t="s">
        <v>41</v>
      </c>
      <c r="N14" t="s">
        <v>41</v>
      </c>
      <c r="O14">
        <v>0</v>
      </c>
      <c r="Q14" s="1">
        <f>SUM(OGC_Home__Brazil[[#This Row],[0-15]:[31-45]])</f>
        <v>0</v>
      </c>
      <c r="AD14"/>
    </row>
    <row r="15" spans="1:30" x14ac:dyDescent="0.25">
      <c r="A15" t="s">
        <v>135</v>
      </c>
      <c r="B15" t="s">
        <v>165</v>
      </c>
      <c r="C15">
        <v>3</v>
      </c>
      <c r="D15" t="s">
        <v>191</v>
      </c>
      <c r="E15">
        <v>0</v>
      </c>
      <c r="F15">
        <v>0</v>
      </c>
      <c r="G15">
        <v>1</v>
      </c>
      <c r="H15">
        <v>0</v>
      </c>
      <c r="I15">
        <v>0</v>
      </c>
      <c r="J15">
        <v>2</v>
      </c>
      <c r="L15">
        <v>0.33</v>
      </c>
      <c r="M15" t="s">
        <v>41</v>
      </c>
      <c r="N15" t="s">
        <v>41</v>
      </c>
      <c r="O15">
        <v>0.67</v>
      </c>
      <c r="Q15" s="1">
        <f>SUM(OGC_Home__Brazil[[#This Row],[0-15]:[31-45]])</f>
        <v>1</v>
      </c>
      <c r="AD15"/>
    </row>
    <row r="16" spans="1:30" x14ac:dyDescent="0.25">
      <c r="A16" t="s">
        <v>141</v>
      </c>
      <c r="B16" t="s">
        <v>185</v>
      </c>
      <c r="C16">
        <v>3</v>
      </c>
      <c r="D16" t="s">
        <v>192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L16">
        <v>0.67</v>
      </c>
      <c r="M16" t="s">
        <v>41</v>
      </c>
      <c r="N16" t="s">
        <v>41</v>
      </c>
      <c r="O16">
        <v>0.33</v>
      </c>
      <c r="Q16" s="1">
        <f>SUM(OGC_Home__Brazil[[#This Row],[0-15]:[31-45]])</f>
        <v>2</v>
      </c>
      <c r="AD16"/>
    </row>
    <row r="17" spans="1:30" x14ac:dyDescent="0.25">
      <c r="A17" t="s">
        <v>146</v>
      </c>
      <c r="B17" t="s">
        <v>165</v>
      </c>
      <c r="C17">
        <v>5</v>
      </c>
      <c r="D17" t="s">
        <v>184</v>
      </c>
      <c r="E17">
        <v>3</v>
      </c>
      <c r="F17">
        <v>0</v>
      </c>
      <c r="G17">
        <v>1</v>
      </c>
      <c r="H17">
        <v>0</v>
      </c>
      <c r="I17">
        <v>0</v>
      </c>
      <c r="J17">
        <v>1</v>
      </c>
      <c r="L17">
        <v>0.8</v>
      </c>
      <c r="M17" t="s">
        <v>41</v>
      </c>
      <c r="N17" t="s">
        <v>41</v>
      </c>
      <c r="O17">
        <v>0.2</v>
      </c>
      <c r="Q17" s="1">
        <f>SUM(OGC_Home__Brazil[[#This Row],[0-15]:[31-45]])</f>
        <v>4</v>
      </c>
      <c r="AD17"/>
    </row>
    <row r="18" spans="1:30" x14ac:dyDescent="0.25">
      <c r="A18" t="s">
        <v>162</v>
      </c>
      <c r="B18" t="s">
        <v>185</v>
      </c>
      <c r="C18">
        <v>4</v>
      </c>
      <c r="D18">
        <v>19</v>
      </c>
      <c r="E18">
        <v>2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SUM(OGC_Home__Brazil[[#This Row],[0-15]:[31-45]])</f>
        <v>4</v>
      </c>
      <c r="AD18"/>
    </row>
    <row r="19" spans="1:30" x14ac:dyDescent="0.25">
      <c r="A19" t="s">
        <v>148</v>
      </c>
      <c r="B19" t="s">
        <v>165</v>
      </c>
      <c r="C19">
        <v>1</v>
      </c>
      <c r="D19">
        <v>3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SUM(OGC_Home__Brazil[[#This Row],[0-15]:[31-45]])</f>
        <v>1</v>
      </c>
      <c r="AD19"/>
    </row>
    <row r="20" spans="1:30" x14ac:dyDescent="0.25">
      <c r="A20" t="s">
        <v>163</v>
      </c>
      <c r="B20" t="s">
        <v>185</v>
      </c>
      <c r="C20">
        <v>5</v>
      </c>
      <c r="D20">
        <v>24</v>
      </c>
      <c r="E20">
        <v>2</v>
      </c>
      <c r="F20">
        <v>0</v>
      </c>
      <c r="G20">
        <v>2</v>
      </c>
      <c r="H20">
        <v>1</v>
      </c>
      <c r="I20">
        <v>0</v>
      </c>
      <c r="J20">
        <v>0</v>
      </c>
      <c r="L20">
        <v>0.8</v>
      </c>
      <c r="M20" t="s">
        <v>41</v>
      </c>
      <c r="N20" t="s">
        <v>41</v>
      </c>
      <c r="O20">
        <v>0.2</v>
      </c>
      <c r="Q20" s="1">
        <f>SUM(OGC_Home__Brazil[[#This Row],[0-15]:[31-45]])</f>
        <v>4</v>
      </c>
      <c r="AD20"/>
    </row>
    <row r="21" spans="1:30" x14ac:dyDescent="0.25">
      <c r="A21" t="s">
        <v>149</v>
      </c>
      <c r="B21" t="s">
        <v>166</v>
      </c>
      <c r="C21">
        <v>5</v>
      </c>
      <c r="D21">
        <v>57</v>
      </c>
      <c r="E21">
        <v>0</v>
      </c>
      <c r="F21">
        <v>1</v>
      </c>
      <c r="G21">
        <v>1</v>
      </c>
      <c r="H21">
        <v>0</v>
      </c>
      <c r="I21">
        <v>2</v>
      </c>
      <c r="J21">
        <v>1</v>
      </c>
      <c r="L21">
        <v>0.4</v>
      </c>
      <c r="M21" t="s">
        <v>41</v>
      </c>
      <c r="N21" t="s">
        <v>41</v>
      </c>
      <c r="O21">
        <v>0.6</v>
      </c>
      <c r="Q21" s="1">
        <f>SUM(OGC_Home__Brazil[[#This Row],[0-15]:[31-45]])</f>
        <v>2</v>
      </c>
      <c r="AD21"/>
    </row>
    <row r="22" spans="1:30" x14ac:dyDescent="0.25">
      <c r="A22" t="s">
        <v>150</v>
      </c>
      <c r="B22" t="s">
        <v>185</v>
      </c>
      <c r="C22">
        <v>1</v>
      </c>
      <c r="D22">
        <v>18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1</v>
      </c>
      <c r="AD22"/>
    </row>
    <row r="23" spans="1:30" x14ac:dyDescent="0.25">
      <c r="A23" t="s">
        <v>155</v>
      </c>
      <c r="B23" t="s">
        <v>185</v>
      </c>
      <c r="C23">
        <v>3</v>
      </c>
      <c r="D23">
        <v>33</v>
      </c>
      <c r="E23">
        <v>2</v>
      </c>
      <c r="F23">
        <v>0</v>
      </c>
      <c r="G23">
        <v>0</v>
      </c>
      <c r="H23">
        <v>0</v>
      </c>
      <c r="I23">
        <v>0</v>
      </c>
      <c r="J23">
        <v>1</v>
      </c>
      <c r="L23">
        <v>0.67</v>
      </c>
      <c r="M23" t="s">
        <v>41</v>
      </c>
      <c r="N23" t="s">
        <v>41</v>
      </c>
      <c r="O23">
        <v>0.33</v>
      </c>
      <c r="Q23" s="1">
        <f>SUM(OGC_Home__Brazil[[#This Row],[0-15]:[31-45]])</f>
        <v>2</v>
      </c>
      <c r="AD23"/>
    </row>
    <row r="24" spans="1:30" x14ac:dyDescent="0.25">
      <c r="A24" t="s">
        <v>159</v>
      </c>
      <c r="B24" t="s">
        <v>165</v>
      </c>
      <c r="C24">
        <v>1</v>
      </c>
      <c r="D24">
        <v>18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SUM(OGC_Home__Brazil[[#This Row],[0-15]:[31-45]])</f>
        <v>1</v>
      </c>
      <c r="AD24"/>
    </row>
    <row r="25" spans="1:30" x14ac:dyDescent="0.25">
      <c r="A25" t="s">
        <v>151</v>
      </c>
      <c r="B25" t="s">
        <v>185</v>
      </c>
      <c r="C25">
        <v>5</v>
      </c>
      <c r="D25">
        <v>27</v>
      </c>
      <c r="E25">
        <v>3</v>
      </c>
      <c r="F25">
        <v>0</v>
      </c>
      <c r="G25">
        <v>1</v>
      </c>
      <c r="H25">
        <v>1</v>
      </c>
      <c r="I25">
        <v>0</v>
      </c>
      <c r="J25">
        <v>0</v>
      </c>
      <c r="L25">
        <v>0.8</v>
      </c>
      <c r="M25" t="s">
        <v>41</v>
      </c>
      <c r="N25" t="s">
        <v>41</v>
      </c>
      <c r="O25">
        <v>0.2</v>
      </c>
      <c r="Q25" s="1">
        <f>SUM(OGC_Home__Brazil[[#This Row],[0-15]:[31-45]])</f>
        <v>4</v>
      </c>
      <c r="AD25"/>
    </row>
    <row r="26" spans="1:30" x14ac:dyDescent="0.25">
      <c r="A26" t="s">
        <v>156</v>
      </c>
      <c r="B26" t="s">
        <v>185</v>
      </c>
      <c r="C26">
        <v>4</v>
      </c>
      <c r="D26">
        <v>48</v>
      </c>
      <c r="E26">
        <v>0</v>
      </c>
      <c r="F26">
        <v>1</v>
      </c>
      <c r="G26">
        <v>1</v>
      </c>
      <c r="H26">
        <v>1</v>
      </c>
      <c r="I26">
        <v>1</v>
      </c>
      <c r="J26">
        <v>0</v>
      </c>
      <c r="L26">
        <v>0.5</v>
      </c>
      <c r="M26" t="s">
        <v>41</v>
      </c>
      <c r="N26" t="s">
        <v>41</v>
      </c>
      <c r="O26">
        <v>0.5</v>
      </c>
      <c r="Q26" s="1">
        <f>SUM(OGC_Home__Brazil[[#This Row],[0-15]:[31-45]])</f>
        <v>2</v>
      </c>
      <c r="AD26"/>
    </row>
    <row r="27" spans="1:30" x14ac:dyDescent="0.25">
      <c r="A27" t="s">
        <v>153</v>
      </c>
      <c r="B27" t="s">
        <v>185</v>
      </c>
      <c r="C27">
        <v>4</v>
      </c>
      <c r="D27">
        <v>32</v>
      </c>
      <c r="E27">
        <v>2</v>
      </c>
      <c r="F27">
        <v>0</v>
      </c>
      <c r="G27">
        <v>0</v>
      </c>
      <c r="H27">
        <v>1</v>
      </c>
      <c r="I27">
        <v>1</v>
      </c>
      <c r="J27">
        <v>0</v>
      </c>
      <c r="L27">
        <v>0.5</v>
      </c>
      <c r="M27" t="s">
        <v>41</v>
      </c>
      <c r="N27" t="s">
        <v>41</v>
      </c>
      <c r="O27">
        <v>0.5</v>
      </c>
      <c r="Q27" s="1">
        <f>SUM(OGC_Home__Brazil[[#This Row],[0-15]:[31-45]])</f>
        <v>2</v>
      </c>
      <c r="AD27"/>
    </row>
    <row r="28" spans="1:30" x14ac:dyDescent="0.25">
      <c r="A28" t="s">
        <v>152</v>
      </c>
      <c r="B28" t="s">
        <v>166</v>
      </c>
      <c r="C28">
        <v>2</v>
      </c>
      <c r="D28">
        <v>69</v>
      </c>
      <c r="E28">
        <v>0</v>
      </c>
      <c r="F28">
        <v>0</v>
      </c>
      <c r="G28">
        <v>0</v>
      </c>
      <c r="H28">
        <v>1</v>
      </c>
      <c r="I28">
        <v>0</v>
      </c>
      <c r="J28">
        <v>1</v>
      </c>
      <c r="L28">
        <v>0</v>
      </c>
      <c r="M28" t="s">
        <v>41</v>
      </c>
      <c r="N28" t="s">
        <v>41</v>
      </c>
      <c r="O28">
        <v>1</v>
      </c>
      <c r="Q28" s="1">
        <f>SUM(OGC_Home__Brazil[[#This Row],[0-15]:[31-45]])</f>
        <v>0</v>
      </c>
      <c r="AD28"/>
    </row>
    <row r="29" spans="1:30" x14ac:dyDescent="0.25">
      <c r="A29" t="s">
        <v>161</v>
      </c>
      <c r="B29" t="s">
        <v>166</v>
      </c>
      <c r="C29">
        <v>4</v>
      </c>
      <c r="D29">
        <v>17</v>
      </c>
      <c r="E29">
        <v>2</v>
      </c>
      <c r="F29">
        <v>1</v>
      </c>
      <c r="G29">
        <v>1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SUM(OGC_Home__Brazil[[#This Row],[0-15]:[31-45]])</f>
        <v>4</v>
      </c>
      <c r="AD29"/>
    </row>
    <row r="30" spans="1:30" x14ac:dyDescent="0.25">
      <c r="A30" t="s">
        <v>160</v>
      </c>
      <c r="B30" t="s">
        <v>185</v>
      </c>
      <c r="C30">
        <v>3</v>
      </c>
      <c r="D30">
        <v>31</v>
      </c>
      <c r="E30">
        <v>1</v>
      </c>
      <c r="F30">
        <v>1</v>
      </c>
      <c r="G30">
        <v>0</v>
      </c>
      <c r="H30">
        <v>0</v>
      </c>
      <c r="I30">
        <v>1</v>
      </c>
      <c r="J30">
        <v>0</v>
      </c>
      <c r="L30">
        <v>0.67</v>
      </c>
      <c r="M30" t="s">
        <v>41</v>
      </c>
      <c r="N30" t="s">
        <v>41</v>
      </c>
      <c r="O30">
        <v>0.33</v>
      </c>
      <c r="Q30" s="1">
        <f>SUM(OGC_Home__Brazil[[#This Row],[0-15]:[31-45]])</f>
        <v>2</v>
      </c>
      <c r="AD30"/>
    </row>
    <row r="31" spans="1:30" x14ac:dyDescent="0.25">
      <c r="A31" t="s">
        <v>157</v>
      </c>
      <c r="B31" t="s">
        <v>165</v>
      </c>
      <c r="C31">
        <v>1</v>
      </c>
      <c r="D31">
        <v>15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  <c r="Q31" s="1">
        <f>SUM(OGC_Home__Brazil[[#This Row],[0-15]:[31-45]])</f>
        <v>1</v>
      </c>
      <c r="AD31"/>
    </row>
    <row r="32" spans="1:30" x14ac:dyDescent="0.25">
      <c r="A32" t="s">
        <v>154</v>
      </c>
      <c r="B32" t="s">
        <v>185</v>
      </c>
      <c r="C32">
        <v>2</v>
      </c>
      <c r="D32">
        <v>18</v>
      </c>
      <c r="E32">
        <v>1</v>
      </c>
      <c r="F32">
        <v>1</v>
      </c>
      <c r="G32">
        <v>0</v>
      </c>
      <c r="H32">
        <v>0</v>
      </c>
      <c r="I32">
        <v>0</v>
      </c>
      <c r="J32">
        <v>0</v>
      </c>
      <c r="L32">
        <v>1</v>
      </c>
      <c r="M32" t="s">
        <v>41</v>
      </c>
      <c r="N32" t="s">
        <v>41</v>
      </c>
      <c r="O32">
        <v>0</v>
      </c>
      <c r="Q32" s="1">
        <f>SUM(OGC_Home__Brazil[[#This Row],[0-15]:[31-45]])</f>
        <v>2</v>
      </c>
      <c r="AD32"/>
    </row>
    <row r="33" spans="1:30" x14ac:dyDescent="0.25">
      <c r="A33" t="s">
        <v>158</v>
      </c>
      <c r="B33" t="s">
        <v>185</v>
      </c>
      <c r="C33">
        <v>4</v>
      </c>
      <c r="D33">
        <v>33</v>
      </c>
      <c r="E33">
        <v>0</v>
      </c>
      <c r="F33">
        <v>2</v>
      </c>
      <c r="G33">
        <v>1</v>
      </c>
      <c r="H33">
        <v>1</v>
      </c>
      <c r="I33">
        <v>0</v>
      </c>
      <c r="J33">
        <v>0</v>
      </c>
      <c r="L33">
        <v>0.75</v>
      </c>
      <c r="M33" t="s">
        <v>41</v>
      </c>
      <c r="N33" t="s">
        <v>41</v>
      </c>
      <c r="O33">
        <v>0.25</v>
      </c>
      <c r="Q33" s="1">
        <f>SUM(OGC_Home__Brazil[[#This Row],[0-15]:[31-45]])</f>
        <v>3</v>
      </c>
      <c r="AD33"/>
    </row>
    <row r="34" spans="1:30" x14ac:dyDescent="0.25">
      <c r="Q34" s="1" t="e">
        <f>SUM(OGC_Home__Brazil[[#This Row],[0-15]:[31-45]])</f>
        <v>#VALUE!</v>
      </c>
      <c r="AD34"/>
    </row>
    <row r="35" spans="1:30" x14ac:dyDescent="0.25">
      <c r="Q35" s="1" t="e">
        <f>SUM(OGC_Home__Brazil[[#This Row],[0-15]:[31-45]])</f>
        <v>#VALUE!</v>
      </c>
      <c r="AD35"/>
    </row>
    <row r="36" spans="1:30" x14ac:dyDescent="0.25">
      <c r="Q36" s="1" t="e">
        <f>SUM(OGC_Home__Brazil[[#This Row],[0-15]:[31-45]])</f>
        <v>#VALUE!</v>
      </c>
      <c r="AD36"/>
    </row>
    <row r="37" spans="1:30" x14ac:dyDescent="0.25">
      <c r="Q37" s="1" t="e">
        <f>SUM(OGC_Home__Brazil[[#This Row],[0-15]:[31-45]])</f>
        <v>#VALUE!</v>
      </c>
      <c r="AD37"/>
    </row>
    <row r="38" spans="1:30" x14ac:dyDescent="0.25">
      <c r="Q38" s="1" t="e">
        <f>SUM(OGC_Home__Brazil[[#This Row],[0-15]:[31-45]])</f>
        <v>#VALUE!</v>
      </c>
      <c r="AD38"/>
    </row>
    <row r="39" spans="1:30" x14ac:dyDescent="0.25">
      <c r="Q39" s="1" t="e">
        <f>SUM(OGC_Home__Brazil[[#This Row],[0-15]:[31-45]])</f>
        <v>#VALUE!</v>
      </c>
      <c r="AD39"/>
    </row>
    <row r="40" spans="1:30" x14ac:dyDescent="0.25">
      <c r="Q40" s="1" t="e">
        <f>SUM(OGC_Home__Brazil[[#This Row],[0-15]:[31-45]])</f>
        <v>#VALUE!</v>
      </c>
      <c r="AD40"/>
    </row>
    <row r="41" spans="1:30" x14ac:dyDescent="0.25">
      <c r="Q41" s="1" t="e">
        <f>SUM(OGC_Home__Brazil[[#This Row],[0-15]:[31-45]])</f>
        <v>#VALUE!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144</v>
      </c>
      <c r="B2" t="s">
        <v>165</v>
      </c>
      <c r="C2">
        <v>4</v>
      </c>
      <c r="D2">
        <v>41</v>
      </c>
      <c r="E2">
        <v>0</v>
      </c>
      <c r="F2">
        <v>2</v>
      </c>
      <c r="G2">
        <v>0</v>
      </c>
      <c r="H2">
        <v>1</v>
      </c>
      <c r="I2">
        <v>0</v>
      </c>
      <c r="J2">
        <v>1</v>
      </c>
      <c r="L2">
        <v>0.5</v>
      </c>
      <c r="M2" t="s">
        <v>41</v>
      </c>
      <c r="N2" t="s">
        <v>41</v>
      </c>
      <c r="O2">
        <v>0.5</v>
      </c>
      <c r="Q2" s="1">
        <f>SUM(OGC___Away_Brazil[[#This Row],[0-15]:[31-45]])</f>
        <v>2</v>
      </c>
    </row>
    <row r="3" spans="1:17" x14ac:dyDescent="0.25">
      <c r="A3" t="s">
        <v>137</v>
      </c>
      <c r="B3" t="s">
        <v>165</v>
      </c>
      <c r="C3">
        <v>3</v>
      </c>
      <c r="D3">
        <v>28</v>
      </c>
      <c r="E3">
        <v>1</v>
      </c>
      <c r="F3">
        <v>1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3</v>
      </c>
    </row>
    <row r="4" spans="1:17" x14ac:dyDescent="0.25">
      <c r="A4" t="s">
        <v>147</v>
      </c>
      <c r="B4" t="s">
        <v>165</v>
      </c>
      <c r="C4">
        <v>4</v>
      </c>
      <c r="D4">
        <v>34</v>
      </c>
      <c r="E4">
        <v>0</v>
      </c>
      <c r="F4">
        <v>2</v>
      </c>
      <c r="G4">
        <v>1</v>
      </c>
      <c r="H4">
        <v>0</v>
      </c>
      <c r="I4">
        <v>1</v>
      </c>
      <c r="J4">
        <v>0</v>
      </c>
      <c r="L4">
        <v>0.75</v>
      </c>
      <c r="M4" t="s">
        <v>41</v>
      </c>
      <c r="N4" t="s">
        <v>41</v>
      </c>
      <c r="O4">
        <v>0.25</v>
      </c>
      <c r="Q4" s="1">
        <f>SUM(OGC___Away_Brazil[[#This Row],[0-15]:[31-45]])</f>
        <v>3</v>
      </c>
    </row>
    <row r="5" spans="1:17" x14ac:dyDescent="0.25">
      <c r="A5" t="s">
        <v>138</v>
      </c>
      <c r="B5" t="s">
        <v>185</v>
      </c>
      <c r="C5">
        <v>7</v>
      </c>
      <c r="D5">
        <v>44</v>
      </c>
      <c r="E5">
        <v>3</v>
      </c>
      <c r="F5">
        <v>0</v>
      </c>
      <c r="G5">
        <v>1</v>
      </c>
      <c r="H5">
        <v>0</v>
      </c>
      <c r="I5">
        <v>0</v>
      </c>
      <c r="J5">
        <v>3</v>
      </c>
      <c r="L5">
        <v>0.56999999999999995</v>
      </c>
      <c r="M5" t="s">
        <v>41</v>
      </c>
      <c r="N5" t="s">
        <v>41</v>
      </c>
      <c r="O5">
        <v>0.43</v>
      </c>
      <c r="Q5" s="1">
        <f>SUM(OGC___Away_Brazil[[#This Row],[0-15]:[31-45]])</f>
        <v>4</v>
      </c>
    </row>
    <row r="6" spans="1:17" x14ac:dyDescent="0.25">
      <c r="A6" t="s">
        <v>143</v>
      </c>
      <c r="B6" t="s">
        <v>166</v>
      </c>
      <c r="C6">
        <v>3</v>
      </c>
      <c r="D6">
        <v>16</v>
      </c>
      <c r="E6">
        <v>1</v>
      </c>
      <c r="F6">
        <v>2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3</v>
      </c>
    </row>
    <row r="7" spans="1:17" x14ac:dyDescent="0.25">
      <c r="A7" t="s">
        <v>142</v>
      </c>
      <c r="B7" t="s">
        <v>185</v>
      </c>
      <c r="C7">
        <v>5</v>
      </c>
      <c r="D7">
        <v>30</v>
      </c>
      <c r="E7">
        <v>3</v>
      </c>
      <c r="F7">
        <v>0</v>
      </c>
      <c r="G7">
        <v>1</v>
      </c>
      <c r="H7">
        <v>0</v>
      </c>
      <c r="I7">
        <v>0</v>
      </c>
      <c r="J7">
        <v>1</v>
      </c>
      <c r="L7">
        <v>0.8</v>
      </c>
      <c r="M7" t="s">
        <v>41</v>
      </c>
      <c r="N7" t="s">
        <v>41</v>
      </c>
      <c r="O7">
        <v>0.2</v>
      </c>
      <c r="Q7" s="1">
        <f>SUM(OGC___Away_Brazil[[#This Row],[0-15]:[31-45]])</f>
        <v>4</v>
      </c>
    </row>
    <row r="8" spans="1:17" x14ac:dyDescent="0.25">
      <c r="A8" t="s">
        <v>134</v>
      </c>
      <c r="B8" t="s">
        <v>165</v>
      </c>
      <c r="C8">
        <v>3</v>
      </c>
      <c r="D8">
        <v>29</v>
      </c>
      <c r="E8">
        <v>1</v>
      </c>
      <c r="F8">
        <v>1</v>
      </c>
      <c r="G8">
        <v>0</v>
      </c>
      <c r="H8">
        <v>1</v>
      </c>
      <c r="I8">
        <v>0</v>
      </c>
      <c r="J8">
        <v>0</v>
      </c>
      <c r="L8">
        <v>0.67</v>
      </c>
      <c r="M8" t="s">
        <v>41</v>
      </c>
      <c r="N8" t="s">
        <v>41</v>
      </c>
      <c r="O8">
        <v>0.33</v>
      </c>
      <c r="Q8" s="1">
        <f>SUM(OGC___Away_Brazil[[#This Row],[0-15]:[31-45]])</f>
        <v>2</v>
      </c>
    </row>
    <row r="9" spans="1:17" x14ac:dyDescent="0.25">
      <c r="A9" t="s">
        <v>145</v>
      </c>
      <c r="B9" t="s">
        <v>165</v>
      </c>
      <c r="C9">
        <v>2</v>
      </c>
      <c r="D9">
        <v>14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2</v>
      </c>
    </row>
    <row r="10" spans="1:17" x14ac:dyDescent="0.25">
      <c r="A10" t="s">
        <v>136</v>
      </c>
      <c r="B10" t="s">
        <v>165</v>
      </c>
      <c r="C10">
        <v>3</v>
      </c>
      <c r="D10">
        <v>17</v>
      </c>
      <c r="E10">
        <v>1</v>
      </c>
      <c r="F10">
        <v>2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3</v>
      </c>
    </row>
    <row r="11" spans="1:17" x14ac:dyDescent="0.25">
      <c r="A11" t="s">
        <v>133</v>
      </c>
      <c r="B11" t="s">
        <v>185</v>
      </c>
      <c r="C11">
        <v>2</v>
      </c>
      <c r="D11">
        <v>24</v>
      </c>
      <c r="E11">
        <v>1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2</v>
      </c>
    </row>
    <row r="12" spans="1:17" x14ac:dyDescent="0.25">
      <c r="A12" t="s">
        <v>140</v>
      </c>
      <c r="B12" t="s">
        <v>165</v>
      </c>
      <c r="C12">
        <v>3</v>
      </c>
      <c r="D12">
        <v>33</v>
      </c>
      <c r="E12">
        <v>2</v>
      </c>
      <c r="F12">
        <v>0</v>
      </c>
      <c r="G12">
        <v>0</v>
      </c>
      <c r="H12">
        <v>0</v>
      </c>
      <c r="I12">
        <v>0</v>
      </c>
      <c r="J12">
        <v>1</v>
      </c>
      <c r="L12">
        <v>0.67</v>
      </c>
      <c r="M12" t="s">
        <v>41</v>
      </c>
      <c r="N12" t="s">
        <v>41</v>
      </c>
      <c r="O12">
        <v>0.33</v>
      </c>
      <c r="Q12" s="1">
        <f>SUM(OGC___Away_Brazil[[#This Row],[0-15]:[31-45]])</f>
        <v>2</v>
      </c>
    </row>
    <row r="13" spans="1:17" x14ac:dyDescent="0.25">
      <c r="A13" t="s">
        <v>139</v>
      </c>
      <c r="B13" t="s">
        <v>165</v>
      </c>
      <c r="C13">
        <v>3</v>
      </c>
      <c r="D13">
        <v>25</v>
      </c>
      <c r="E13">
        <v>2</v>
      </c>
      <c r="F13">
        <v>0</v>
      </c>
      <c r="G13">
        <v>0</v>
      </c>
      <c r="H13">
        <v>1</v>
      </c>
      <c r="I13">
        <v>0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SUM(OGC___Away_Brazil[[#This Row],[0-15]:[31-45]])</f>
        <v>2</v>
      </c>
    </row>
    <row r="14" spans="1:17" x14ac:dyDescent="0.25">
      <c r="A14" t="s">
        <v>132</v>
      </c>
      <c r="B14" t="s">
        <v>185</v>
      </c>
      <c r="C14">
        <v>2</v>
      </c>
      <c r="D14">
        <v>41</v>
      </c>
      <c r="E14">
        <v>0</v>
      </c>
      <c r="F14">
        <v>1</v>
      </c>
      <c r="G14">
        <v>0</v>
      </c>
      <c r="H14">
        <v>1</v>
      </c>
      <c r="I14">
        <v>0</v>
      </c>
      <c r="J14">
        <v>0</v>
      </c>
      <c r="L14">
        <v>0.5</v>
      </c>
      <c r="M14" t="s">
        <v>41</v>
      </c>
      <c r="N14" t="s">
        <v>41</v>
      </c>
      <c r="O14">
        <v>0.5</v>
      </c>
      <c r="Q14" s="1">
        <f>SUM(OGC___Away_Brazil[[#This Row],[0-15]:[31-45]])</f>
        <v>1</v>
      </c>
    </row>
    <row r="15" spans="1:17" x14ac:dyDescent="0.25">
      <c r="A15" t="s">
        <v>135</v>
      </c>
      <c r="B15" t="s">
        <v>185</v>
      </c>
      <c r="C15">
        <v>4</v>
      </c>
      <c r="D15">
        <v>50</v>
      </c>
      <c r="E15">
        <v>0</v>
      </c>
      <c r="F15">
        <v>0</v>
      </c>
      <c r="G15">
        <v>1</v>
      </c>
      <c r="H15">
        <v>3</v>
      </c>
      <c r="I15">
        <v>0</v>
      </c>
      <c r="J15">
        <v>0</v>
      </c>
      <c r="L15">
        <v>0.25</v>
      </c>
      <c r="M15" t="s">
        <v>41</v>
      </c>
      <c r="N15" t="s">
        <v>41</v>
      </c>
      <c r="O15">
        <v>0.75</v>
      </c>
      <c r="Q15" s="1">
        <f>SUM(OGC___Away_Brazil[[#This Row],[0-15]:[31-45]])</f>
        <v>1</v>
      </c>
    </row>
    <row r="16" spans="1:17" x14ac:dyDescent="0.25">
      <c r="A16" t="s">
        <v>141</v>
      </c>
      <c r="B16" t="s">
        <v>167</v>
      </c>
      <c r="C16">
        <v>3</v>
      </c>
      <c r="D16">
        <v>16</v>
      </c>
      <c r="E16">
        <v>1</v>
      </c>
      <c r="F16">
        <v>2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3</v>
      </c>
    </row>
    <row r="17" spans="1:17" x14ac:dyDescent="0.25">
      <c r="A17" t="s">
        <v>146</v>
      </c>
      <c r="B17" t="s">
        <v>185</v>
      </c>
      <c r="C17">
        <v>5</v>
      </c>
      <c r="D17">
        <v>37</v>
      </c>
      <c r="E17">
        <v>2</v>
      </c>
      <c r="F17">
        <v>0</v>
      </c>
      <c r="G17">
        <v>1</v>
      </c>
      <c r="H17">
        <v>1</v>
      </c>
      <c r="I17">
        <v>1</v>
      </c>
      <c r="J17">
        <v>0</v>
      </c>
      <c r="L17">
        <v>0.6</v>
      </c>
      <c r="M17" t="s">
        <v>41</v>
      </c>
      <c r="N17" t="s">
        <v>41</v>
      </c>
      <c r="O17">
        <v>0.4</v>
      </c>
      <c r="Q17" s="1">
        <f>SUM(OGC___Away_Brazil[[#This Row],[0-15]:[31-45]])</f>
        <v>3</v>
      </c>
    </row>
    <row r="18" spans="1:17" x14ac:dyDescent="0.25">
      <c r="A18" t="s">
        <v>162</v>
      </c>
      <c r="B18" t="s">
        <v>185</v>
      </c>
      <c r="C18">
        <v>6</v>
      </c>
      <c r="D18">
        <v>28</v>
      </c>
      <c r="E18">
        <v>3</v>
      </c>
      <c r="F18">
        <v>1</v>
      </c>
      <c r="G18">
        <v>1</v>
      </c>
      <c r="H18">
        <v>0</v>
      </c>
      <c r="I18">
        <v>0</v>
      </c>
      <c r="J18">
        <v>1</v>
      </c>
      <c r="L18">
        <v>0.83</v>
      </c>
      <c r="M18" t="s">
        <v>41</v>
      </c>
      <c r="N18" t="s">
        <v>41</v>
      </c>
      <c r="O18">
        <v>0.17</v>
      </c>
      <c r="Q18" s="1">
        <f>SUM(OGC___Away_Brazil[[#This Row],[0-15]:[31-45]])</f>
        <v>5</v>
      </c>
    </row>
    <row r="19" spans="1:17" x14ac:dyDescent="0.25">
      <c r="A19" t="s">
        <v>148</v>
      </c>
      <c r="B19" t="s">
        <v>166</v>
      </c>
      <c r="C19">
        <v>2</v>
      </c>
      <c r="D19">
        <v>30</v>
      </c>
      <c r="E19">
        <v>1</v>
      </c>
      <c r="F19">
        <v>0</v>
      </c>
      <c r="G19">
        <v>0</v>
      </c>
      <c r="H19">
        <v>1</v>
      </c>
      <c r="I19">
        <v>0</v>
      </c>
      <c r="J19">
        <v>0</v>
      </c>
      <c r="L19">
        <v>0.5</v>
      </c>
      <c r="M19" t="s">
        <v>41</v>
      </c>
      <c r="N19" t="s">
        <v>41</v>
      </c>
      <c r="O19">
        <v>0.5</v>
      </c>
      <c r="Q19" s="1">
        <f>SUM(OGC___Away_Brazil[[#This Row],[0-15]:[31-45]])</f>
        <v>1</v>
      </c>
    </row>
    <row r="20" spans="1:17" x14ac:dyDescent="0.25">
      <c r="A20" t="s">
        <v>163</v>
      </c>
      <c r="B20" t="s">
        <v>185</v>
      </c>
      <c r="C20">
        <v>5</v>
      </c>
      <c r="D20">
        <v>14</v>
      </c>
      <c r="E20">
        <v>4</v>
      </c>
      <c r="F20">
        <v>0</v>
      </c>
      <c r="G20">
        <v>1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SUM(OGC___Away_Brazil[[#This Row],[0-15]:[31-45]])</f>
        <v>5</v>
      </c>
    </row>
    <row r="21" spans="1:17" x14ac:dyDescent="0.25">
      <c r="A21" t="s">
        <v>149</v>
      </c>
      <c r="B21" t="s">
        <v>165</v>
      </c>
      <c r="C21">
        <v>4</v>
      </c>
      <c r="D21">
        <v>24</v>
      </c>
      <c r="E21">
        <v>2</v>
      </c>
      <c r="F21">
        <v>1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SUM(OGC___Away_Brazil[[#This Row],[0-15]:[31-45]])</f>
        <v>4</v>
      </c>
    </row>
    <row r="22" spans="1:17" x14ac:dyDescent="0.25">
      <c r="A22" t="s">
        <v>150</v>
      </c>
      <c r="B22" t="s">
        <v>185</v>
      </c>
      <c r="C22">
        <v>3</v>
      </c>
      <c r="D22">
        <v>18</v>
      </c>
      <c r="E22">
        <v>1</v>
      </c>
      <c r="F22">
        <v>2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3</v>
      </c>
    </row>
    <row r="23" spans="1:17" x14ac:dyDescent="0.25">
      <c r="A23" t="s">
        <v>155</v>
      </c>
      <c r="B23" t="s">
        <v>185</v>
      </c>
      <c r="C23">
        <v>2</v>
      </c>
      <c r="D23">
        <v>38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  <c r="L23">
        <v>0.5</v>
      </c>
      <c r="M23" t="s">
        <v>41</v>
      </c>
      <c r="N23" t="s">
        <v>41</v>
      </c>
      <c r="O23">
        <v>0.5</v>
      </c>
      <c r="Q23" s="1">
        <f>SUM(OGC___Away_Brazil[[#This Row],[0-15]:[31-45]])</f>
        <v>1</v>
      </c>
    </row>
    <row r="24" spans="1:17" x14ac:dyDescent="0.25">
      <c r="A24" t="s">
        <v>159</v>
      </c>
      <c r="B24" t="s">
        <v>166</v>
      </c>
      <c r="C24">
        <v>6</v>
      </c>
      <c r="D24">
        <v>21</v>
      </c>
      <c r="E24">
        <v>3</v>
      </c>
      <c r="F24">
        <v>2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SUM(OGC___Away_Brazil[[#This Row],[0-15]:[31-45]])</f>
        <v>6</v>
      </c>
    </row>
    <row r="25" spans="1:17" x14ac:dyDescent="0.25">
      <c r="A25" t="s">
        <v>151</v>
      </c>
      <c r="B25" t="s">
        <v>185</v>
      </c>
      <c r="C25">
        <v>3</v>
      </c>
      <c r="D25">
        <v>46</v>
      </c>
      <c r="E25">
        <v>1</v>
      </c>
      <c r="F25">
        <v>0</v>
      </c>
      <c r="G25">
        <v>0</v>
      </c>
      <c r="H25">
        <v>1</v>
      </c>
      <c r="I25">
        <v>0</v>
      </c>
      <c r="J25">
        <v>1</v>
      </c>
      <c r="L25">
        <v>0.33</v>
      </c>
      <c r="M25" t="s">
        <v>41</v>
      </c>
      <c r="N25" t="s">
        <v>41</v>
      </c>
      <c r="O25">
        <v>0.67</v>
      </c>
      <c r="Q25" s="1">
        <f>SUM(OGC___Away_Brazil[[#This Row],[0-15]:[31-45]])</f>
        <v>1</v>
      </c>
    </row>
    <row r="26" spans="1:17" x14ac:dyDescent="0.25">
      <c r="A26" t="s">
        <v>156</v>
      </c>
      <c r="B26" t="s">
        <v>185</v>
      </c>
      <c r="C26">
        <v>3</v>
      </c>
      <c r="D26">
        <v>19</v>
      </c>
      <c r="E26">
        <v>2</v>
      </c>
      <c r="F26">
        <v>0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3</v>
      </c>
    </row>
    <row r="27" spans="1:17" x14ac:dyDescent="0.25">
      <c r="A27" t="s">
        <v>153</v>
      </c>
      <c r="B27" t="s">
        <v>185</v>
      </c>
      <c r="C27">
        <v>4</v>
      </c>
      <c r="D27">
        <v>16</v>
      </c>
      <c r="E27">
        <v>3</v>
      </c>
      <c r="F27">
        <v>0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  <c r="Q27" s="1">
        <f>SUM(OGC___Away_Brazil[[#This Row],[0-15]:[31-45]])</f>
        <v>4</v>
      </c>
    </row>
    <row r="28" spans="1:17" x14ac:dyDescent="0.25">
      <c r="A28" t="s">
        <v>152</v>
      </c>
      <c r="B28" t="s">
        <v>165</v>
      </c>
      <c r="C28">
        <v>2</v>
      </c>
      <c r="D28">
        <v>18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  <c r="Q28" s="1">
        <f>SUM(OGC___Away_Brazil[[#This Row],[0-15]:[31-45]])</f>
        <v>2</v>
      </c>
    </row>
    <row r="29" spans="1:17" x14ac:dyDescent="0.25">
      <c r="A29" t="s">
        <v>161</v>
      </c>
      <c r="B29" t="s">
        <v>165</v>
      </c>
      <c r="C29">
        <v>4</v>
      </c>
      <c r="D29">
        <v>40</v>
      </c>
      <c r="E29">
        <v>1</v>
      </c>
      <c r="F29">
        <v>0</v>
      </c>
      <c r="G29">
        <v>1</v>
      </c>
      <c r="H29">
        <v>1</v>
      </c>
      <c r="I29">
        <v>1</v>
      </c>
      <c r="J29">
        <v>0</v>
      </c>
      <c r="L29">
        <v>0.5</v>
      </c>
      <c r="M29" t="s">
        <v>41</v>
      </c>
      <c r="N29" t="s">
        <v>41</v>
      </c>
      <c r="O29">
        <v>0.5</v>
      </c>
      <c r="Q29" s="1">
        <f>SUM(OGC___Away_Brazil[[#This Row],[0-15]:[31-45]])</f>
        <v>2</v>
      </c>
    </row>
    <row r="30" spans="1:17" x14ac:dyDescent="0.25">
      <c r="A30" t="s">
        <v>160</v>
      </c>
      <c r="B30" t="s">
        <v>185</v>
      </c>
      <c r="C30">
        <v>4</v>
      </c>
      <c r="D30">
        <v>39</v>
      </c>
      <c r="E30">
        <v>1</v>
      </c>
      <c r="F30">
        <v>1</v>
      </c>
      <c r="G30">
        <v>0</v>
      </c>
      <c r="H30">
        <v>1</v>
      </c>
      <c r="I30">
        <v>1</v>
      </c>
      <c r="J30">
        <v>0</v>
      </c>
      <c r="L30">
        <v>0.5</v>
      </c>
      <c r="M30" t="s">
        <v>41</v>
      </c>
      <c r="N30" t="s">
        <v>41</v>
      </c>
      <c r="O30">
        <v>0.5</v>
      </c>
      <c r="Q30" s="1">
        <f>SUM(OGC___Away_Brazil[[#This Row],[0-15]:[31-45]])</f>
        <v>2</v>
      </c>
    </row>
    <row r="31" spans="1:17" x14ac:dyDescent="0.25">
      <c r="A31" t="s">
        <v>157</v>
      </c>
      <c r="B31" t="s">
        <v>166</v>
      </c>
      <c r="C31">
        <v>3</v>
      </c>
      <c r="D31">
        <v>26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  <c r="Q31" s="1">
        <f>SUM(OGC___Away_Brazil[[#This Row],[0-15]:[31-45]])</f>
        <v>3</v>
      </c>
    </row>
    <row r="32" spans="1:17" x14ac:dyDescent="0.25">
      <c r="A32" t="s">
        <v>154</v>
      </c>
      <c r="B32" t="s">
        <v>185</v>
      </c>
      <c r="C32">
        <v>2</v>
      </c>
      <c r="D32">
        <v>34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  <c r="L32">
        <v>0.5</v>
      </c>
      <c r="M32" t="s">
        <v>41</v>
      </c>
      <c r="N32" t="s">
        <v>41</v>
      </c>
      <c r="O32">
        <v>0.5</v>
      </c>
      <c r="Q32" s="1">
        <f>SUM(OGC___Away_Brazil[[#This Row],[0-15]:[31-45]])</f>
        <v>1</v>
      </c>
    </row>
    <row r="33" spans="1:17" x14ac:dyDescent="0.25">
      <c r="A33" t="s">
        <v>158</v>
      </c>
      <c r="B33" t="s">
        <v>185</v>
      </c>
      <c r="C33">
        <v>4</v>
      </c>
      <c r="D33">
        <v>11</v>
      </c>
      <c r="E33">
        <v>3</v>
      </c>
      <c r="F33">
        <v>1</v>
      </c>
      <c r="G33">
        <v>0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  <c r="Q33" s="1">
        <f>SUM(OGC___Away_Brazil[[#This Row],[0-15]:[31-45]])</f>
        <v>4</v>
      </c>
    </row>
    <row r="34" spans="1:17" x14ac:dyDescent="0.25">
      <c r="Q34" s="1" t="e">
        <f>SUM(OGC___Away_Brazil[[#This Row],[0-15]:[31-45]])</f>
        <v>#VALUE!</v>
      </c>
    </row>
    <row r="35" spans="1:17" x14ac:dyDescent="0.25">
      <c r="Q35" s="1" t="e">
        <f>SUM(OGC___Away_Brazil[[#This Row],[0-15]:[31-45]])</f>
        <v>#VALUE!</v>
      </c>
    </row>
    <row r="36" spans="1:17" x14ac:dyDescent="0.25">
      <c r="Q36" s="1" t="e">
        <f>SUM(OGC___Away_Brazil[[#This Row],[0-15]:[31-45]])</f>
        <v>#VALUE!</v>
      </c>
    </row>
    <row r="37" spans="1:17" x14ac:dyDescent="0.25">
      <c r="Q37" s="1" t="e">
        <f>SUM(OGC___Away_Brazil[[#This Row],[0-15]:[31-45]])</f>
        <v>#VALUE!</v>
      </c>
    </row>
    <row r="38" spans="1:17" x14ac:dyDescent="0.25">
      <c r="Q38" s="1" t="e">
        <f>SUM(OGC___Away_Brazil[[#This Row],[0-15]:[31-45]])</f>
        <v>#VALUE!</v>
      </c>
    </row>
    <row r="39" spans="1:17" x14ac:dyDescent="0.25">
      <c r="Q39" s="1" t="e">
        <f>SUM(OGC___Away_Brazil[[#This Row],[0-15]:[31-45]])</f>
        <v>#VALUE!</v>
      </c>
    </row>
    <row r="40" spans="1:17" x14ac:dyDescent="0.25">
      <c r="Q40" s="1" t="e">
        <f>SUM(OGC___Away_Brazil[[#This Row],[0-15]:[31-45]])</f>
        <v>#VALUE!</v>
      </c>
    </row>
    <row r="41" spans="1:17" x14ac:dyDescent="0.25">
      <c r="Q41" s="1" t="e">
        <f>SUM(OGC___Away_Brazil[[#This Row],[0-15]:[31-45]])</f>
        <v>#VALUE!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3"/>
  <sheetViews>
    <sheetView workbookViewId="0">
      <selection sqref="A1:J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132</v>
      </c>
      <c r="B2">
        <v>6</v>
      </c>
      <c r="C2">
        <v>6</v>
      </c>
      <c r="D2">
        <v>0</v>
      </c>
      <c r="E2">
        <v>0</v>
      </c>
      <c r="F2">
        <v>13</v>
      </c>
      <c r="G2">
        <v>1</v>
      </c>
      <c r="H2">
        <v>12</v>
      </c>
      <c r="I2">
        <v>18</v>
      </c>
      <c r="J2" s="46">
        <f>HT_Home_Brazil[[#This Row],[W]]/HT_Home_Brazil[[#This Row],[GP]]</f>
        <v>1</v>
      </c>
    </row>
    <row r="3" spans="1:10" x14ac:dyDescent="0.25">
      <c r="A3" t="s">
        <v>139</v>
      </c>
      <c r="B3">
        <v>7</v>
      </c>
      <c r="C3">
        <v>5</v>
      </c>
      <c r="D3">
        <v>2</v>
      </c>
      <c r="E3">
        <v>0</v>
      </c>
      <c r="F3">
        <v>9</v>
      </c>
      <c r="G3">
        <v>3</v>
      </c>
      <c r="H3">
        <v>6</v>
      </c>
      <c r="I3">
        <v>17</v>
      </c>
      <c r="J3" s="46">
        <f>HT_Home_Brazil[[#This Row],[W]]/HT_Home_Brazil[[#This Row],[GP]]</f>
        <v>0.7142857142857143</v>
      </c>
    </row>
    <row r="4" spans="1:10" x14ac:dyDescent="0.25">
      <c r="A4" t="s">
        <v>141</v>
      </c>
      <c r="B4">
        <v>7</v>
      </c>
      <c r="C4">
        <v>4</v>
      </c>
      <c r="D4">
        <v>3</v>
      </c>
      <c r="E4">
        <v>0</v>
      </c>
      <c r="F4">
        <v>11</v>
      </c>
      <c r="G4">
        <v>5</v>
      </c>
      <c r="H4">
        <v>6</v>
      </c>
      <c r="I4">
        <v>15</v>
      </c>
      <c r="J4" s="46">
        <f>HT_Home_Brazil[[#This Row],[W]]/HT_Home_Brazil[[#This Row],[GP]]</f>
        <v>0.5714285714285714</v>
      </c>
    </row>
    <row r="5" spans="1:10" x14ac:dyDescent="0.25">
      <c r="A5" t="s">
        <v>138</v>
      </c>
      <c r="B5">
        <v>6</v>
      </c>
      <c r="C5">
        <v>4</v>
      </c>
      <c r="D5">
        <v>1</v>
      </c>
      <c r="E5">
        <v>1</v>
      </c>
      <c r="F5">
        <v>7</v>
      </c>
      <c r="G5">
        <v>3</v>
      </c>
      <c r="H5">
        <v>4</v>
      </c>
      <c r="I5">
        <v>13</v>
      </c>
      <c r="J5" s="46">
        <f>HT_Home_Brazil[[#This Row],[W]]/HT_Home_Brazil[[#This Row],[GP]]</f>
        <v>0.66666666666666663</v>
      </c>
    </row>
    <row r="6" spans="1:10" x14ac:dyDescent="0.25">
      <c r="A6" t="s">
        <v>134</v>
      </c>
      <c r="B6">
        <v>6</v>
      </c>
      <c r="C6">
        <v>4</v>
      </c>
      <c r="D6">
        <v>1</v>
      </c>
      <c r="E6">
        <v>1</v>
      </c>
      <c r="F6">
        <v>7</v>
      </c>
      <c r="G6">
        <v>3</v>
      </c>
      <c r="H6">
        <v>4</v>
      </c>
      <c r="I6">
        <v>13</v>
      </c>
      <c r="J6" s="46">
        <f>HT_Home_Brazil[[#This Row],[W]]/HT_Home_Brazil[[#This Row],[GP]]</f>
        <v>0.66666666666666663</v>
      </c>
    </row>
    <row r="7" spans="1:10" x14ac:dyDescent="0.25">
      <c r="A7" t="s">
        <v>136</v>
      </c>
      <c r="B7">
        <v>7</v>
      </c>
      <c r="C7">
        <v>3</v>
      </c>
      <c r="D7">
        <v>3</v>
      </c>
      <c r="E7">
        <v>1</v>
      </c>
      <c r="F7">
        <v>5</v>
      </c>
      <c r="G7">
        <v>4</v>
      </c>
      <c r="H7">
        <v>1</v>
      </c>
      <c r="I7">
        <v>12</v>
      </c>
      <c r="J7" s="46">
        <f>HT_Home_Brazil[[#This Row],[W]]/HT_Home_Brazil[[#This Row],[GP]]</f>
        <v>0.42857142857142855</v>
      </c>
    </row>
    <row r="8" spans="1:10" x14ac:dyDescent="0.25">
      <c r="A8" t="s">
        <v>140</v>
      </c>
      <c r="B8">
        <v>7</v>
      </c>
      <c r="C8">
        <v>2</v>
      </c>
      <c r="D8">
        <v>4</v>
      </c>
      <c r="E8">
        <v>1</v>
      </c>
      <c r="F8">
        <v>6</v>
      </c>
      <c r="G8">
        <v>3</v>
      </c>
      <c r="H8">
        <v>3</v>
      </c>
      <c r="I8">
        <v>10</v>
      </c>
      <c r="J8" s="46">
        <f>HT_Home_Brazil[[#This Row],[W]]/HT_Home_Brazil[[#This Row],[GP]]</f>
        <v>0.2857142857142857</v>
      </c>
    </row>
    <row r="9" spans="1:10" x14ac:dyDescent="0.25">
      <c r="A9" t="s">
        <v>133</v>
      </c>
      <c r="B9">
        <v>6</v>
      </c>
      <c r="C9">
        <v>2</v>
      </c>
      <c r="D9">
        <v>4</v>
      </c>
      <c r="E9">
        <v>0</v>
      </c>
      <c r="F9">
        <v>4</v>
      </c>
      <c r="G9">
        <v>1</v>
      </c>
      <c r="H9">
        <v>3</v>
      </c>
      <c r="I9">
        <v>10</v>
      </c>
      <c r="J9" s="46">
        <f>HT_Home_Brazil[[#This Row],[W]]/HT_Home_Brazil[[#This Row],[GP]]</f>
        <v>0.33333333333333331</v>
      </c>
    </row>
    <row r="10" spans="1:10" x14ac:dyDescent="0.25">
      <c r="A10" t="s">
        <v>145</v>
      </c>
      <c r="B10">
        <v>7</v>
      </c>
      <c r="C10">
        <v>3</v>
      </c>
      <c r="D10">
        <v>1</v>
      </c>
      <c r="E10">
        <v>3</v>
      </c>
      <c r="F10">
        <v>3</v>
      </c>
      <c r="G10">
        <v>3</v>
      </c>
      <c r="H10">
        <v>0</v>
      </c>
      <c r="I10">
        <v>10</v>
      </c>
      <c r="J10" s="46">
        <f>HT_Home_Brazil[[#This Row],[W]]/HT_Home_Brazil[[#This Row],[GP]]</f>
        <v>0.42857142857142855</v>
      </c>
    </row>
    <row r="11" spans="1:10" x14ac:dyDescent="0.25">
      <c r="A11" t="s">
        <v>142</v>
      </c>
      <c r="B11">
        <v>6</v>
      </c>
      <c r="C11">
        <v>2</v>
      </c>
      <c r="D11">
        <v>3</v>
      </c>
      <c r="E11">
        <v>1</v>
      </c>
      <c r="F11">
        <v>6</v>
      </c>
      <c r="G11">
        <v>3</v>
      </c>
      <c r="H11">
        <v>3</v>
      </c>
      <c r="I11">
        <v>9</v>
      </c>
      <c r="J11" s="46">
        <f>HT_Home_Brazil[[#This Row],[W]]/HT_Home_Brazil[[#This Row],[GP]]</f>
        <v>0.33333333333333331</v>
      </c>
    </row>
    <row r="12" spans="1:10" x14ac:dyDescent="0.25">
      <c r="A12" t="s">
        <v>135</v>
      </c>
      <c r="B12">
        <v>6</v>
      </c>
      <c r="C12">
        <v>1</v>
      </c>
      <c r="D12">
        <v>4</v>
      </c>
      <c r="E12">
        <v>1</v>
      </c>
      <c r="F12">
        <v>1</v>
      </c>
      <c r="G12">
        <v>1</v>
      </c>
      <c r="H12">
        <v>0</v>
      </c>
      <c r="I12">
        <v>7</v>
      </c>
      <c r="J12" s="46">
        <f>HT_Home_Brazil[[#This Row],[W]]/HT_Home_Brazil[[#This Row],[GP]]</f>
        <v>0.16666666666666666</v>
      </c>
    </row>
    <row r="13" spans="1:10" x14ac:dyDescent="0.25">
      <c r="A13" t="s">
        <v>144</v>
      </c>
      <c r="B13">
        <v>7</v>
      </c>
      <c r="C13">
        <v>0</v>
      </c>
      <c r="D13">
        <v>6</v>
      </c>
      <c r="E13">
        <v>1</v>
      </c>
      <c r="F13">
        <v>1</v>
      </c>
      <c r="G13">
        <v>2</v>
      </c>
      <c r="H13">
        <v>-1</v>
      </c>
      <c r="I13">
        <v>6</v>
      </c>
      <c r="J13" s="46">
        <f>HT_Home_Brazil[[#This Row],[W]]/HT_Home_Brazil[[#This Row],[GP]]</f>
        <v>0</v>
      </c>
    </row>
    <row r="14" spans="1:10" x14ac:dyDescent="0.25">
      <c r="A14" t="s">
        <v>146</v>
      </c>
      <c r="B14">
        <v>6</v>
      </c>
      <c r="C14">
        <v>1</v>
      </c>
      <c r="D14">
        <v>3</v>
      </c>
      <c r="E14">
        <v>2</v>
      </c>
      <c r="F14">
        <v>4</v>
      </c>
      <c r="G14">
        <v>7</v>
      </c>
      <c r="H14">
        <v>-3</v>
      </c>
      <c r="I14">
        <v>6</v>
      </c>
      <c r="J14" s="46">
        <f>HT_Home_Brazil[[#This Row],[W]]/HT_Home_Brazil[[#This Row],[GP]]</f>
        <v>0.16666666666666666</v>
      </c>
    </row>
    <row r="15" spans="1:10" x14ac:dyDescent="0.25">
      <c r="A15" t="s">
        <v>143</v>
      </c>
      <c r="B15">
        <v>5</v>
      </c>
      <c r="C15">
        <v>2</v>
      </c>
      <c r="D15">
        <v>0</v>
      </c>
      <c r="E15">
        <v>3</v>
      </c>
      <c r="F15">
        <v>3</v>
      </c>
      <c r="G15">
        <v>7</v>
      </c>
      <c r="H15">
        <v>-4</v>
      </c>
      <c r="I15">
        <v>6</v>
      </c>
      <c r="J15" s="46">
        <f>HT_Home_Brazil[[#This Row],[W]]/HT_Home_Brazil[[#This Row],[GP]]</f>
        <v>0.4</v>
      </c>
    </row>
    <row r="16" spans="1:10" x14ac:dyDescent="0.25">
      <c r="A16" t="s">
        <v>147</v>
      </c>
      <c r="B16">
        <v>7</v>
      </c>
      <c r="C16">
        <v>1</v>
      </c>
      <c r="D16">
        <v>2</v>
      </c>
      <c r="E16">
        <v>4</v>
      </c>
      <c r="F16">
        <v>3</v>
      </c>
      <c r="G16">
        <v>6</v>
      </c>
      <c r="H16">
        <v>-3</v>
      </c>
      <c r="I16">
        <v>5</v>
      </c>
      <c r="J16" s="46">
        <f>HT_Home_Brazil[[#This Row],[W]]/HT_Home_Brazil[[#This Row],[GP]]</f>
        <v>0.14285714285714285</v>
      </c>
    </row>
    <row r="17" spans="1:10" x14ac:dyDescent="0.25">
      <c r="A17" t="s">
        <v>137</v>
      </c>
      <c r="B17">
        <v>7</v>
      </c>
      <c r="C17">
        <v>1</v>
      </c>
      <c r="D17">
        <v>2</v>
      </c>
      <c r="E17">
        <v>4</v>
      </c>
      <c r="F17">
        <v>2</v>
      </c>
      <c r="G17">
        <v>5</v>
      </c>
      <c r="H17">
        <v>-3</v>
      </c>
      <c r="I17">
        <v>5</v>
      </c>
      <c r="J17" s="46">
        <f>HT_Home_Brazil[[#This Row],[W]]/HT_Home_Brazil[[#This Row],[GP]]</f>
        <v>0.14285714285714285</v>
      </c>
    </row>
    <row r="18" spans="1:10" x14ac:dyDescent="0.25">
      <c r="A18" t="s">
        <v>152</v>
      </c>
      <c r="B18">
        <v>8</v>
      </c>
      <c r="C18">
        <v>5</v>
      </c>
      <c r="D18">
        <v>3</v>
      </c>
      <c r="E18">
        <v>0</v>
      </c>
      <c r="F18">
        <v>8</v>
      </c>
      <c r="G18">
        <v>0</v>
      </c>
      <c r="H18">
        <v>8</v>
      </c>
      <c r="I18">
        <v>18</v>
      </c>
      <c r="J18" s="46">
        <f>HT_Home_Brazil[[#This Row],[W]]/HT_Home_Brazil[[#This Row],[GP]]</f>
        <v>0.625</v>
      </c>
    </row>
    <row r="19" spans="1:10" x14ac:dyDescent="0.25">
      <c r="A19" t="s">
        <v>157</v>
      </c>
      <c r="B19">
        <v>6</v>
      </c>
      <c r="C19">
        <v>4</v>
      </c>
      <c r="D19">
        <v>1</v>
      </c>
      <c r="E19">
        <v>1</v>
      </c>
      <c r="F19">
        <v>6</v>
      </c>
      <c r="G19">
        <v>2</v>
      </c>
      <c r="H19">
        <v>4</v>
      </c>
      <c r="I19">
        <v>13</v>
      </c>
      <c r="J19" s="46">
        <f>HT_Home_Brazil[[#This Row],[W]]/HT_Home_Brazil[[#This Row],[GP]]</f>
        <v>0.66666666666666663</v>
      </c>
    </row>
    <row r="20" spans="1:10" x14ac:dyDescent="0.25">
      <c r="A20" t="s">
        <v>149</v>
      </c>
      <c r="B20">
        <v>8</v>
      </c>
      <c r="C20">
        <v>3</v>
      </c>
      <c r="D20">
        <v>4</v>
      </c>
      <c r="E20">
        <v>1</v>
      </c>
      <c r="F20">
        <v>8</v>
      </c>
      <c r="G20">
        <v>5</v>
      </c>
      <c r="H20">
        <v>3</v>
      </c>
      <c r="I20">
        <v>13</v>
      </c>
      <c r="J20" s="46">
        <f>HT_Home_Brazil[[#This Row],[W]]/HT_Home_Brazil[[#This Row],[GP]]</f>
        <v>0.375</v>
      </c>
    </row>
    <row r="21" spans="1:10" x14ac:dyDescent="0.25">
      <c r="A21" t="s">
        <v>150</v>
      </c>
      <c r="B21">
        <v>7</v>
      </c>
      <c r="C21">
        <v>3</v>
      </c>
      <c r="D21">
        <v>3</v>
      </c>
      <c r="E21">
        <v>1</v>
      </c>
      <c r="F21">
        <v>7</v>
      </c>
      <c r="G21">
        <v>3</v>
      </c>
      <c r="H21">
        <v>4</v>
      </c>
      <c r="I21">
        <v>12</v>
      </c>
      <c r="J21" s="46">
        <f>HT_Home_Brazil[[#This Row],[W]]/HT_Home_Brazil[[#This Row],[GP]]</f>
        <v>0.42857142857142855</v>
      </c>
    </row>
    <row r="22" spans="1:10" x14ac:dyDescent="0.25">
      <c r="A22" t="s">
        <v>148</v>
      </c>
      <c r="B22">
        <v>6</v>
      </c>
      <c r="C22">
        <v>3</v>
      </c>
      <c r="D22">
        <v>2</v>
      </c>
      <c r="E22">
        <v>1</v>
      </c>
      <c r="F22">
        <v>8</v>
      </c>
      <c r="G22">
        <v>3</v>
      </c>
      <c r="H22">
        <v>5</v>
      </c>
      <c r="I22">
        <v>11</v>
      </c>
      <c r="J22" s="46">
        <f>HT_Home_Brazil[[#This Row],[W]]/HT_Home_Brazil[[#This Row],[GP]]</f>
        <v>0.5</v>
      </c>
    </row>
    <row r="23" spans="1:10" x14ac:dyDescent="0.25">
      <c r="A23" t="s">
        <v>162</v>
      </c>
      <c r="B23">
        <v>7</v>
      </c>
      <c r="C23">
        <v>3</v>
      </c>
      <c r="D23">
        <v>2</v>
      </c>
      <c r="E23">
        <v>2</v>
      </c>
      <c r="F23">
        <v>7</v>
      </c>
      <c r="G23">
        <v>4</v>
      </c>
      <c r="H23">
        <v>3</v>
      </c>
      <c r="I23">
        <v>11</v>
      </c>
      <c r="J23" s="46">
        <f>HT_Home_Brazil[[#This Row],[W]]/HT_Home_Brazil[[#This Row],[GP]]</f>
        <v>0.42857142857142855</v>
      </c>
    </row>
    <row r="24" spans="1:10" x14ac:dyDescent="0.25">
      <c r="A24" t="s">
        <v>154</v>
      </c>
      <c r="B24">
        <v>7</v>
      </c>
      <c r="C24">
        <v>3</v>
      </c>
      <c r="D24">
        <v>2</v>
      </c>
      <c r="E24">
        <v>2</v>
      </c>
      <c r="F24">
        <v>7</v>
      </c>
      <c r="G24">
        <v>5</v>
      </c>
      <c r="H24">
        <v>2</v>
      </c>
      <c r="I24">
        <v>11</v>
      </c>
      <c r="J24" s="46">
        <f>HT_Home_Brazil[[#This Row],[W]]/HT_Home_Brazil[[#This Row],[GP]]</f>
        <v>0.42857142857142855</v>
      </c>
    </row>
    <row r="25" spans="1:10" x14ac:dyDescent="0.25">
      <c r="A25" t="s">
        <v>155</v>
      </c>
      <c r="B25">
        <v>7</v>
      </c>
      <c r="C25">
        <v>2</v>
      </c>
      <c r="D25">
        <v>4</v>
      </c>
      <c r="E25">
        <v>1</v>
      </c>
      <c r="F25">
        <v>4</v>
      </c>
      <c r="G25">
        <v>2</v>
      </c>
      <c r="H25">
        <v>2</v>
      </c>
      <c r="I25">
        <v>10</v>
      </c>
      <c r="J25" s="46">
        <f>HT_Home_Brazil[[#This Row],[W]]/HT_Home_Brazil[[#This Row],[GP]]</f>
        <v>0.2857142857142857</v>
      </c>
    </row>
    <row r="26" spans="1:10" x14ac:dyDescent="0.25">
      <c r="A26" t="s">
        <v>156</v>
      </c>
      <c r="B26">
        <v>7</v>
      </c>
      <c r="C26">
        <v>2</v>
      </c>
      <c r="D26">
        <v>3</v>
      </c>
      <c r="E26">
        <v>2</v>
      </c>
      <c r="F26">
        <v>3</v>
      </c>
      <c r="G26">
        <v>3</v>
      </c>
      <c r="H26">
        <v>0</v>
      </c>
      <c r="I26">
        <v>9</v>
      </c>
      <c r="J26" s="46">
        <f>HT_Home_Brazil[[#This Row],[W]]/HT_Home_Brazil[[#This Row],[GP]]</f>
        <v>0.2857142857142857</v>
      </c>
    </row>
    <row r="27" spans="1:10" x14ac:dyDescent="0.25">
      <c r="A27" t="s">
        <v>153</v>
      </c>
      <c r="B27">
        <v>7</v>
      </c>
      <c r="C27">
        <v>2</v>
      </c>
      <c r="D27">
        <v>3</v>
      </c>
      <c r="E27">
        <v>2</v>
      </c>
      <c r="F27">
        <v>2</v>
      </c>
      <c r="G27">
        <v>3</v>
      </c>
      <c r="H27">
        <v>-1</v>
      </c>
      <c r="I27">
        <v>9</v>
      </c>
      <c r="J27" s="46">
        <f>HT_Home_Brazil[[#This Row],[W]]/HT_Home_Brazil[[#This Row],[GP]]</f>
        <v>0.2857142857142857</v>
      </c>
    </row>
    <row r="28" spans="1:10" x14ac:dyDescent="0.25">
      <c r="A28" t="s">
        <v>158</v>
      </c>
      <c r="B28">
        <v>7</v>
      </c>
      <c r="C28">
        <v>2</v>
      </c>
      <c r="D28">
        <v>2</v>
      </c>
      <c r="E28">
        <v>3</v>
      </c>
      <c r="F28">
        <v>3</v>
      </c>
      <c r="G28">
        <v>3</v>
      </c>
      <c r="H28">
        <v>0</v>
      </c>
      <c r="I28">
        <v>8</v>
      </c>
      <c r="J28" s="46">
        <f>HT_Home_Brazil[[#This Row],[W]]/HT_Home_Brazil[[#This Row],[GP]]</f>
        <v>0.2857142857142857</v>
      </c>
    </row>
    <row r="29" spans="1:10" x14ac:dyDescent="0.25">
      <c r="A29" t="s">
        <v>160</v>
      </c>
      <c r="B29">
        <v>7</v>
      </c>
      <c r="C29">
        <v>1</v>
      </c>
      <c r="D29">
        <v>4</v>
      </c>
      <c r="E29">
        <v>2</v>
      </c>
      <c r="F29">
        <v>8</v>
      </c>
      <c r="G29">
        <v>7</v>
      </c>
      <c r="H29">
        <v>1</v>
      </c>
      <c r="I29">
        <v>7</v>
      </c>
      <c r="J29" s="46">
        <f>HT_Home_Brazil[[#This Row],[W]]/HT_Home_Brazil[[#This Row],[GP]]</f>
        <v>0.14285714285714285</v>
      </c>
    </row>
    <row r="30" spans="1:10" x14ac:dyDescent="0.25">
      <c r="A30" t="s">
        <v>159</v>
      </c>
      <c r="B30">
        <v>6</v>
      </c>
      <c r="C30">
        <v>1</v>
      </c>
      <c r="D30">
        <v>4</v>
      </c>
      <c r="E30">
        <v>1</v>
      </c>
      <c r="F30">
        <v>2</v>
      </c>
      <c r="G30">
        <v>2</v>
      </c>
      <c r="H30">
        <v>0</v>
      </c>
      <c r="I30">
        <v>7</v>
      </c>
      <c r="J30" s="46">
        <f>HT_Home_Brazil[[#This Row],[W]]/HT_Home_Brazil[[#This Row],[GP]]</f>
        <v>0.16666666666666666</v>
      </c>
    </row>
    <row r="31" spans="1:10" x14ac:dyDescent="0.25">
      <c r="A31" t="s">
        <v>161</v>
      </c>
      <c r="B31">
        <v>8</v>
      </c>
      <c r="C31">
        <v>1</v>
      </c>
      <c r="D31">
        <v>4</v>
      </c>
      <c r="E31">
        <v>3</v>
      </c>
      <c r="F31">
        <v>6</v>
      </c>
      <c r="G31">
        <v>9</v>
      </c>
      <c r="H31">
        <v>-3</v>
      </c>
      <c r="I31">
        <v>7</v>
      </c>
      <c r="J31" s="46">
        <f>HT_Home_Brazil[[#This Row],[W]]/HT_Home_Brazil[[#This Row],[GP]]</f>
        <v>0.125</v>
      </c>
    </row>
    <row r="32" spans="1:10" x14ac:dyDescent="0.25">
      <c r="A32" t="s">
        <v>151</v>
      </c>
      <c r="B32">
        <v>7</v>
      </c>
      <c r="C32">
        <v>1</v>
      </c>
      <c r="D32">
        <v>2</v>
      </c>
      <c r="E32">
        <v>4</v>
      </c>
      <c r="F32">
        <v>4</v>
      </c>
      <c r="G32">
        <v>7</v>
      </c>
      <c r="H32">
        <v>-3</v>
      </c>
      <c r="I32">
        <v>5</v>
      </c>
      <c r="J32" s="46">
        <f>HT_Home_Brazil[[#This Row],[W]]/HT_Home_Brazil[[#This Row],[GP]]</f>
        <v>0.14285714285714285</v>
      </c>
    </row>
    <row r="33" spans="1:10" x14ac:dyDescent="0.25">
      <c r="A33" t="s">
        <v>163</v>
      </c>
      <c r="B33">
        <v>7</v>
      </c>
      <c r="C33">
        <v>0</v>
      </c>
      <c r="D33">
        <v>4</v>
      </c>
      <c r="E33">
        <v>3</v>
      </c>
      <c r="F33">
        <v>1</v>
      </c>
      <c r="G33">
        <v>4</v>
      </c>
      <c r="H33">
        <v>-3</v>
      </c>
      <c r="I33">
        <v>4</v>
      </c>
      <c r="J33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3"/>
  <sheetViews>
    <sheetView workbookViewId="0">
      <selection sqref="A1:J33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132</v>
      </c>
      <c r="B2">
        <v>7</v>
      </c>
      <c r="C2">
        <v>3</v>
      </c>
      <c r="D2">
        <v>3</v>
      </c>
      <c r="E2">
        <v>1</v>
      </c>
      <c r="F2">
        <v>9</v>
      </c>
      <c r="G2">
        <v>2</v>
      </c>
      <c r="H2">
        <v>7</v>
      </c>
      <c r="I2">
        <v>12</v>
      </c>
      <c r="J2" s="47">
        <f>HT_Away[[#This Row],[W]]/HT_Away[[#This Row],[GP]]</f>
        <v>0.42857142857142855</v>
      </c>
    </row>
    <row r="3" spans="1:10" x14ac:dyDescent="0.25">
      <c r="A3" t="s">
        <v>133</v>
      </c>
      <c r="B3">
        <v>7</v>
      </c>
      <c r="C3">
        <v>3</v>
      </c>
      <c r="D3">
        <v>2</v>
      </c>
      <c r="E3">
        <v>2</v>
      </c>
      <c r="F3">
        <v>4</v>
      </c>
      <c r="G3">
        <v>3</v>
      </c>
      <c r="H3">
        <v>1</v>
      </c>
      <c r="I3">
        <v>11</v>
      </c>
      <c r="J3" s="47">
        <f>HT_Away[[#This Row],[W]]/HT_Away[[#This Row],[GP]]</f>
        <v>0.42857142857142855</v>
      </c>
    </row>
    <row r="4" spans="1:10" x14ac:dyDescent="0.25">
      <c r="A4" t="s">
        <v>139</v>
      </c>
      <c r="B4">
        <v>6</v>
      </c>
      <c r="C4">
        <v>2</v>
      </c>
      <c r="D4">
        <v>3</v>
      </c>
      <c r="E4">
        <v>1</v>
      </c>
      <c r="F4">
        <v>6</v>
      </c>
      <c r="G4">
        <v>5</v>
      </c>
      <c r="H4">
        <v>1</v>
      </c>
      <c r="I4">
        <v>9</v>
      </c>
      <c r="J4" s="47">
        <f>HT_Away[[#This Row],[W]]/HT_Away[[#This Row],[GP]]</f>
        <v>0.33333333333333331</v>
      </c>
    </row>
    <row r="5" spans="1:10" x14ac:dyDescent="0.25">
      <c r="A5" t="s">
        <v>134</v>
      </c>
      <c r="B5">
        <v>6</v>
      </c>
      <c r="C5">
        <v>2</v>
      </c>
      <c r="D5">
        <v>2</v>
      </c>
      <c r="E5">
        <v>2</v>
      </c>
      <c r="F5">
        <v>5</v>
      </c>
      <c r="G5">
        <v>4</v>
      </c>
      <c r="H5">
        <v>1</v>
      </c>
      <c r="I5">
        <v>8</v>
      </c>
      <c r="J5" s="47">
        <f>HT_Away[[#This Row],[W]]/HT_Away[[#This Row],[GP]]</f>
        <v>0.33333333333333331</v>
      </c>
    </row>
    <row r="6" spans="1:10" x14ac:dyDescent="0.25">
      <c r="A6" t="s">
        <v>140</v>
      </c>
      <c r="B6">
        <v>6</v>
      </c>
      <c r="C6">
        <v>2</v>
      </c>
      <c r="D6">
        <v>2</v>
      </c>
      <c r="E6">
        <v>2</v>
      </c>
      <c r="F6">
        <v>2</v>
      </c>
      <c r="G6">
        <v>5</v>
      </c>
      <c r="H6">
        <v>-3</v>
      </c>
      <c r="I6">
        <v>8</v>
      </c>
      <c r="J6" s="47">
        <f>HT_Away[[#This Row],[W]]/HT_Away[[#This Row],[GP]]</f>
        <v>0.33333333333333331</v>
      </c>
    </row>
    <row r="7" spans="1:10" x14ac:dyDescent="0.25">
      <c r="A7" t="s">
        <v>136</v>
      </c>
      <c r="B7">
        <v>6</v>
      </c>
      <c r="C7">
        <v>2</v>
      </c>
      <c r="D7">
        <v>1</v>
      </c>
      <c r="E7">
        <v>3</v>
      </c>
      <c r="F7">
        <v>5</v>
      </c>
      <c r="G7">
        <v>6</v>
      </c>
      <c r="H7">
        <v>-1</v>
      </c>
      <c r="I7">
        <v>7</v>
      </c>
      <c r="J7" s="47">
        <f>HT_Away[[#This Row],[W]]/HT_Away[[#This Row],[GP]]</f>
        <v>0.33333333333333331</v>
      </c>
    </row>
    <row r="8" spans="1:10" x14ac:dyDescent="0.25">
      <c r="A8" t="s">
        <v>135</v>
      </c>
      <c r="B8">
        <v>7</v>
      </c>
      <c r="C8">
        <v>1</v>
      </c>
      <c r="D8">
        <v>4</v>
      </c>
      <c r="E8">
        <v>2</v>
      </c>
      <c r="F8">
        <v>3</v>
      </c>
      <c r="G8">
        <v>4</v>
      </c>
      <c r="H8">
        <v>-1</v>
      </c>
      <c r="I8">
        <v>7</v>
      </c>
      <c r="J8" s="47">
        <f>HT_Away[[#This Row],[W]]/HT_Away[[#This Row],[GP]]</f>
        <v>0.14285714285714285</v>
      </c>
    </row>
    <row r="9" spans="1:10" x14ac:dyDescent="0.25">
      <c r="A9" t="s">
        <v>137</v>
      </c>
      <c r="B9">
        <v>6</v>
      </c>
      <c r="C9">
        <v>2</v>
      </c>
      <c r="D9">
        <v>1</v>
      </c>
      <c r="E9">
        <v>3</v>
      </c>
      <c r="F9">
        <v>2</v>
      </c>
      <c r="G9">
        <v>4</v>
      </c>
      <c r="H9">
        <v>-2</v>
      </c>
      <c r="I9">
        <v>7</v>
      </c>
      <c r="J9" s="47">
        <f>HT_Away[[#This Row],[W]]/HT_Away[[#This Row],[GP]]</f>
        <v>0.33333333333333331</v>
      </c>
    </row>
    <row r="10" spans="1:10" x14ac:dyDescent="0.25">
      <c r="A10" t="s">
        <v>145</v>
      </c>
      <c r="B10">
        <v>6</v>
      </c>
      <c r="C10">
        <v>2</v>
      </c>
      <c r="D10">
        <v>1</v>
      </c>
      <c r="E10">
        <v>3</v>
      </c>
      <c r="F10">
        <v>3</v>
      </c>
      <c r="G10">
        <v>7</v>
      </c>
      <c r="H10">
        <v>-4</v>
      </c>
      <c r="I10">
        <v>7</v>
      </c>
      <c r="J10" s="47">
        <f>HT_Away[[#This Row],[W]]/HT_Away[[#This Row],[GP]]</f>
        <v>0.33333333333333331</v>
      </c>
    </row>
    <row r="11" spans="1:10" x14ac:dyDescent="0.25">
      <c r="A11" t="s">
        <v>141</v>
      </c>
      <c r="B11">
        <v>5</v>
      </c>
      <c r="C11">
        <v>2</v>
      </c>
      <c r="D11">
        <v>0</v>
      </c>
      <c r="E11">
        <v>3</v>
      </c>
      <c r="F11">
        <v>7</v>
      </c>
      <c r="G11">
        <v>6</v>
      </c>
      <c r="H11">
        <v>1</v>
      </c>
      <c r="I11">
        <v>6</v>
      </c>
      <c r="J11" s="47">
        <f>HT_Away[[#This Row],[W]]/HT_Away[[#This Row],[GP]]</f>
        <v>0.4</v>
      </c>
    </row>
    <row r="12" spans="1:10" x14ac:dyDescent="0.25">
      <c r="A12" t="s">
        <v>144</v>
      </c>
      <c r="B12">
        <v>6</v>
      </c>
      <c r="C12">
        <v>1</v>
      </c>
      <c r="D12">
        <v>3</v>
      </c>
      <c r="E12">
        <v>2</v>
      </c>
      <c r="F12">
        <v>3</v>
      </c>
      <c r="G12">
        <v>4</v>
      </c>
      <c r="H12">
        <v>-1</v>
      </c>
      <c r="I12">
        <v>6</v>
      </c>
      <c r="J12" s="47">
        <f>HT_Away[[#This Row],[W]]/HT_Away[[#This Row],[GP]]</f>
        <v>0.16666666666666666</v>
      </c>
    </row>
    <row r="13" spans="1:10" x14ac:dyDescent="0.25">
      <c r="A13" t="s">
        <v>143</v>
      </c>
      <c r="B13">
        <v>8</v>
      </c>
      <c r="C13">
        <v>0</v>
      </c>
      <c r="D13">
        <v>6</v>
      </c>
      <c r="E13">
        <v>2</v>
      </c>
      <c r="F13">
        <v>3</v>
      </c>
      <c r="G13">
        <v>5</v>
      </c>
      <c r="H13">
        <v>-2</v>
      </c>
      <c r="I13">
        <v>6</v>
      </c>
      <c r="J13" s="47">
        <f>HT_Away[[#This Row],[W]]/HT_Away[[#This Row],[GP]]</f>
        <v>0</v>
      </c>
    </row>
    <row r="14" spans="1:10" x14ac:dyDescent="0.25">
      <c r="A14" t="s">
        <v>146</v>
      </c>
      <c r="B14">
        <v>7</v>
      </c>
      <c r="C14">
        <v>0</v>
      </c>
      <c r="D14">
        <v>5</v>
      </c>
      <c r="E14">
        <v>2</v>
      </c>
      <c r="F14">
        <v>1</v>
      </c>
      <c r="G14">
        <v>5</v>
      </c>
      <c r="H14">
        <v>-4</v>
      </c>
      <c r="I14">
        <v>5</v>
      </c>
      <c r="J14" s="47">
        <f>HT_Away[[#This Row],[W]]/HT_Away[[#This Row],[GP]]</f>
        <v>0</v>
      </c>
    </row>
    <row r="15" spans="1:10" x14ac:dyDescent="0.25">
      <c r="A15" t="s">
        <v>147</v>
      </c>
      <c r="B15">
        <v>6</v>
      </c>
      <c r="C15">
        <v>1</v>
      </c>
      <c r="D15">
        <v>1</v>
      </c>
      <c r="E15">
        <v>4</v>
      </c>
      <c r="F15">
        <v>2</v>
      </c>
      <c r="G15">
        <v>9</v>
      </c>
      <c r="H15">
        <v>-7</v>
      </c>
      <c r="I15">
        <v>4</v>
      </c>
      <c r="J15" s="47">
        <f>HT_Away[[#This Row],[W]]/HT_Away[[#This Row],[GP]]</f>
        <v>0.16666666666666666</v>
      </c>
    </row>
    <row r="16" spans="1:10" x14ac:dyDescent="0.25">
      <c r="A16" t="s">
        <v>138</v>
      </c>
      <c r="B16">
        <v>7</v>
      </c>
      <c r="C16">
        <v>0</v>
      </c>
      <c r="D16">
        <v>3</v>
      </c>
      <c r="E16">
        <v>4</v>
      </c>
      <c r="F16">
        <v>0</v>
      </c>
      <c r="G16">
        <v>6</v>
      </c>
      <c r="H16">
        <v>-6</v>
      </c>
      <c r="I16">
        <v>3</v>
      </c>
      <c r="J16" s="47">
        <f>HT_Away[[#This Row],[W]]/HT_Away[[#This Row],[GP]]</f>
        <v>0</v>
      </c>
    </row>
    <row r="17" spans="1:10" x14ac:dyDescent="0.25">
      <c r="A17" t="s">
        <v>142</v>
      </c>
      <c r="B17">
        <v>7</v>
      </c>
      <c r="C17">
        <v>0</v>
      </c>
      <c r="D17">
        <v>2</v>
      </c>
      <c r="E17">
        <v>5</v>
      </c>
      <c r="F17">
        <v>2</v>
      </c>
      <c r="G17">
        <v>10</v>
      </c>
      <c r="H17">
        <v>-8</v>
      </c>
      <c r="I17">
        <v>2</v>
      </c>
      <c r="J17" s="47">
        <f>HT_Away[[#This Row],[W]]/HT_Away[[#This Row],[GP]]</f>
        <v>0</v>
      </c>
    </row>
    <row r="18" spans="1:10" x14ac:dyDescent="0.25">
      <c r="A18" t="s">
        <v>148</v>
      </c>
      <c r="B18">
        <v>8</v>
      </c>
      <c r="C18">
        <v>4</v>
      </c>
      <c r="D18">
        <v>3</v>
      </c>
      <c r="E18">
        <v>1</v>
      </c>
      <c r="F18">
        <v>6</v>
      </c>
      <c r="G18">
        <v>3</v>
      </c>
      <c r="H18">
        <v>3</v>
      </c>
      <c r="I18">
        <v>15</v>
      </c>
      <c r="J18" s="47">
        <f>HT_Away[[#This Row],[W]]/HT_Away[[#This Row],[GP]]</f>
        <v>0.5</v>
      </c>
    </row>
    <row r="19" spans="1:10" x14ac:dyDescent="0.25">
      <c r="A19" t="s">
        <v>155</v>
      </c>
      <c r="B19">
        <v>7</v>
      </c>
      <c r="C19">
        <v>3</v>
      </c>
      <c r="D19">
        <v>3</v>
      </c>
      <c r="E19">
        <v>1</v>
      </c>
      <c r="F19">
        <v>4</v>
      </c>
      <c r="G19">
        <v>2</v>
      </c>
      <c r="H19">
        <v>2</v>
      </c>
      <c r="I19">
        <v>12</v>
      </c>
      <c r="J19" s="47">
        <f>HT_Away[[#This Row],[W]]/HT_Away[[#This Row],[GP]]</f>
        <v>0.42857142857142855</v>
      </c>
    </row>
    <row r="20" spans="1:10" x14ac:dyDescent="0.25">
      <c r="A20" t="s">
        <v>154</v>
      </c>
      <c r="B20">
        <v>7</v>
      </c>
      <c r="C20">
        <v>3</v>
      </c>
      <c r="D20">
        <v>3</v>
      </c>
      <c r="E20">
        <v>1</v>
      </c>
      <c r="F20">
        <v>4</v>
      </c>
      <c r="G20">
        <v>2</v>
      </c>
      <c r="H20">
        <v>2</v>
      </c>
      <c r="I20">
        <v>12</v>
      </c>
      <c r="J20" s="47">
        <f>HT_Away[[#This Row],[W]]/HT_Away[[#This Row],[GP]]</f>
        <v>0.42857142857142855</v>
      </c>
    </row>
    <row r="21" spans="1:10" x14ac:dyDescent="0.25">
      <c r="A21" t="s">
        <v>149</v>
      </c>
      <c r="B21">
        <v>6</v>
      </c>
      <c r="C21">
        <v>3</v>
      </c>
      <c r="D21">
        <v>1</v>
      </c>
      <c r="E21">
        <v>2</v>
      </c>
      <c r="F21">
        <v>5</v>
      </c>
      <c r="G21">
        <v>4</v>
      </c>
      <c r="H21">
        <v>1</v>
      </c>
      <c r="I21">
        <v>10</v>
      </c>
      <c r="J21" s="47">
        <f>HT_Away[[#This Row],[W]]/HT_Away[[#This Row],[GP]]</f>
        <v>0.5</v>
      </c>
    </row>
    <row r="22" spans="1:10" x14ac:dyDescent="0.25">
      <c r="A22" t="s">
        <v>151</v>
      </c>
      <c r="B22">
        <v>7</v>
      </c>
      <c r="C22">
        <v>2</v>
      </c>
      <c r="D22">
        <v>4</v>
      </c>
      <c r="E22">
        <v>1</v>
      </c>
      <c r="F22">
        <v>5</v>
      </c>
      <c r="G22">
        <v>4</v>
      </c>
      <c r="H22">
        <v>1</v>
      </c>
      <c r="I22">
        <v>10</v>
      </c>
      <c r="J22" s="47">
        <f>HT_Away[[#This Row],[W]]/HT_Away[[#This Row],[GP]]</f>
        <v>0.2857142857142857</v>
      </c>
    </row>
    <row r="23" spans="1:10" x14ac:dyDescent="0.25">
      <c r="A23" t="s">
        <v>153</v>
      </c>
      <c r="B23">
        <v>7</v>
      </c>
      <c r="C23">
        <v>3</v>
      </c>
      <c r="D23">
        <v>1</v>
      </c>
      <c r="E23">
        <v>3</v>
      </c>
      <c r="F23">
        <v>6</v>
      </c>
      <c r="G23">
        <v>7</v>
      </c>
      <c r="H23">
        <v>-1</v>
      </c>
      <c r="I23">
        <v>10</v>
      </c>
      <c r="J23" s="47">
        <f>HT_Away[[#This Row],[W]]/HT_Away[[#This Row],[GP]]</f>
        <v>0.42857142857142855</v>
      </c>
    </row>
    <row r="24" spans="1:10" x14ac:dyDescent="0.25">
      <c r="A24" t="s">
        <v>150</v>
      </c>
      <c r="B24">
        <v>7</v>
      </c>
      <c r="C24">
        <v>2</v>
      </c>
      <c r="D24">
        <v>3</v>
      </c>
      <c r="E24">
        <v>2</v>
      </c>
      <c r="F24">
        <v>3</v>
      </c>
      <c r="G24">
        <v>3</v>
      </c>
      <c r="H24">
        <v>0</v>
      </c>
      <c r="I24">
        <v>9</v>
      </c>
      <c r="J24" s="47">
        <f>HT_Away[[#This Row],[W]]/HT_Away[[#This Row],[GP]]</f>
        <v>0.2857142857142857</v>
      </c>
    </row>
    <row r="25" spans="1:10" x14ac:dyDescent="0.25">
      <c r="A25" t="s">
        <v>152</v>
      </c>
      <c r="B25">
        <v>6</v>
      </c>
      <c r="C25">
        <v>2</v>
      </c>
      <c r="D25">
        <v>3</v>
      </c>
      <c r="E25">
        <v>1</v>
      </c>
      <c r="F25">
        <v>3</v>
      </c>
      <c r="G25">
        <v>3</v>
      </c>
      <c r="H25">
        <v>0</v>
      </c>
      <c r="I25">
        <v>9</v>
      </c>
      <c r="J25" s="47">
        <f>HT_Away[[#This Row],[W]]/HT_Away[[#This Row],[GP]]</f>
        <v>0.33333333333333331</v>
      </c>
    </row>
    <row r="26" spans="1:10" x14ac:dyDescent="0.25">
      <c r="A26" t="s">
        <v>160</v>
      </c>
      <c r="B26">
        <v>7</v>
      </c>
      <c r="C26">
        <v>1</v>
      </c>
      <c r="D26">
        <v>5</v>
      </c>
      <c r="E26">
        <v>1</v>
      </c>
      <c r="F26">
        <v>4</v>
      </c>
      <c r="G26">
        <v>5</v>
      </c>
      <c r="H26">
        <v>-1</v>
      </c>
      <c r="I26">
        <v>8</v>
      </c>
      <c r="J26" s="47">
        <f>HT_Away[[#This Row],[W]]/HT_Away[[#This Row],[GP]]</f>
        <v>0.14285714285714285</v>
      </c>
    </row>
    <row r="27" spans="1:10" x14ac:dyDescent="0.25">
      <c r="A27" t="s">
        <v>156</v>
      </c>
      <c r="B27">
        <v>7</v>
      </c>
      <c r="C27">
        <v>2</v>
      </c>
      <c r="D27">
        <v>2</v>
      </c>
      <c r="E27">
        <v>3</v>
      </c>
      <c r="F27">
        <v>5</v>
      </c>
      <c r="G27">
        <v>9</v>
      </c>
      <c r="H27">
        <v>-4</v>
      </c>
      <c r="I27">
        <v>8</v>
      </c>
      <c r="J27" s="47">
        <f>HT_Away[[#This Row],[W]]/HT_Away[[#This Row],[GP]]</f>
        <v>0.2857142857142857</v>
      </c>
    </row>
    <row r="28" spans="1:10" x14ac:dyDescent="0.25">
      <c r="A28" t="s">
        <v>157</v>
      </c>
      <c r="B28">
        <v>8</v>
      </c>
      <c r="C28">
        <v>1</v>
      </c>
      <c r="D28">
        <v>4</v>
      </c>
      <c r="E28">
        <v>3</v>
      </c>
      <c r="F28">
        <v>4</v>
      </c>
      <c r="G28">
        <v>6</v>
      </c>
      <c r="H28">
        <v>-2</v>
      </c>
      <c r="I28">
        <v>7</v>
      </c>
      <c r="J28" s="47">
        <f>HT_Away[[#This Row],[W]]/HT_Away[[#This Row],[GP]]</f>
        <v>0.125</v>
      </c>
    </row>
    <row r="29" spans="1:10" x14ac:dyDescent="0.25">
      <c r="A29" t="s">
        <v>159</v>
      </c>
      <c r="B29">
        <v>8</v>
      </c>
      <c r="C29">
        <v>1</v>
      </c>
      <c r="D29">
        <v>3</v>
      </c>
      <c r="E29">
        <v>4</v>
      </c>
      <c r="F29">
        <v>4</v>
      </c>
      <c r="G29">
        <v>7</v>
      </c>
      <c r="H29">
        <v>-3</v>
      </c>
      <c r="I29">
        <v>6</v>
      </c>
      <c r="J29" s="47">
        <f>HT_Away[[#This Row],[W]]/HT_Away[[#This Row],[GP]]</f>
        <v>0.125</v>
      </c>
    </row>
    <row r="30" spans="1:10" x14ac:dyDescent="0.25">
      <c r="A30" t="s">
        <v>161</v>
      </c>
      <c r="B30">
        <v>6</v>
      </c>
      <c r="C30">
        <v>1</v>
      </c>
      <c r="D30">
        <v>3</v>
      </c>
      <c r="E30">
        <v>2</v>
      </c>
      <c r="F30">
        <v>2</v>
      </c>
      <c r="G30">
        <v>5</v>
      </c>
      <c r="H30">
        <v>-3</v>
      </c>
      <c r="I30">
        <v>6</v>
      </c>
      <c r="J30" s="47">
        <f>HT_Away[[#This Row],[W]]/HT_Away[[#This Row],[GP]]</f>
        <v>0.16666666666666666</v>
      </c>
    </row>
    <row r="31" spans="1:10" x14ac:dyDescent="0.25">
      <c r="A31" t="s">
        <v>162</v>
      </c>
      <c r="B31">
        <v>7</v>
      </c>
      <c r="C31">
        <v>0</v>
      </c>
      <c r="D31">
        <v>4</v>
      </c>
      <c r="E31">
        <v>3</v>
      </c>
      <c r="F31">
        <v>4</v>
      </c>
      <c r="G31">
        <v>8</v>
      </c>
      <c r="H31">
        <v>-4</v>
      </c>
      <c r="I31">
        <v>4</v>
      </c>
      <c r="J31" s="47">
        <f>HT_Away[[#This Row],[W]]/HT_Away[[#This Row],[GP]]</f>
        <v>0</v>
      </c>
    </row>
    <row r="32" spans="1:10" x14ac:dyDescent="0.25">
      <c r="A32" t="s">
        <v>158</v>
      </c>
      <c r="B32">
        <v>7</v>
      </c>
      <c r="C32">
        <v>0</v>
      </c>
      <c r="D32">
        <v>4</v>
      </c>
      <c r="E32">
        <v>3</v>
      </c>
      <c r="F32">
        <v>2</v>
      </c>
      <c r="G32">
        <v>7</v>
      </c>
      <c r="H32">
        <v>-5</v>
      </c>
      <c r="I32">
        <v>4</v>
      </c>
      <c r="J32" s="47">
        <f>HT_Away[[#This Row],[W]]/HT_Away[[#This Row],[GP]]</f>
        <v>0</v>
      </c>
    </row>
    <row r="33" spans="1:10" x14ac:dyDescent="0.25">
      <c r="A33" t="s">
        <v>163</v>
      </c>
      <c r="B33">
        <v>7</v>
      </c>
      <c r="C33">
        <v>1</v>
      </c>
      <c r="D33">
        <v>1</v>
      </c>
      <c r="E33">
        <v>5</v>
      </c>
      <c r="F33">
        <v>1</v>
      </c>
      <c r="G33">
        <v>9</v>
      </c>
      <c r="H33">
        <v>-8</v>
      </c>
      <c r="I33">
        <v>4</v>
      </c>
      <c r="J33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C6A80F1-3C10-4BB1-BF4B-95CA96DC2BF5}">
  <ds:schemaRefs/>
</ds:datastoreItem>
</file>

<file path=customXml/itemProps2.xml><?xml version="1.0" encoding="utf-8"?>
<ds:datastoreItem xmlns:ds="http://schemas.openxmlformats.org/officeDocument/2006/customXml" ds:itemID="{71DE6A4D-97A1-431D-8C79-67468E10D7B8}">
  <ds:schemaRefs/>
</ds:datastoreItem>
</file>

<file path=customXml/itemProps3.xml><?xml version="1.0" encoding="utf-8"?>
<ds:datastoreItem xmlns:ds="http://schemas.openxmlformats.org/officeDocument/2006/customXml" ds:itemID="{591C0428-14F4-4674-86A1-B3C02ABF63A7}">
  <ds:schemaRefs/>
</ds:datastoreItem>
</file>

<file path=customXml/itemProps4.xml><?xml version="1.0" encoding="utf-8"?>
<ds:datastoreItem xmlns:ds="http://schemas.openxmlformats.org/officeDocument/2006/customXml" ds:itemID="{14B925CE-CBD8-4447-A7E8-13F74206AAE7}">
  <ds:schemaRefs/>
</ds:datastoreItem>
</file>

<file path=customXml/itemProps5.xml><?xml version="1.0" encoding="utf-8"?>
<ds:datastoreItem xmlns:ds="http://schemas.openxmlformats.org/officeDocument/2006/customXml" ds:itemID="{E9215405-45AB-4EBF-A097-8C491EB711D1}">
  <ds:schemaRefs/>
</ds:datastoreItem>
</file>

<file path=customXml/itemProps6.xml><?xml version="1.0" encoding="utf-8"?>
<ds:datastoreItem xmlns:ds="http://schemas.openxmlformats.org/officeDocument/2006/customXml" ds:itemID="{DFFA6747-F06E-49B7-8CA2-96710C0784E6}">
  <ds:schemaRefs/>
</ds:datastoreItem>
</file>

<file path=customXml/itemProps7.xml><?xml version="1.0" encoding="utf-8"?>
<ds:datastoreItem xmlns:ds="http://schemas.openxmlformats.org/officeDocument/2006/customXml" ds:itemID="{5AE9F3CB-168A-4A55-833F-68847C5422BB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AB677F82-3B51-4A2A-927A-EE428654DBFD}">
  <ds:schemaRefs/>
</ds:datastoreItem>
</file>

<file path=customXml/itemProps9.xml><?xml version="1.0" encoding="utf-8"?>
<ds:datastoreItem xmlns:ds="http://schemas.openxmlformats.org/officeDocument/2006/customXml" ds:itemID="{DFBC3914-C7C0-47CC-A270-3EA283E203C4}">
  <ds:schemaRefs/>
</ds:datastoreItem>
</file>

<file path=customXml/itemProps10.xml><?xml version="1.0" encoding="utf-8"?>
<ds:datastoreItem xmlns:ds="http://schemas.openxmlformats.org/officeDocument/2006/customXml" ds:itemID="{3F0FB182-6C21-41E8-A39B-9A1F061E51F9}">
  <ds:schemaRefs/>
</ds:datastoreItem>
</file>

<file path=customXml/itemProps11.xml><?xml version="1.0" encoding="utf-8"?>
<ds:datastoreItem xmlns:ds="http://schemas.openxmlformats.org/officeDocument/2006/customXml" ds:itemID="{1CD01E77-6D0A-4F16-A6FF-6816DA4A2EEB}">
  <ds:schemaRefs/>
</ds:datastoreItem>
</file>

<file path=customXml/itemProps12.xml><?xml version="1.0" encoding="utf-8"?>
<ds:datastoreItem xmlns:ds="http://schemas.openxmlformats.org/officeDocument/2006/customXml" ds:itemID="{9DECBFE9-1856-4316-AAB8-82165E1A353C}">
  <ds:schemaRefs/>
</ds:datastoreItem>
</file>

<file path=customXml/itemProps13.xml><?xml version="1.0" encoding="utf-8"?>
<ds:datastoreItem xmlns:ds="http://schemas.openxmlformats.org/officeDocument/2006/customXml" ds:itemID="{049EE12B-9FEA-4AFD-A60F-0F04DB215FCC}">
  <ds:schemaRefs/>
</ds:datastoreItem>
</file>

<file path=customXml/itemProps14.xml><?xml version="1.0" encoding="utf-8"?>
<ds:datastoreItem xmlns:ds="http://schemas.openxmlformats.org/officeDocument/2006/customXml" ds:itemID="{697AEC09-513D-432D-A6B1-C1E0BEFAD5F9}">
  <ds:schemaRefs/>
</ds:datastoreItem>
</file>

<file path=customXml/itemProps15.xml><?xml version="1.0" encoding="utf-8"?>
<ds:datastoreItem xmlns:ds="http://schemas.openxmlformats.org/officeDocument/2006/customXml" ds:itemID="{C1A45738-9286-48CB-9B5A-1025F63DAA38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89993B8A-49CB-427C-87F9-7DD3094D4F68}">
  <ds:schemaRefs/>
</ds:datastoreItem>
</file>

<file path=customXml/itemProps18.xml><?xml version="1.0" encoding="utf-8"?>
<ds:datastoreItem xmlns:ds="http://schemas.openxmlformats.org/officeDocument/2006/customXml" ds:itemID="{564628D5-D4AC-4817-BEF4-2ECA55E6619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2023-11-07T11:25:01Z</dcterms:modified>
</cp:coreProperties>
</file>